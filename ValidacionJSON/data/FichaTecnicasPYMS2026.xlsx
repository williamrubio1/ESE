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wrubios\Documents\NewProject\"/>
    </mc:Choice>
  </mc:AlternateContent>
  <xr:revisionPtr revIDLastSave="0" documentId="13_ncr:1_{B55E0230-6EDE-4944-AC32-C114732E17FD}" xr6:coauthVersionLast="47" xr6:coauthVersionMax="47" xr10:uidLastSave="{00000000-0000-0000-0000-000000000000}"/>
  <bookViews>
    <workbookView xWindow="-120" yWindow="-120" windowWidth="29040" windowHeight="15720" tabRatio="769" firstSheet="2" activeTab="2" xr2:uid="{00000000-000D-0000-FFFF-FFFF00000000}"/>
  </bookViews>
  <sheets>
    <sheet name="indicadores_2026" sheetId="20" state="hidden" r:id="rId1"/>
    <sheet name="Cups_extramurales" sheetId="28" state="hidden" r:id="rId2"/>
    <sheet name="Fichas_2025" sheetId="32" r:id="rId3"/>
  </sheets>
  <definedNames>
    <definedName name="_xlnm._FilterDatabase" localSheetId="1" hidden="1">Cups_extramurales!$A$1:$C$98</definedName>
    <definedName name="_xlnm._FilterDatabase" localSheetId="2" hidden="1">Fichas_2025!$A$2:$M$232</definedName>
    <definedName name="_xlnm._FilterDatabase" localSheetId="0" hidden="1">indicadores_2026!$A$3:$CD$635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G634" i="20" l="1"/>
  <c r="BF634" i="20"/>
  <c r="AZ634" i="20"/>
  <c r="AW634" i="20"/>
  <c r="AV634" i="20"/>
  <c r="BB634" i="20" l="1"/>
  <c r="BA634" i="20"/>
  <c r="BG526" i="20"/>
  <c r="BF526" i="20"/>
  <c r="BB633" i="20" l="1"/>
  <c r="BA633" i="20"/>
  <c r="AW633" i="20"/>
  <c r="AV633" i="20"/>
  <c r="BG633" i="20"/>
  <c r="BF633" i="20"/>
  <c r="BG630" i="20"/>
  <c r="BF630" i="20"/>
  <c r="BG629" i="20"/>
  <c r="BF629" i="20"/>
  <c r="BG628" i="20"/>
  <c r="BF628" i="20"/>
  <c r="BG627" i="20"/>
  <c r="BF627" i="20"/>
  <c r="BG626" i="20"/>
  <c r="BF626" i="20"/>
  <c r="BG625" i="20"/>
  <c r="BF625" i="20"/>
  <c r="BG624" i="20"/>
  <c r="BF624" i="20"/>
  <c r="BG623" i="20"/>
  <c r="BF623" i="20"/>
  <c r="BG622" i="20"/>
  <c r="BF622" i="20"/>
  <c r="BG621" i="20"/>
  <c r="BF621" i="20"/>
  <c r="BG620" i="20"/>
  <c r="BF620" i="20"/>
  <c r="BG619" i="20"/>
  <c r="BF619" i="20"/>
  <c r="BG618" i="20"/>
  <c r="BF618" i="20"/>
  <c r="BG617" i="20"/>
  <c r="BF617" i="20"/>
  <c r="BG616" i="20"/>
  <c r="BF616" i="20"/>
  <c r="BG615" i="20"/>
  <c r="BF615" i="20"/>
  <c r="BG614" i="20"/>
  <c r="BF614" i="20"/>
  <c r="BG613" i="20"/>
  <c r="BF613" i="20"/>
  <c r="BG612" i="20"/>
  <c r="BF612" i="20"/>
  <c r="BG611" i="20"/>
  <c r="BF611" i="20"/>
  <c r="BG610" i="20"/>
  <c r="BF610" i="20"/>
  <c r="BG607" i="20"/>
  <c r="BF607" i="20"/>
  <c r="BG604" i="20"/>
  <c r="BF604" i="20"/>
  <c r="BG602" i="20"/>
  <c r="BF602" i="20"/>
  <c r="BG600" i="20"/>
  <c r="BF600" i="20"/>
  <c r="BG599" i="20"/>
  <c r="BF599" i="20"/>
  <c r="BG598" i="20"/>
  <c r="BF598" i="20"/>
  <c r="BG597" i="20"/>
  <c r="BF597" i="20"/>
  <c r="BG596" i="20"/>
  <c r="BF596" i="20"/>
  <c r="BG595" i="20"/>
  <c r="BF595" i="20"/>
  <c r="BG594" i="20"/>
  <c r="BF594" i="20"/>
  <c r="BG593" i="20"/>
  <c r="BF593" i="20"/>
  <c r="BG592" i="20"/>
  <c r="BF592" i="20"/>
  <c r="BG591" i="20"/>
  <c r="BF591" i="20"/>
  <c r="BG590" i="20"/>
  <c r="BF590" i="20"/>
  <c r="BG589" i="20"/>
  <c r="BF589" i="20"/>
  <c r="BG588" i="20"/>
  <c r="BF588" i="20"/>
  <c r="BG585" i="20"/>
  <c r="BF585" i="20"/>
  <c r="BG584" i="20"/>
  <c r="BF584" i="20"/>
  <c r="BG581" i="20"/>
  <c r="BF581" i="20"/>
  <c r="BG580" i="20"/>
  <c r="BF580" i="20"/>
  <c r="BG577" i="20"/>
  <c r="BF577" i="20"/>
  <c r="BG576" i="20"/>
  <c r="BF576" i="20"/>
  <c r="BG575" i="20"/>
  <c r="BF575" i="20"/>
  <c r="BG574" i="20"/>
  <c r="BF574" i="20"/>
  <c r="BG573" i="20"/>
  <c r="BF573" i="20"/>
  <c r="BG572" i="20"/>
  <c r="BF572" i="20"/>
  <c r="BG571" i="20"/>
  <c r="BF571" i="20"/>
  <c r="BG570" i="20"/>
  <c r="BF570" i="20"/>
  <c r="BG569" i="20"/>
  <c r="BF569" i="20"/>
  <c r="BG568" i="20"/>
  <c r="BF568" i="20"/>
  <c r="BG567" i="20"/>
  <c r="BF567" i="20"/>
  <c r="BG566" i="20"/>
  <c r="BF566" i="20"/>
  <c r="BG565" i="20"/>
  <c r="BF565" i="20"/>
  <c r="BG564" i="20"/>
  <c r="BF564" i="20"/>
  <c r="BG563" i="20"/>
  <c r="BF563" i="20"/>
  <c r="BG562" i="20"/>
  <c r="BF562" i="20"/>
  <c r="BG561" i="20"/>
  <c r="BF561" i="20"/>
  <c r="BG560" i="20"/>
  <c r="BF560" i="20"/>
  <c r="BG559" i="20"/>
  <c r="BF559" i="20"/>
  <c r="BG558" i="20"/>
  <c r="BF558" i="20"/>
  <c r="BG557" i="20"/>
  <c r="BF557" i="20"/>
  <c r="BG556" i="20"/>
  <c r="BF556" i="20"/>
  <c r="BG555" i="20"/>
  <c r="BF555" i="20"/>
  <c r="BG554" i="20"/>
  <c r="BF554" i="20"/>
  <c r="BG553" i="20"/>
  <c r="BF553" i="20"/>
  <c r="BG552" i="20"/>
  <c r="BF552" i="20"/>
  <c r="BG551" i="20"/>
  <c r="BF551" i="20"/>
  <c r="BG550" i="20"/>
  <c r="BF550" i="20"/>
  <c r="BG549" i="20"/>
  <c r="BF549" i="20"/>
  <c r="BG546" i="20"/>
  <c r="BF546" i="20"/>
  <c r="BG545" i="20"/>
  <c r="BF545" i="20"/>
  <c r="BG544" i="20"/>
  <c r="BF544" i="20"/>
  <c r="BG543" i="20"/>
  <c r="BF543" i="20"/>
  <c r="BG542" i="20"/>
  <c r="BF542" i="20"/>
  <c r="BG541" i="20"/>
  <c r="BF541" i="20"/>
  <c r="BG540" i="20"/>
  <c r="BF540" i="20"/>
  <c r="BG539" i="20"/>
  <c r="BF539" i="20"/>
  <c r="BG538" i="20"/>
  <c r="BF538" i="20"/>
  <c r="BG537" i="20"/>
  <c r="BF537" i="20"/>
  <c r="BG534" i="20"/>
  <c r="BF534" i="20"/>
  <c r="BG533" i="20"/>
  <c r="BF533" i="20"/>
  <c r="BG532" i="20"/>
  <c r="BF532" i="20"/>
  <c r="BG531" i="20"/>
  <c r="BF531" i="20"/>
  <c r="BG530" i="20"/>
  <c r="BF530" i="20"/>
  <c r="BG528" i="20"/>
  <c r="BF528" i="20"/>
  <c r="BG527" i="20"/>
  <c r="BF527" i="20"/>
  <c r="BG525" i="20"/>
  <c r="BF525" i="20"/>
  <c r="BG520" i="20"/>
  <c r="BF520" i="20"/>
  <c r="BG519" i="20"/>
  <c r="BF519" i="20"/>
  <c r="BG518" i="20"/>
  <c r="BF518" i="20"/>
  <c r="BG517" i="20"/>
  <c r="BF517" i="20"/>
  <c r="BG516" i="20"/>
  <c r="BF516" i="20"/>
  <c r="BG515" i="20"/>
  <c r="BF515" i="20"/>
  <c r="BG514" i="20"/>
  <c r="BF514" i="20"/>
  <c r="BG513" i="20"/>
  <c r="BF513" i="20"/>
  <c r="BG512" i="20"/>
  <c r="BF512" i="20"/>
  <c r="BG511" i="20"/>
  <c r="BF511" i="20"/>
  <c r="BG509" i="20"/>
  <c r="BF509" i="20"/>
  <c r="BG508" i="20"/>
  <c r="BF508" i="20"/>
  <c r="BG507" i="20"/>
  <c r="BF507" i="20"/>
  <c r="BG506" i="20"/>
  <c r="BF506" i="20"/>
  <c r="BG505" i="20"/>
  <c r="BF505" i="20"/>
  <c r="BG504" i="20"/>
  <c r="BF504" i="20"/>
  <c r="BG503" i="20"/>
  <c r="BF503" i="20"/>
  <c r="BG502" i="20"/>
  <c r="BF502" i="20"/>
  <c r="BG501" i="20"/>
  <c r="BF501" i="20"/>
  <c r="BG500" i="20"/>
  <c r="BF500" i="20"/>
  <c r="BG499" i="20"/>
  <c r="BF499" i="20"/>
  <c r="BG498" i="20"/>
  <c r="BF498" i="20"/>
  <c r="BG497" i="20"/>
  <c r="BF497" i="20"/>
  <c r="BG496" i="20"/>
  <c r="BF496" i="20"/>
  <c r="BG495" i="20"/>
  <c r="BF495" i="20"/>
  <c r="BG494" i="20"/>
  <c r="BF494" i="20"/>
  <c r="BG493" i="20"/>
  <c r="BF493" i="20"/>
  <c r="BG492" i="20"/>
  <c r="BF492" i="20"/>
  <c r="BG491" i="20"/>
  <c r="BF491" i="20"/>
  <c r="BG490" i="20"/>
  <c r="BF490" i="20"/>
  <c r="BG489" i="20"/>
  <c r="BF489" i="20"/>
  <c r="BG488" i="20"/>
  <c r="BF488" i="20"/>
  <c r="BG487" i="20"/>
  <c r="BF487" i="20"/>
  <c r="BG486" i="20"/>
  <c r="BF486" i="20"/>
  <c r="BG485" i="20"/>
  <c r="BF485" i="20"/>
  <c r="BG484" i="20"/>
  <c r="BF484" i="20"/>
  <c r="BG483" i="20"/>
  <c r="BF483" i="20"/>
  <c r="BG481" i="20"/>
  <c r="BF481" i="20"/>
  <c r="BG480" i="20"/>
  <c r="BF480" i="20"/>
  <c r="BG479" i="20"/>
  <c r="BF479" i="20"/>
  <c r="BG477" i="20"/>
  <c r="BF477" i="20"/>
  <c r="BG476" i="20"/>
  <c r="BF476" i="20"/>
  <c r="BG475" i="20"/>
  <c r="BF475" i="20"/>
  <c r="BG473" i="20"/>
  <c r="BF473" i="20"/>
  <c r="BG466" i="20"/>
  <c r="BF466" i="20"/>
  <c r="BG465" i="20"/>
  <c r="BF465" i="20"/>
  <c r="BG462" i="20"/>
  <c r="BF462" i="20"/>
  <c r="BG461" i="20"/>
  <c r="BF461" i="20"/>
  <c r="BG456" i="20"/>
  <c r="BF456" i="20"/>
  <c r="BG455" i="20"/>
  <c r="BF455" i="20"/>
  <c r="BG454" i="20"/>
  <c r="BF454" i="20"/>
  <c r="BG448" i="20"/>
  <c r="BF448" i="20"/>
  <c r="BG447" i="20"/>
  <c r="BF447" i="20"/>
  <c r="BG446" i="20"/>
  <c r="BF446" i="20"/>
  <c r="BG445" i="20"/>
  <c r="BF445" i="20"/>
  <c r="BG444" i="20"/>
  <c r="BF444" i="20"/>
  <c r="BG443" i="20"/>
  <c r="BF443" i="20"/>
  <c r="BG442" i="20"/>
  <c r="BF442" i="20"/>
  <c r="BG441" i="20"/>
  <c r="BF441" i="20"/>
  <c r="BG440" i="20"/>
  <c r="BF440" i="20"/>
  <c r="BG439" i="20"/>
  <c r="BF439" i="20"/>
  <c r="BG438" i="20"/>
  <c r="BF438" i="20"/>
  <c r="BG437" i="20"/>
  <c r="BF437" i="20"/>
  <c r="BG436" i="20"/>
  <c r="BF436" i="20"/>
  <c r="BG435" i="20"/>
  <c r="BF435" i="20"/>
  <c r="BG434" i="20"/>
  <c r="BF434" i="20"/>
  <c r="BG433" i="20"/>
  <c r="BF433" i="20"/>
  <c r="BG432" i="20"/>
  <c r="BF432" i="20"/>
  <c r="BG431" i="20"/>
  <c r="BF431" i="20"/>
  <c r="BG430" i="20"/>
  <c r="BF430" i="20"/>
  <c r="BG429" i="20"/>
  <c r="BF429" i="20"/>
  <c r="BG428" i="20"/>
  <c r="BF428" i="20"/>
  <c r="BG427" i="20"/>
  <c r="BF427" i="20"/>
  <c r="BG426" i="20"/>
  <c r="BF426" i="20"/>
  <c r="BG425" i="20"/>
  <c r="BF425" i="20"/>
  <c r="BG424" i="20"/>
  <c r="BF424" i="20"/>
  <c r="BG423" i="20"/>
  <c r="BF423" i="20"/>
  <c r="BG422" i="20"/>
  <c r="BF422" i="20"/>
  <c r="BG421" i="20"/>
  <c r="BF421" i="20"/>
  <c r="BG420" i="20"/>
  <c r="BF420" i="20"/>
  <c r="BG419" i="20"/>
  <c r="BF419" i="20"/>
  <c r="BG418" i="20"/>
  <c r="BF418" i="20"/>
  <c r="BG417" i="20"/>
  <c r="BF417" i="20"/>
  <c r="BG416" i="20"/>
  <c r="BF416" i="20"/>
  <c r="BG415" i="20"/>
  <c r="BF415" i="20"/>
  <c r="BG414" i="20"/>
  <c r="BF414" i="20"/>
  <c r="BG413" i="20"/>
  <c r="BF413" i="20"/>
  <c r="BG412" i="20"/>
  <c r="BF412" i="20"/>
  <c r="BG411" i="20"/>
  <c r="BF411" i="20"/>
  <c r="BG410" i="20"/>
  <c r="BF410" i="20"/>
  <c r="BG409" i="20"/>
  <c r="BF409" i="20"/>
  <c r="BG408" i="20"/>
  <c r="BF408" i="20"/>
  <c r="BG407" i="20"/>
  <c r="BF407" i="20"/>
  <c r="BG406" i="20"/>
  <c r="BF406" i="20"/>
  <c r="BG405" i="20"/>
  <c r="BF405" i="20"/>
  <c r="BG404" i="20"/>
  <c r="BF404" i="20"/>
  <c r="BG403" i="20"/>
  <c r="BF403" i="20"/>
  <c r="BG402" i="20"/>
  <c r="BF402" i="20"/>
  <c r="BG401" i="20"/>
  <c r="BF401" i="20"/>
  <c r="BG400" i="20"/>
  <c r="BF400" i="20"/>
  <c r="BG399" i="20"/>
  <c r="BF399" i="20"/>
  <c r="BG398" i="20"/>
  <c r="BF398" i="20"/>
  <c r="BG397" i="20"/>
  <c r="BF397" i="20"/>
  <c r="BG396" i="20"/>
  <c r="BF396" i="20"/>
  <c r="BG395" i="20"/>
  <c r="BF395" i="20"/>
  <c r="BG394" i="20"/>
  <c r="BF394" i="20"/>
  <c r="BG393" i="20"/>
  <c r="BF393" i="20"/>
  <c r="BG392" i="20"/>
  <c r="BF392" i="20"/>
  <c r="BG391" i="20"/>
  <c r="BF391" i="20"/>
  <c r="BG390" i="20"/>
  <c r="BF390" i="20"/>
  <c r="BG389" i="20"/>
  <c r="BF389" i="20"/>
  <c r="BG386" i="20"/>
  <c r="BF386" i="20"/>
  <c r="BG385" i="20"/>
  <c r="BF385" i="20"/>
  <c r="BG384" i="20"/>
  <c r="BF384" i="20"/>
  <c r="BG383" i="20"/>
  <c r="BF383" i="20"/>
  <c r="BG382" i="20"/>
  <c r="BF382" i="20"/>
  <c r="BG375" i="20"/>
  <c r="BF375" i="20"/>
  <c r="BG374" i="20"/>
  <c r="BF374" i="20"/>
  <c r="BG365" i="20"/>
  <c r="BF365" i="20"/>
  <c r="BG364" i="20"/>
  <c r="BF364" i="20"/>
  <c r="BG363" i="20"/>
  <c r="BF363" i="20"/>
  <c r="BG362" i="20"/>
  <c r="BF362" i="20"/>
  <c r="BG360" i="20"/>
  <c r="BF360" i="20"/>
  <c r="BG358" i="20"/>
  <c r="BF358" i="20"/>
  <c r="BG357" i="20"/>
  <c r="BF357" i="20"/>
  <c r="BG356" i="20"/>
  <c r="BF356" i="20"/>
  <c r="BG355" i="20"/>
  <c r="BF355" i="20"/>
  <c r="BG354" i="20"/>
  <c r="BF354" i="20"/>
  <c r="BG353" i="20"/>
  <c r="BF353" i="20"/>
  <c r="BG352" i="20"/>
  <c r="BF352" i="20"/>
  <c r="BG351" i="20"/>
  <c r="BF351" i="20"/>
  <c r="BG350" i="20"/>
  <c r="BF350" i="20"/>
  <c r="BG349" i="20"/>
  <c r="BF349" i="20"/>
  <c r="BG336" i="20"/>
  <c r="BF336" i="20"/>
  <c r="BG334" i="20"/>
  <c r="BF334" i="20"/>
  <c r="BG333" i="20"/>
  <c r="BF333" i="20"/>
  <c r="BG332" i="20"/>
  <c r="BF332" i="20"/>
  <c r="BG331" i="20"/>
  <c r="BF331" i="20"/>
  <c r="BG330" i="20"/>
  <c r="BF330" i="20"/>
  <c r="BG329" i="20"/>
  <c r="BF329" i="20"/>
  <c r="BG328" i="20"/>
  <c r="BF328" i="20"/>
  <c r="BG327" i="20"/>
  <c r="BF327" i="20"/>
  <c r="BG326" i="20"/>
  <c r="BF326" i="20"/>
  <c r="BG325" i="20"/>
  <c r="BF325" i="20"/>
  <c r="BG324" i="20"/>
  <c r="BF324" i="20"/>
  <c r="BG323" i="20"/>
  <c r="BF323" i="20"/>
  <c r="BG322" i="20"/>
  <c r="BF322" i="20"/>
  <c r="BG321" i="20"/>
  <c r="BF321" i="20"/>
  <c r="BG320" i="20"/>
  <c r="BF320" i="20"/>
  <c r="BG319" i="20"/>
  <c r="BF319" i="20"/>
  <c r="BG318" i="20"/>
  <c r="BF318" i="20"/>
  <c r="BG317" i="20"/>
  <c r="BF317" i="20"/>
  <c r="BG313" i="20"/>
  <c r="BF313" i="20"/>
  <c r="BG312" i="20"/>
  <c r="BF312" i="20"/>
  <c r="BG311" i="20"/>
  <c r="BF311" i="20"/>
  <c r="BG310" i="20"/>
  <c r="BF310" i="20"/>
  <c r="BG309" i="20"/>
  <c r="BF309" i="20"/>
  <c r="BG308" i="20"/>
  <c r="BF308" i="20"/>
  <c r="BG307" i="20"/>
  <c r="BF307" i="20"/>
  <c r="BG306" i="20"/>
  <c r="BF306" i="20"/>
  <c r="BG304" i="20"/>
  <c r="BF304" i="20"/>
  <c r="BG303" i="20"/>
  <c r="BF303" i="20"/>
  <c r="BG302" i="20"/>
  <c r="BF302" i="20"/>
  <c r="BG301" i="20"/>
  <c r="BF301" i="20"/>
  <c r="BG299" i="20"/>
  <c r="BF299" i="20"/>
  <c r="BG298" i="20"/>
  <c r="BF298" i="20"/>
  <c r="BG297" i="20"/>
  <c r="BF297" i="20"/>
  <c r="BG296" i="20"/>
  <c r="BF296" i="20"/>
  <c r="BG291" i="20"/>
  <c r="BF291" i="20"/>
  <c r="BG289" i="20"/>
  <c r="BF289" i="20"/>
  <c r="BG288" i="20"/>
  <c r="BF288" i="20"/>
  <c r="BG287" i="20"/>
  <c r="BF287" i="20"/>
  <c r="BG286" i="20"/>
  <c r="BF286" i="20"/>
  <c r="BG285" i="20"/>
  <c r="BF285" i="20"/>
  <c r="BG284" i="20"/>
  <c r="BF284" i="20"/>
  <c r="BG280" i="20"/>
  <c r="BF280" i="20"/>
  <c r="BG279" i="20"/>
  <c r="BF279" i="20"/>
  <c r="BG278" i="20"/>
  <c r="BF278" i="20"/>
  <c r="BG277" i="20"/>
  <c r="BF277" i="20"/>
  <c r="BG274" i="20"/>
  <c r="BF274" i="20"/>
  <c r="BG271" i="20"/>
  <c r="BF271" i="20"/>
  <c r="BG269" i="20"/>
  <c r="BF269" i="20"/>
  <c r="BG265" i="20"/>
  <c r="BF265" i="20"/>
  <c r="BG264" i="20"/>
  <c r="BF264" i="20"/>
  <c r="BG263" i="20"/>
  <c r="BF263" i="20"/>
  <c r="BG262" i="20"/>
  <c r="BF262" i="20"/>
  <c r="BG260" i="20"/>
  <c r="BF260" i="20"/>
  <c r="BG259" i="20"/>
  <c r="BF259" i="20"/>
  <c r="BG258" i="20"/>
  <c r="BF258" i="20"/>
  <c r="BG257" i="20"/>
  <c r="BF257" i="20"/>
  <c r="BG256" i="20"/>
  <c r="BF256" i="20"/>
  <c r="BG255" i="20"/>
  <c r="BF255" i="20"/>
  <c r="BG252" i="20"/>
  <c r="BF252" i="20"/>
  <c r="BG251" i="20"/>
  <c r="BF251" i="20"/>
  <c r="BG250" i="20"/>
  <c r="BF250" i="20"/>
  <c r="BG249" i="20"/>
  <c r="BF249" i="20"/>
  <c r="BG248" i="20"/>
  <c r="BF248" i="20"/>
  <c r="BG247" i="20"/>
  <c r="BF247" i="20"/>
  <c r="BG246" i="20"/>
  <c r="BF246" i="20"/>
  <c r="BG243" i="20"/>
  <c r="BF243" i="20"/>
  <c r="BG242" i="20"/>
  <c r="BF242" i="20"/>
  <c r="BG240" i="20"/>
  <c r="BF240" i="20"/>
  <c r="BG239" i="20"/>
  <c r="BF239" i="20"/>
  <c r="BG237" i="20"/>
  <c r="BF237" i="20"/>
  <c r="BG236" i="20"/>
  <c r="BF236" i="20"/>
  <c r="BG235" i="20"/>
  <c r="BF235" i="20"/>
  <c r="BG234" i="20"/>
  <c r="BF234" i="20"/>
  <c r="BG233" i="20"/>
  <c r="BF233" i="20"/>
  <c r="BG232" i="20"/>
  <c r="BF232" i="20"/>
  <c r="BG231" i="20"/>
  <c r="BF231" i="20"/>
  <c r="BG230" i="20"/>
  <c r="BF230" i="20"/>
  <c r="BG229" i="20"/>
  <c r="BF229" i="20"/>
  <c r="BG228" i="20"/>
  <c r="BF228" i="20"/>
  <c r="BG227" i="20"/>
  <c r="BF227" i="20"/>
  <c r="BG226" i="20"/>
  <c r="BF226" i="20"/>
  <c r="BG224" i="20"/>
  <c r="BF224" i="20"/>
  <c r="BG223" i="20"/>
  <c r="BF223" i="20"/>
  <c r="BG222" i="20"/>
  <c r="BF222" i="20"/>
  <c r="BG221" i="20"/>
  <c r="BF221" i="20"/>
  <c r="BG220" i="20"/>
  <c r="BF220" i="20"/>
  <c r="BG219" i="20"/>
  <c r="BF219" i="20"/>
  <c r="BG218" i="20"/>
  <c r="BF218" i="20"/>
  <c r="BG217" i="20"/>
  <c r="BF217" i="20"/>
  <c r="BG214" i="20"/>
  <c r="BF214" i="20"/>
  <c r="BG211" i="20"/>
  <c r="BF211" i="20"/>
  <c r="BG210" i="20"/>
  <c r="BF210" i="20"/>
  <c r="BG209" i="20"/>
  <c r="BF209" i="20"/>
  <c r="BG208" i="20"/>
  <c r="BF208" i="20"/>
  <c r="BG207" i="20"/>
  <c r="BF207" i="20"/>
  <c r="BG206" i="20"/>
  <c r="BF206" i="20"/>
  <c r="BG203" i="20"/>
  <c r="BF203" i="20"/>
  <c r="BG202" i="20"/>
  <c r="BF202" i="20"/>
  <c r="BG201" i="20"/>
  <c r="BF201" i="20"/>
  <c r="BG200" i="20"/>
  <c r="BF200" i="20"/>
  <c r="BG198" i="20"/>
  <c r="BF198" i="20"/>
  <c r="BG195" i="20"/>
  <c r="BF195" i="20"/>
  <c r="BG193" i="20"/>
  <c r="BF193" i="20"/>
  <c r="BG190" i="20"/>
  <c r="BF190" i="20"/>
  <c r="BG189" i="20"/>
  <c r="BF189" i="20"/>
  <c r="BG188" i="20"/>
  <c r="BF188" i="20"/>
  <c r="BG187" i="20"/>
  <c r="BF187" i="20"/>
  <c r="BG186" i="20"/>
  <c r="BF186" i="20"/>
  <c r="BG185" i="20"/>
  <c r="BF185" i="20"/>
  <c r="BG184" i="20"/>
  <c r="BF184" i="20"/>
  <c r="BG183" i="20"/>
  <c r="BF183" i="20"/>
  <c r="BG182" i="20"/>
  <c r="BF182" i="20"/>
  <c r="BG181" i="20"/>
  <c r="BF181" i="20"/>
  <c r="BG180" i="20"/>
  <c r="BF180" i="20"/>
  <c r="BG179" i="20"/>
  <c r="BF179" i="20"/>
  <c r="BG178" i="20"/>
  <c r="BF178" i="20"/>
  <c r="BG177" i="20"/>
  <c r="BF177" i="20"/>
  <c r="BG176" i="20"/>
  <c r="BF176" i="20"/>
  <c r="BG175" i="20"/>
  <c r="BF175" i="20"/>
  <c r="BG174" i="20"/>
  <c r="BF174" i="20"/>
  <c r="BG173" i="20"/>
  <c r="BF173" i="20"/>
  <c r="BG172" i="20"/>
  <c r="BF172" i="20"/>
  <c r="BG171" i="20"/>
  <c r="BF171" i="20"/>
  <c r="BG169" i="20"/>
  <c r="BF169" i="20"/>
  <c r="BG168" i="20"/>
  <c r="BF168" i="20"/>
  <c r="BG167" i="20"/>
  <c r="BF167" i="20"/>
  <c r="BG166" i="20"/>
  <c r="BF166" i="20"/>
  <c r="BG165" i="20"/>
  <c r="BF165" i="20"/>
  <c r="BG164" i="20"/>
  <c r="BF164" i="20"/>
  <c r="BG162" i="20"/>
  <c r="BF162" i="20"/>
  <c r="BG157" i="20"/>
  <c r="BF157" i="20"/>
  <c r="BG156" i="20"/>
  <c r="BF156" i="20"/>
  <c r="BG155" i="20"/>
  <c r="BF155" i="20"/>
  <c r="BG154" i="20"/>
  <c r="BF154" i="20"/>
  <c r="BG153" i="20"/>
  <c r="BF153" i="20"/>
  <c r="BG151" i="20"/>
  <c r="BF151" i="20"/>
  <c r="BG150" i="20"/>
  <c r="BF150" i="20"/>
  <c r="BG149" i="20"/>
  <c r="BF149" i="20"/>
  <c r="BG148" i="20"/>
  <c r="BF148" i="20"/>
  <c r="BG147" i="20"/>
  <c r="BF147" i="20"/>
  <c r="BG146" i="20"/>
  <c r="BF146" i="20"/>
  <c r="BG145" i="20"/>
  <c r="BF145" i="20"/>
  <c r="BG143" i="20"/>
  <c r="BF143" i="20"/>
  <c r="BG141" i="20"/>
  <c r="BF141" i="20"/>
  <c r="BG138" i="20"/>
  <c r="BF138" i="20"/>
  <c r="BG134" i="20"/>
  <c r="BF134" i="20"/>
  <c r="BG132" i="20"/>
  <c r="BF132" i="20"/>
  <c r="BG131" i="20"/>
  <c r="BF131" i="20"/>
  <c r="BG130" i="20"/>
  <c r="BF130" i="20"/>
  <c r="BG129" i="20"/>
  <c r="BF129" i="20"/>
  <c r="BG125" i="20"/>
  <c r="BF125" i="20"/>
  <c r="BG124" i="20"/>
  <c r="BF124" i="20"/>
  <c r="BG122" i="20"/>
  <c r="BF122" i="20"/>
  <c r="BG121" i="20"/>
  <c r="BF121" i="20"/>
  <c r="BG120" i="20"/>
  <c r="BF120" i="20"/>
  <c r="BG119" i="20"/>
  <c r="BF119" i="20"/>
  <c r="BG118" i="20"/>
  <c r="BF118" i="20"/>
  <c r="BG117" i="20"/>
  <c r="BF117" i="20"/>
  <c r="BG116" i="20"/>
  <c r="BF116" i="20"/>
  <c r="BG115" i="20"/>
  <c r="BF115" i="20"/>
  <c r="BG114" i="20"/>
  <c r="BF114" i="20"/>
  <c r="BG113" i="20"/>
  <c r="BF113" i="20"/>
  <c r="BG112" i="20"/>
  <c r="BF112" i="20"/>
  <c r="BG111" i="20"/>
  <c r="BF111" i="20"/>
  <c r="BG110" i="20"/>
  <c r="BF110" i="20"/>
  <c r="BG109" i="20"/>
  <c r="BF109" i="20"/>
  <c r="BG108" i="20"/>
  <c r="BF108" i="20"/>
  <c r="BG107" i="20"/>
  <c r="BF107" i="20"/>
  <c r="BG106" i="20"/>
  <c r="BF106" i="20"/>
  <c r="BG105" i="20"/>
  <c r="BF105" i="20"/>
  <c r="BG104" i="20"/>
  <c r="BF104" i="20"/>
  <c r="BG103" i="20"/>
  <c r="BF103" i="20"/>
  <c r="BG102" i="20"/>
  <c r="BF102" i="20"/>
  <c r="BG101" i="20"/>
  <c r="BF101" i="20"/>
  <c r="BG98" i="20"/>
  <c r="BF98" i="20"/>
  <c r="BG97" i="20"/>
  <c r="BF97" i="20"/>
  <c r="BG94" i="20"/>
  <c r="BF94" i="20"/>
  <c r="BG93" i="20"/>
  <c r="BF93" i="20"/>
  <c r="BG92" i="20"/>
  <c r="BF92" i="20"/>
  <c r="BG90" i="20"/>
  <c r="BF90" i="20"/>
  <c r="BG89" i="20"/>
  <c r="BF89" i="20"/>
  <c r="BG88" i="20"/>
  <c r="BF88" i="20"/>
  <c r="BG87" i="20"/>
  <c r="BF87" i="20"/>
  <c r="BG86" i="20"/>
  <c r="BF86" i="20"/>
  <c r="BG85" i="20"/>
  <c r="BF85" i="20"/>
  <c r="BG84" i="20"/>
  <c r="BF84" i="20"/>
  <c r="BG83" i="20"/>
  <c r="BF83" i="20"/>
  <c r="BG82" i="20"/>
  <c r="BF82" i="20"/>
  <c r="BG81" i="20"/>
  <c r="BF81" i="20"/>
  <c r="BG80" i="20"/>
  <c r="BF80" i="20"/>
  <c r="BG79" i="20"/>
  <c r="BF79" i="20"/>
  <c r="BG78" i="20"/>
  <c r="BF78" i="20"/>
  <c r="BG77" i="20"/>
  <c r="BF77" i="20"/>
  <c r="BG76" i="20"/>
  <c r="BF76" i="20"/>
  <c r="BG75" i="20"/>
  <c r="BF75" i="20"/>
  <c r="BG74" i="20"/>
  <c r="BF74" i="20"/>
  <c r="BG73" i="20"/>
  <c r="BF73" i="20"/>
  <c r="BG72" i="20"/>
  <c r="BF72" i="20"/>
  <c r="BG71" i="20"/>
  <c r="BF71" i="20"/>
  <c r="BG70" i="20"/>
  <c r="BF70" i="20"/>
  <c r="BG69" i="20"/>
  <c r="BF69" i="20"/>
  <c r="BG68" i="20"/>
  <c r="BF68" i="20"/>
  <c r="BG67" i="20"/>
  <c r="BF67" i="20"/>
  <c r="BG66" i="20"/>
  <c r="BF66" i="20"/>
  <c r="BG65" i="20"/>
  <c r="BF65" i="20"/>
  <c r="BG64" i="20"/>
  <c r="BF64" i="20"/>
  <c r="BG63" i="20"/>
  <c r="BF63" i="20"/>
  <c r="BG62" i="20"/>
  <c r="BF62" i="20"/>
  <c r="BG60" i="20"/>
  <c r="BF60" i="20"/>
  <c r="BG59" i="20"/>
  <c r="BF59" i="20"/>
  <c r="BG58" i="20"/>
  <c r="BF58" i="20"/>
  <c r="BG57" i="20"/>
  <c r="BF57" i="20"/>
  <c r="BG56" i="20"/>
  <c r="BF56" i="20"/>
  <c r="BG55" i="20"/>
  <c r="BF55" i="20"/>
  <c r="BG54" i="20"/>
  <c r="BF54" i="20"/>
  <c r="BG53" i="20"/>
  <c r="BF53" i="20"/>
  <c r="BG52" i="20"/>
  <c r="BF52" i="20"/>
  <c r="BG51" i="20"/>
  <c r="BF51" i="20"/>
  <c r="BG50" i="20"/>
  <c r="BF50" i="20"/>
  <c r="BG49" i="20"/>
  <c r="BF49" i="20"/>
  <c r="BG48" i="20"/>
  <c r="BF48" i="20"/>
  <c r="BG47" i="20"/>
  <c r="BF47" i="20"/>
  <c r="BG42" i="20"/>
  <c r="BF42" i="20"/>
  <c r="BG41" i="20"/>
  <c r="BF41" i="20"/>
  <c r="BG40" i="20"/>
  <c r="BF40" i="20"/>
  <c r="BG39" i="20"/>
  <c r="BF39" i="20"/>
  <c r="BG38" i="20"/>
  <c r="BF38" i="20"/>
  <c r="BG37" i="20"/>
  <c r="BF37" i="20"/>
  <c r="BG36" i="20"/>
  <c r="BF36" i="20"/>
  <c r="BG35" i="20"/>
  <c r="BF35" i="20"/>
  <c r="BG29" i="20"/>
  <c r="BF29" i="20"/>
  <c r="BG28" i="20"/>
  <c r="BF28" i="20"/>
  <c r="BG26" i="20"/>
  <c r="BF26" i="20"/>
  <c r="BG25" i="20"/>
  <c r="BF25" i="20"/>
  <c r="BG24" i="20"/>
  <c r="BF24" i="20"/>
  <c r="BG23" i="20"/>
  <c r="BF23" i="20"/>
  <c r="BG21" i="20"/>
  <c r="BF21" i="20"/>
  <c r="BG20" i="20"/>
  <c r="BF20" i="20"/>
  <c r="BG19" i="20"/>
  <c r="BF19" i="20"/>
  <c r="BG18" i="20"/>
  <c r="BF18" i="20"/>
  <c r="BG17" i="20"/>
  <c r="BF17" i="20"/>
  <c r="BG16" i="20"/>
  <c r="BF16" i="20"/>
  <c r="BG14" i="20"/>
  <c r="BF14" i="20"/>
  <c r="BG12" i="20"/>
  <c r="BF12" i="20"/>
  <c r="BG11" i="20"/>
  <c r="BF11" i="20"/>
  <c r="BG10" i="20"/>
  <c r="BF10" i="20"/>
  <c r="BG8" i="20"/>
  <c r="BF8" i="20"/>
  <c r="BG7" i="20"/>
  <c r="BF7" i="20"/>
  <c r="BG6" i="20"/>
  <c r="BF6" i="20"/>
  <c r="BB523" i="20"/>
  <c r="BA523" i="20"/>
  <c r="BB138" i="20"/>
  <c r="BA138" i="20"/>
  <c r="AW632" i="20"/>
  <c r="AV632" i="20"/>
  <c r="AW631" i="20"/>
  <c r="AV631" i="20"/>
  <c r="AW630" i="20"/>
  <c r="AV630" i="20"/>
  <c r="AW629" i="20"/>
  <c r="AV629" i="20"/>
  <c r="AW628" i="20"/>
  <c r="AV628" i="20"/>
  <c r="AW627" i="20"/>
  <c r="AV627" i="20"/>
  <c r="AW626" i="20"/>
  <c r="AV626" i="20"/>
  <c r="AW625" i="20"/>
  <c r="AV625" i="20"/>
  <c r="AW624" i="20"/>
  <c r="AV624" i="20"/>
  <c r="AW623" i="20"/>
  <c r="AV623" i="20"/>
  <c r="AW622" i="20"/>
  <c r="AV622" i="20"/>
  <c r="AW621" i="20"/>
  <c r="AV621" i="20"/>
  <c r="AW620" i="20"/>
  <c r="AV620" i="20"/>
  <c r="AW619" i="20"/>
  <c r="AV619" i="20"/>
  <c r="AW618" i="20"/>
  <c r="AV618" i="20"/>
  <c r="AW617" i="20"/>
  <c r="AV617" i="20"/>
  <c r="AW613" i="20"/>
  <c r="AV613" i="20"/>
  <c r="AW612" i="20"/>
  <c r="AV612" i="20"/>
  <c r="AW611" i="20"/>
  <c r="AV611" i="20"/>
  <c r="AW610" i="20"/>
  <c r="AV610" i="20"/>
  <c r="AW609" i="20"/>
  <c r="AV609" i="20"/>
  <c r="AW608" i="20"/>
  <c r="AV608" i="20"/>
  <c r="AW607" i="20"/>
  <c r="AV607" i="20"/>
  <c r="AW606" i="20"/>
  <c r="AV606" i="20"/>
  <c r="AW605" i="20"/>
  <c r="AV605" i="20"/>
  <c r="AW604" i="20"/>
  <c r="AV604" i="20"/>
  <c r="AW603" i="20"/>
  <c r="AV603" i="20"/>
  <c r="AW602" i="20"/>
  <c r="AV602" i="20"/>
  <c r="AW601" i="20"/>
  <c r="AV601" i="20"/>
  <c r="AW600" i="20"/>
  <c r="AV600" i="20"/>
  <c r="AW599" i="20"/>
  <c r="AV599" i="20"/>
  <c r="AW598" i="20"/>
  <c r="AV598" i="20"/>
  <c r="AW593" i="20"/>
  <c r="AV593" i="20"/>
  <c r="AW592" i="20"/>
  <c r="AV592" i="20"/>
  <c r="AW591" i="20"/>
  <c r="AV591" i="20"/>
  <c r="AW590" i="20"/>
  <c r="AV590" i="20"/>
  <c r="AW589" i="20"/>
  <c r="AV589" i="20"/>
  <c r="AW588" i="20"/>
  <c r="AV588" i="20"/>
  <c r="AW587" i="20"/>
  <c r="AV587" i="20"/>
  <c r="AW586" i="20"/>
  <c r="AV586" i="20"/>
  <c r="AW585" i="20"/>
  <c r="AV585" i="20"/>
  <c r="AW584" i="20"/>
  <c r="AV584" i="20"/>
  <c r="AW583" i="20"/>
  <c r="AV583" i="20"/>
  <c r="AW582" i="20"/>
  <c r="AV582" i="20"/>
  <c r="AW581" i="20"/>
  <c r="AV581" i="20"/>
  <c r="AW580" i="20"/>
  <c r="AV580" i="20"/>
  <c r="AW579" i="20"/>
  <c r="AV579" i="20"/>
  <c r="AW578" i="20"/>
  <c r="AV578" i="20"/>
  <c r="AW577" i="20"/>
  <c r="AV577" i="20"/>
  <c r="AW576" i="20"/>
  <c r="AV576" i="20"/>
  <c r="AW575" i="20"/>
  <c r="AV575" i="20"/>
  <c r="AW574" i="20"/>
  <c r="AV574" i="20"/>
  <c r="AW573" i="20"/>
  <c r="AV573" i="20"/>
  <c r="AW572" i="20"/>
  <c r="AV572" i="20"/>
  <c r="AW570" i="20"/>
  <c r="AV570" i="20"/>
  <c r="AW569" i="20"/>
  <c r="AV569" i="20"/>
  <c r="AW568" i="20"/>
  <c r="AV568" i="20"/>
  <c r="AW567" i="20"/>
  <c r="AV567" i="20"/>
  <c r="AW566" i="20"/>
  <c r="AV566" i="20"/>
  <c r="AW565" i="20"/>
  <c r="AV565" i="20"/>
  <c r="AW564" i="20"/>
  <c r="AV564" i="20"/>
  <c r="AW563" i="20"/>
  <c r="AV563" i="20"/>
  <c r="AW561" i="20"/>
  <c r="AV561" i="20"/>
  <c r="AW560" i="20"/>
  <c r="AV560" i="20"/>
  <c r="AW559" i="20"/>
  <c r="AV559" i="20"/>
  <c r="AW558" i="20"/>
  <c r="AV558" i="20"/>
  <c r="AW557" i="20"/>
  <c r="AV557" i="20"/>
  <c r="AW556" i="20"/>
  <c r="AV556" i="20"/>
  <c r="AW555" i="20"/>
  <c r="AV555" i="20"/>
  <c r="AW554" i="20"/>
  <c r="AV554" i="20"/>
  <c r="AW553" i="20"/>
  <c r="AV553" i="20"/>
  <c r="AW552" i="20"/>
  <c r="AV552" i="20"/>
  <c r="AW551" i="20"/>
  <c r="AV551" i="20"/>
  <c r="AW550" i="20"/>
  <c r="AV550" i="20"/>
  <c r="AW549" i="20"/>
  <c r="AV549" i="20"/>
  <c r="AW548" i="20"/>
  <c r="AV548" i="20"/>
  <c r="AW547" i="20"/>
  <c r="AV547" i="20"/>
  <c r="AW546" i="20"/>
  <c r="AV546" i="20"/>
  <c r="AW545" i="20"/>
  <c r="AV545" i="20"/>
  <c r="AW544" i="20"/>
  <c r="AV544" i="20"/>
  <c r="AW543" i="20"/>
  <c r="AV543" i="20"/>
  <c r="AW542" i="20"/>
  <c r="AV542" i="20"/>
  <c r="AW541" i="20"/>
  <c r="AV541" i="20"/>
  <c r="AW540" i="20"/>
  <c r="AV540" i="20"/>
  <c r="AW539" i="20"/>
  <c r="AV539" i="20"/>
  <c r="AW538" i="20"/>
  <c r="AV538" i="20"/>
  <c r="AW537" i="20"/>
  <c r="AV537" i="20"/>
  <c r="AW536" i="20"/>
  <c r="AV536" i="20"/>
  <c r="AW535" i="20"/>
  <c r="AV535" i="20"/>
  <c r="AW534" i="20"/>
  <c r="AV534" i="20"/>
  <c r="AW533" i="20"/>
  <c r="AV533" i="20"/>
  <c r="AW532" i="20"/>
  <c r="AV532" i="20"/>
  <c r="AW531" i="20"/>
  <c r="AV531" i="20"/>
  <c r="AW530" i="20"/>
  <c r="AV530" i="20"/>
  <c r="AW529" i="20"/>
  <c r="AV529" i="20"/>
  <c r="AW528" i="20"/>
  <c r="AV528" i="20"/>
  <c r="AW527" i="20"/>
  <c r="AV527" i="20"/>
  <c r="AW526" i="20"/>
  <c r="AV526" i="20"/>
  <c r="AW525" i="20"/>
  <c r="AV525" i="20"/>
  <c r="AW524" i="20"/>
  <c r="AV524" i="20"/>
  <c r="AW523" i="20"/>
  <c r="AV523" i="20"/>
  <c r="AW522" i="20"/>
  <c r="AV522" i="20"/>
  <c r="AW521" i="20"/>
  <c r="AV521" i="20"/>
  <c r="AW520" i="20"/>
  <c r="AV520" i="20"/>
  <c r="AW519" i="20"/>
  <c r="AV519" i="20"/>
  <c r="AW518" i="20"/>
  <c r="AV518" i="20"/>
  <c r="AW517" i="20"/>
  <c r="AV517" i="20"/>
  <c r="AW516" i="20"/>
  <c r="AV516" i="20"/>
  <c r="AW515" i="20"/>
  <c r="AV515" i="20"/>
  <c r="AW514" i="20"/>
  <c r="AV514" i="20"/>
  <c r="AW513" i="20"/>
  <c r="AV513" i="20"/>
  <c r="AW512" i="20"/>
  <c r="AV512" i="20"/>
  <c r="AW511" i="20"/>
  <c r="AV511" i="20"/>
  <c r="AW510" i="20"/>
  <c r="AV510" i="20"/>
  <c r="AW509" i="20"/>
  <c r="AV509" i="20"/>
  <c r="AW508" i="20"/>
  <c r="AV508" i="20"/>
  <c r="AW507" i="20"/>
  <c r="AV507" i="20"/>
  <c r="AW506" i="20"/>
  <c r="AV506" i="20"/>
  <c r="AW505" i="20"/>
  <c r="AV505" i="20"/>
  <c r="AW504" i="20"/>
  <c r="AV504" i="20"/>
  <c r="AW503" i="20"/>
  <c r="AV503" i="20"/>
  <c r="AW502" i="20"/>
  <c r="AV502" i="20"/>
  <c r="AW501" i="20"/>
  <c r="AV501" i="20"/>
  <c r="AW500" i="20"/>
  <c r="AV500" i="20"/>
  <c r="AW499" i="20"/>
  <c r="AV499" i="20"/>
  <c r="AW498" i="20"/>
  <c r="AV498" i="20"/>
  <c r="AW497" i="20"/>
  <c r="AV497" i="20"/>
  <c r="AW496" i="20"/>
  <c r="AV496" i="20"/>
  <c r="AW495" i="20"/>
  <c r="AV495" i="20"/>
  <c r="AW494" i="20"/>
  <c r="AV494" i="20"/>
  <c r="AW493" i="20"/>
  <c r="AV493" i="20"/>
  <c r="AW492" i="20"/>
  <c r="AV492" i="20"/>
  <c r="AW491" i="20"/>
  <c r="AV491" i="20"/>
  <c r="AW490" i="20"/>
  <c r="AV490" i="20"/>
  <c r="AW489" i="20"/>
  <c r="AV489" i="20"/>
  <c r="AW488" i="20"/>
  <c r="AV488" i="20"/>
  <c r="AW487" i="20"/>
  <c r="AV487" i="20"/>
  <c r="AW486" i="20"/>
  <c r="AV486" i="20"/>
  <c r="AW485" i="20"/>
  <c r="AV485" i="20"/>
  <c r="AW484" i="20"/>
  <c r="AV484" i="20"/>
  <c r="AW483" i="20"/>
  <c r="AV483" i="20"/>
  <c r="AW482" i="20"/>
  <c r="AV482" i="20"/>
  <c r="AW481" i="20"/>
  <c r="AV481" i="20"/>
  <c r="AW480" i="20"/>
  <c r="AV480" i="20"/>
  <c r="AW479" i="20"/>
  <c r="AV479" i="20"/>
  <c r="AW478" i="20"/>
  <c r="AV478" i="20"/>
  <c r="AW477" i="20"/>
  <c r="AV477" i="20"/>
  <c r="AW476" i="20"/>
  <c r="AV476" i="20"/>
  <c r="AW475" i="20"/>
  <c r="AV475" i="20"/>
  <c r="AW474" i="20"/>
  <c r="AV474" i="20"/>
  <c r="AW473" i="20"/>
  <c r="AV473" i="20"/>
  <c r="AW472" i="20"/>
  <c r="AV472" i="20"/>
  <c r="AW471" i="20"/>
  <c r="AV471" i="20"/>
  <c r="AW470" i="20"/>
  <c r="AV470" i="20"/>
  <c r="AW469" i="20"/>
  <c r="AV469" i="20"/>
  <c r="AW468" i="20"/>
  <c r="AV468" i="20"/>
  <c r="AW467" i="20"/>
  <c r="AV467" i="20"/>
  <c r="AW466" i="20"/>
  <c r="AV466" i="20"/>
  <c r="AW465" i="20"/>
  <c r="AV465" i="20"/>
  <c r="AW464" i="20"/>
  <c r="AV464" i="20"/>
  <c r="AW463" i="20"/>
  <c r="AV463" i="20"/>
  <c r="AW462" i="20"/>
  <c r="AV462" i="20"/>
  <c r="AW461" i="20"/>
  <c r="AV461" i="20"/>
  <c r="AW460" i="20"/>
  <c r="AV460" i="20"/>
  <c r="AW459" i="20"/>
  <c r="AV459" i="20"/>
  <c r="AW458" i="20"/>
  <c r="AV458" i="20"/>
  <c r="AW457" i="20"/>
  <c r="AV457" i="20"/>
  <c r="AW456" i="20"/>
  <c r="AV456" i="20"/>
  <c r="AW455" i="20"/>
  <c r="AV455" i="20"/>
  <c r="AW454" i="20"/>
  <c r="AV454" i="20"/>
  <c r="AW453" i="20"/>
  <c r="AV453" i="20"/>
  <c r="AW452" i="20"/>
  <c r="AV452" i="20"/>
  <c r="AW451" i="20"/>
  <c r="AV451" i="20"/>
  <c r="AW450" i="20"/>
  <c r="AV450" i="20"/>
  <c r="AW449" i="20"/>
  <c r="AV449" i="20"/>
  <c r="AW448" i="20"/>
  <c r="AV448" i="20"/>
  <c r="AW447" i="20"/>
  <c r="AV447" i="20"/>
  <c r="AW446" i="20"/>
  <c r="AV446" i="20"/>
  <c r="AW445" i="20"/>
  <c r="AV445" i="20"/>
  <c r="AW444" i="20"/>
  <c r="AV444" i="20"/>
  <c r="AW443" i="20"/>
  <c r="AV443" i="20"/>
  <c r="AW437" i="20"/>
  <c r="AV437" i="20"/>
  <c r="AW426" i="20"/>
  <c r="AV426" i="20"/>
  <c r="AW422" i="20"/>
  <c r="AV422" i="20"/>
  <c r="AW418" i="20"/>
  <c r="AV418" i="20"/>
  <c r="AW411" i="20"/>
  <c r="AV411" i="20"/>
  <c r="AW410" i="20"/>
  <c r="AV410" i="20"/>
  <c r="AW409" i="20"/>
  <c r="AV409" i="20"/>
  <c r="AW408" i="20"/>
  <c r="AV408" i="20"/>
  <c r="AW401" i="20"/>
  <c r="AV401" i="20"/>
  <c r="AW396" i="20"/>
  <c r="AV396" i="20"/>
  <c r="AW395" i="20"/>
  <c r="AV395" i="20"/>
  <c r="AW394" i="20"/>
  <c r="AV394" i="20"/>
  <c r="AW393" i="20"/>
  <c r="AV393" i="20"/>
  <c r="AW392" i="20"/>
  <c r="AV392" i="20"/>
  <c r="AW391" i="20"/>
  <c r="AV391" i="20"/>
  <c r="AW390" i="20"/>
  <c r="AV390" i="20"/>
  <c r="AW389" i="20"/>
  <c r="AV389" i="20"/>
  <c r="AW388" i="20"/>
  <c r="AV388" i="20"/>
  <c r="AW387" i="20"/>
  <c r="AV387" i="20"/>
  <c r="AW386" i="20"/>
  <c r="AV386" i="20"/>
  <c r="AW384" i="20"/>
  <c r="AV384" i="20"/>
  <c r="AW383" i="20"/>
  <c r="AV383" i="20"/>
  <c r="AW382" i="20"/>
  <c r="AV382" i="20"/>
  <c r="AW381" i="20"/>
  <c r="AV381" i="20"/>
  <c r="AW380" i="20"/>
  <c r="AV380" i="20"/>
  <c r="AW379" i="20"/>
  <c r="AV379" i="20"/>
  <c r="AW378" i="20"/>
  <c r="AV378" i="20"/>
  <c r="AW377" i="20"/>
  <c r="AV377" i="20"/>
  <c r="AW376" i="20"/>
  <c r="AV376" i="20"/>
  <c r="AW373" i="20"/>
  <c r="AV373" i="20"/>
  <c r="AW372" i="20"/>
  <c r="AV372" i="20"/>
  <c r="AW371" i="20"/>
  <c r="AV371" i="20"/>
  <c r="AW370" i="20"/>
  <c r="AV370" i="20"/>
  <c r="AW369" i="20"/>
  <c r="AV369" i="20"/>
  <c r="AW368" i="20"/>
  <c r="AV368" i="20"/>
  <c r="AW367" i="20"/>
  <c r="AV367" i="20"/>
  <c r="AW366" i="20"/>
  <c r="AV366" i="20"/>
  <c r="AW365" i="20"/>
  <c r="AV365" i="20"/>
  <c r="AW364" i="20"/>
  <c r="AV364" i="20"/>
  <c r="AW363" i="20"/>
  <c r="AV363" i="20"/>
  <c r="AW362" i="20"/>
  <c r="AV362" i="20"/>
  <c r="AW361" i="20"/>
  <c r="AV361" i="20"/>
  <c r="AW360" i="20"/>
  <c r="AV360" i="20"/>
  <c r="AW359" i="20"/>
  <c r="AV359" i="20"/>
  <c r="AW350" i="20"/>
  <c r="AV350" i="20"/>
  <c r="AW349" i="20"/>
  <c r="AV349" i="20"/>
  <c r="AW348" i="20"/>
  <c r="AV348" i="20"/>
  <c r="AW347" i="20"/>
  <c r="AV347" i="20"/>
  <c r="AW346" i="20"/>
  <c r="AV346" i="20"/>
  <c r="AW345" i="20"/>
  <c r="AV345" i="20"/>
  <c r="AW344" i="20"/>
  <c r="AV344" i="20"/>
  <c r="AW343" i="20"/>
  <c r="AV343" i="20"/>
  <c r="AW342" i="20"/>
  <c r="AV342" i="20"/>
  <c r="AW341" i="20"/>
  <c r="AV341" i="20"/>
  <c r="AW340" i="20"/>
  <c r="AV340" i="20"/>
  <c r="AW339" i="20"/>
  <c r="AV339" i="20"/>
  <c r="AW338" i="20"/>
  <c r="AV338" i="20"/>
  <c r="AW337" i="20"/>
  <c r="AV337" i="20"/>
  <c r="AW336" i="20"/>
  <c r="AV336" i="20"/>
  <c r="AW335" i="20"/>
  <c r="AV335" i="20"/>
  <c r="AW333" i="20"/>
  <c r="AV333" i="20"/>
  <c r="AW332" i="20"/>
  <c r="AV332" i="20"/>
  <c r="AW316" i="20"/>
  <c r="AV316" i="20"/>
  <c r="AW315" i="20"/>
  <c r="AV315" i="20"/>
  <c r="AW314" i="20"/>
  <c r="AV314" i="20"/>
  <c r="AW313" i="20"/>
  <c r="AV313" i="20"/>
  <c r="AW312" i="20"/>
  <c r="AV312" i="20"/>
  <c r="AW311" i="20"/>
  <c r="AV311" i="20"/>
  <c r="AW310" i="20"/>
  <c r="AV310" i="20"/>
  <c r="AW309" i="20"/>
  <c r="AV309" i="20"/>
  <c r="AW308" i="20"/>
  <c r="AV308" i="20"/>
  <c r="AW307" i="20"/>
  <c r="AV307" i="20"/>
  <c r="AW306" i="20"/>
  <c r="AV306" i="20"/>
  <c r="AW305" i="20"/>
  <c r="AV305" i="20"/>
  <c r="AW304" i="20"/>
  <c r="AV304" i="20"/>
  <c r="AW303" i="20"/>
  <c r="AV303" i="20"/>
  <c r="AW302" i="20"/>
  <c r="AV302" i="20"/>
  <c r="AW301" i="20"/>
  <c r="AV301" i="20"/>
  <c r="AW300" i="20"/>
  <c r="AV300" i="20"/>
  <c r="AW299" i="20"/>
  <c r="AV299" i="20"/>
  <c r="AW298" i="20"/>
  <c r="AV298" i="20"/>
  <c r="AW297" i="20"/>
  <c r="AV297" i="20"/>
  <c r="AW296" i="20"/>
  <c r="AV296" i="20"/>
  <c r="AW295" i="20"/>
  <c r="AV295" i="20"/>
  <c r="AW294" i="20"/>
  <c r="AV294" i="20"/>
  <c r="AW293" i="20"/>
  <c r="AV293" i="20"/>
  <c r="AW292" i="20"/>
  <c r="AV292" i="20"/>
  <c r="AW291" i="20"/>
  <c r="AV291" i="20"/>
  <c r="AW290" i="20"/>
  <c r="AV290" i="20"/>
  <c r="AW289" i="20"/>
  <c r="AV289" i="20"/>
  <c r="AW288" i="20"/>
  <c r="AV288" i="20"/>
  <c r="AW287" i="20"/>
  <c r="AV287" i="20"/>
  <c r="AW283" i="20"/>
  <c r="AV283" i="20"/>
  <c r="AW281" i="20"/>
  <c r="AV281" i="20"/>
  <c r="AW280" i="20"/>
  <c r="AV280" i="20"/>
  <c r="AW279" i="20"/>
  <c r="AV279" i="20"/>
  <c r="AW277" i="20"/>
  <c r="AV277" i="20"/>
  <c r="AW276" i="20"/>
  <c r="AV276" i="20"/>
  <c r="AW275" i="20"/>
  <c r="AV275" i="20"/>
  <c r="AW274" i="20"/>
  <c r="AV274" i="20"/>
  <c r="AW273" i="20"/>
  <c r="AV273" i="20"/>
  <c r="AW272" i="20"/>
  <c r="AV272" i="20"/>
  <c r="AW271" i="20"/>
  <c r="AV271" i="20"/>
  <c r="AW270" i="20"/>
  <c r="AV270" i="20"/>
  <c r="AW269" i="20"/>
  <c r="AV269" i="20"/>
  <c r="AW268" i="20"/>
  <c r="AV268" i="20"/>
  <c r="AW266" i="20"/>
  <c r="AV266" i="20"/>
  <c r="AW265" i="20"/>
  <c r="AV265" i="20"/>
  <c r="AW264" i="20"/>
  <c r="AV264" i="20"/>
  <c r="AW263" i="20"/>
  <c r="AV263" i="20"/>
  <c r="AW262" i="20"/>
  <c r="AV262" i="20"/>
  <c r="AW261" i="20"/>
  <c r="AV261" i="20"/>
  <c r="AW260" i="20"/>
  <c r="AV260" i="20"/>
  <c r="AW259" i="20"/>
  <c r="AV259" i="20"/>
  <c r="AW258" i="20"/>
  <c r="AV258" i="20"/>
  <c r="AW257" i="20"/>
  <c r="AV257" i="20"/>
  <c r="AW256" i="20"/>
  <c r="AV256" i="20"/>
  <c r="AW255" i="20"/>
  <c r="AV255" i="20"/>
  <c r="AW254" i="20"/>
  <c r="AV254" i="20"/>
  <c r="AW253" i="20"/>
  <c r="AV253" i="20"/>
  <c r="AW252" i="20"/>
  <c r="AV252" i="20"/>
  <c r="AW251" i="20"/>
  <c r="AV251" i="20"/>
  <c r="AW250" i="20"/>
  <c r="AV250" i="20"/>
  <c r="AW249" i="20"/>
  <c r="AV249" i="20"/>
  <c r="AW248" i="20"/>
  <c r="AV248" i="20"/>
  <c r="AW247" i="20"/>
  <c r="AV247" i="20"/>
  <c r="AW246" i="20"/>
  <c r="AV246" i="20"/>
  <c r="AW245" i="20"/>
  <c r="AV245" i="20"/>
  <c r="AW244" i="20"/>
  <c r="AV244" i="20"/>
  <c r="AW243" i="20"/>
  <c r="AV243" i="20"/>
  <c r="AW242" i="20"/>
  <c r="AV242" i="20"/>
  <c r="AW241" i="20"/>
  <c r="AV241" i="20"/>
  <c r="AW240" i="20"/>
  <c r="AV240" i="20"/>
  <c r="AW239" i="20"/>
  <c r="AV239" i="20"/>
  <c r="AW238" i="20"/>
  <c r="AV238" i="20"/>
  <c r="AW237" i="20"/>
  <c r="AV237" i="20"/>
  <c r="AW235" i="20"/>
  <c r="AV235" i="20"/>
  <c r="AW233" i="20"/>
  <c r="AV233" i="20"/>
  <c r="AW232" i="20"/>
  <c r="AV232" i="20"/>
  <c r="AW231" i="20"/>
  <c r="AV231" i="20"/>
  <c r="AW226" i="20"/>
  <c r="AV226" i="20"/>
  <c r="AW225" i="20"/>
  <c r="AV225" i="20"/>
  <c r="AW224" i="20"/>
  <c r="AV224" i="20"/>
  <c r="AW223" i="20"/>
  <c r="AV223" i="20"/>
  <c r="AW222" i="20"/>
  <c r="AV222" i="20"/>
  <c r="AW221" i="20"/>
  <c r="AV221" i="20"/>
  <c r="AW220" i="20"/>
  <c r="AV220" i="20"/>
  <c r="AW219" i="20"/>
  <c r="AV219" i="20"/>
  <c r="AW218" i="20"/>
  <c r="AV218" i="20"/>
  <c r="AW217" i="20"/>
  <c r="AV217" i="20"/>
  <c r="AW216" i="20"/>
  <c r="AV216" i="20"/>
  <c r="AW215" i="20"/>
  <c r="AV215" i="20"/>
  <c r="AW214" i="20"/>
  <c r="AV214" i="20"/>
  <c r="AW213" i="20"/>
  <c r="AV213" i="20"/>
  <c r="AW212" i="20"/>
  <c r="AV212" i="20"/>
  <c r="AW211" i="20"/>
  <c r="AV211" i="20"/>
  <c r="AW210" i="20"/>
  <c r="AV210" i="20"/>
  <c r="AW209" i="20"/>
  <c r="AV209" i="20"/>
  <c r="AW208" i="20"/>
  <c r="AV208" i="20"/>
  <c r="AW207" i="20"/>
  <c r="AV207" i="20"/>
  <c r="AW206" i="20"/>
  <c r="AV206" i="20"/>
  <c r="AW205" i="20"/>
  <c r="AV205" i="20"/>
  <c r="AW204" i="20"/>
  <c r="AV204" i="20"/>
  <c r="AW203" i="20"/>
  <c r="AV203" i="20"/>
  <c r="AW202" i="20"/>
  <c r="AV202" i="20"/>
  <c r="AW201" i="20"/>
  <c r="AV201" i="20"/>
  <c r="AW200" i="20"/>
  <c r="AV200" i="20"/>
  <c r="AW199" i="20"/>
  <c r="AV199" i="20"/>
  <c r="AW198" i="20"/>
  <c r="AV198" i="20"/>
  <c r="AW197" i="20"/>
  <c r="AV197" i="20"/>
  <c r="AW196" i="20"/>
  <c r="AV196" i="20"/>
  <c r="AW194" i="20"/>
  <c r="AV194" i="20"/>
  <c r="AW193" i="20"/>
  <c r="AV193" i="20"/>
  <c r="AW192" i="20"/>
  <c r="AV192" i="20"/>
  <c r="AW191" i="20"/>
  <c r="AV191" i="20"/>
  <c r="AW186" i="20"/>
  <c r="AV186" i="20"/>
  <c r="AW185" i="20"/>
  <c r="AV185" i="20"/>
  <c r="AW184" i="20"/>
  <c r="AV184" i="20"/>
  <c r="AW183" i="20"/>
  <c r="AV183" i="20"/>
  <c r="AW182" i="20"/>
  <c r="AV182" i="20"/>
  <c r="AW181" i="20"/>
  <c r="AV181" i="20"/>
  <c r="AW180" i="20"/>
  <c r="AV180" i="20"/>
  <c r="AW179" i="20"/>
  <c r="AV179" i="20"/>
  <c r="AW178" i="20"/>
  <c r="AV178" i="20"/>
  <c r="AW177" i="20"/>
  <c r="AV177" i="20"/>
  <c r="AW176" i="20"/>
  <c r="AV176" i="20"/>
  <c r="AW175" i="20"/>
  <c r="AV175" i="20"/>
  <c r="AW170" i="20"/>
  <c r="AV170" i="20"/>
  <c r="AW169" i="20"/>
  <c r="AV169" i="20"/>
  <c r="AW168" i="20"/>
  <c r="AV168" i="20"/>
  <c r="AW167" i="20"/>
  <c r="AV167" i="20"/>
  <c r="AW166" i="20"/>
  <c r="AV166" i="20"/>
  <c r="AW165" i="20"/>
  <c r="AV165" i="20"/>
  <c r="AW164" i="20"/>
  <c r="AV164" i="20"/>
  <c r="AW163" i="20"/>
  <c r="AV163" i="20"/>
  <c r="AW162" i="20"/>
  <c r="AV162" i="20"/>
  <c r="AW161" i="20"/>
  <c r="AV161" i="20"/>
  <c r="AW160" i="20"/>
  <c r="AV160" i="20"/>
  <c r="AW159" i="20"/>
  <c r="AV159" i="20"/>
  <c r="AW158" i="20"/>
  <c r="AV158" i="20"/>
  <c r="AW157" i="20"/>
  <c r="AV157" i="20"/>
  <c r="AW156" i="20"/>
  <c r="AV156" i="20"/>
  <c r="AW155" i="20"/>
  <c r="AV155" i="20"/>
  <c r="AW152" i="20"/>
  <c r="AV152" i="20"/>
  <c r="AW149" i="20"/>
  <c r="AV149" i="20"/>
  <c r="AW148" i="20"/>
  <c r="AV148" i="20"/>
  <c r="AW147" i="20"/>
  <c r="AV147" i="20"/>
  <c r="AW146" i="20"/>
  <c r="AV146" i="20"/>
  <c r="AW145" i="20"/>
  <c r="AV145" i="20"/>
  <c r="AW144" i="20"/>
  <c r="AV144" i="20"/>
  <c r="AW143" i="20"/>
  <c r="AV143" i="20"/>
  <c r="AW142" i="20"/>
  <c r="AV142" i="20"/>
  <c r="AW141" i="20"/>
  <c r="AV141" i="20"/>
  <c r="AW140" i="20"/>
  <c r="AV140" i="20"/>
  <c r="AW139" i="20"/>
  <c r="AV139" i="20"/>
  <c r="AW138" i="20"/>
  <c r="AV138" i="20"/>
  <c r="AW137" i="20"/>
  <c r="AV137" i="20"/>
  <c r="AW136" i="20"/>
  <c r="AV136" i="20"/>
  <c r="AW135" i="20"/>
  <c r="AV135" i="20"/>
  <c r="AW134" i="20"/>
  <c r="AV134" i="20"/>
  <c r="AW133" i="20"/>
  <c r="AV133" i="20"/>
  <c r="AW132" i="20"/>
  <c r="AV132" i="20"/>
  <c r="AW131" i="20"/>
  <c r="AV131" i="20"/>
  <c r="AW130" i="20"/>
  <c r="AV130" i="20"/>
  <c r="AW129" i="20"/>
  <c r="AV129" i="20"/>
  <c r="AW128" i="20"/>
  <c r="AV128" i="20"/>
  <c r="AW127" i="20"/>
  <c r="AV127" i="20"/>
  <c r="AW126" i="20"/>
  <c r="AV126" i="20"/>
  <c r="AW125" i="20"/>
  <c r="AV125" i="20"/>
  <c r="AW124" i="20"/>
  <c r="AV124" i="20"/>
  <c r="AW123" i="20"/>
  <c r="AV123" i="20"/>
  <c r="AW122" i="20"/>
  <c r="AV122" i="20"/>
  <c r="AW121" i="20"/>
  <c r="AV121" i="20"/>
  <c r="AW120" i="20"/>
  <c r="AV120" i="20"/>
  <c r="AW119" i="20"/>
  <c r="AV119" i="20"/>
  <c r="AW118" i="20"/>
  <c r="AV118" i="20"/>
  <c r="AW117" i="20"/>
  <c r="AV117" i="20"/>
  <c r="AW116" i="20"/>
  <c r="AV116" i="20"/>
  <c r="AW115" i="20"/>
  <c r="AV115" i="20"/>
  <c r="AW114" i="20"/>
  <c r="AV114" i="20"/>
  <c r="AW113" i="20"/>
  <c r="AV113" i="20"/>
  <c r="AW112" i="20"/>
  <c r="AV112" i="20"/>
  <c r="AW111" i="20"/>
  <c r="AV111" i="20"/>
  <c r="AW110" i="20"/>
  <c r="AV110" i="20"/>
  <c r="AW109" i="20"/>
  <c r="AV109" i="20"/>
  <c r="AW108" i="20"/>
  <c r="AV108" i="20"/>
  <c r="AW107" i="20"/>
  <c r="AV107" i="20"/>
  <c r="AW106" i="20"/>
  <c r="AV106" i="20"/>
  <c r="AW105" i="20"/>
  <c r="AV105" i="20"/>
  <c r="AW104" i="20"/>
  <c r="AV104" i="20"/>
  <c r="AW103" i="20"/>
  <c r="AV103" i="20"/>
  <c r="AW102" i="20"/>
  <c r="AV102" i="20"/>
  <c r="AW101" i="20"/>
  <c r="AV101" i="20"/>
  <c r="AW100" i="20"/>
  <c r="AV100" i="20"/>
  <c r="AW98" i="20"/>
  <c r="AV98" i="20"/>
  <c r="AW97" i="20"/>
  <c r="AV97" i="20"/>
  <c r="AW96" i="20"/>
  <c r="AV96" i="20"/>
  <c r="AW95" i="20"/>
  <c r="AV95" i="20"/>
  <c r="AW94" i="20"/>
  <c r="AV94" i="20"/>
  <c r="AW93" i="20"/>
  <c r="AV93" i="20"/>
  <c r="AW92" i="20"/>
  <c r="AV92" i="20"/>
  <c r="AW91" i="20"/>
  <c r="AV91" i="20"/>
  <c r="AW90" i="20"/>
  <c r="AV90" i="20"/>
  <c r="AW89" i="20"/>
  <c r="AV89" i="20"/>
  <c r="AW88" i="20"/>
  <c r="AV88" i="20"/>
  <c r="AW87" i="20"/>
  <c r="AV87" i="20"/>
  <c r="AW86" i="20"/>
  <c r="AV86" i="20"/>
  <c r="AW85" i="20"/>
  <c r="AV85" i="20"/>
  <c r="AW84" i="20"/>
  <c r="AV84" i="20"/>
  <c r="AW83" i="20"/>
  <c r="AV83" i="20"/>
  <c r="AW82" i="20"/>
  <c r="AV82" i="20"/>
  <c r="AW81" i="20"/>
  <c r="AV81" i="20"/>
  <c r="AW76" i="20"/>
  <c r="AV76" i="20"/>
  <c r="AW75" i="20"/>
  <c r="AV75" i="20"/>
  <c r="AW74" i="20"/>
  <c r="AV74" i="20"/>
  <c r="AW73" i="20"/>
  <c r="AV73" i="20"/>
  <c r="AW72" i="20"/>
  <c r="AV72" i="20"/>
  <c r="AW71" i="20"/>
  <c r="AV71" i="20"/>
  <c r="AW70" i="20"/>
  <c r="AV70" i="20"/>
  <c r="AW69" i="20"/>
  <c r="AV69" i="20"/>
  <c r="AW68" i="20"/>
  <c r="AV68" i="20"/>
  <c r="AW67" i="20"/>
  <c r="AV67" i="20"/>
  <c r="AW66" i="20"/>
  <c r="AV66" i="20"/>
  <c r="AW65" i="20"/>
  <c r="AV65" i="20"/>
  <c r="AW64" i="20"/>
  <c r="AV64" i="20"/>
  <c r="AW63" i="20"/>
  <c r="AV63" i="20"/>
  <c r="AW62" i="20"/>
  <c r="AV62" i="20"/>
  <c r="AW61" i="20"/>
  <c r="AV61" i="20"/>
  <c r="AW60" i="20"/>
  <c r="AV60" i="20"/>
  <c r="AW59" i="20"/>
  <c r="AV59" i="20"/>
  <c r="AW58" i="20"/>
  <c r="AV58" i="20"/>
  <c r="AW57" i="20"/>
  <c r="AV57" i="20"/>
  <c r="AW56" i="20"/>
  <c r="AV56" i="20"/>
  <c r="AW55" i="20"/>
  <c r="AV55" i="20"/>
  <c r="AW54" i="20"/>
  <c r="AV54" i="20"/>
  <c r="AW53" i="20"/>
  <c r="AV53" i="20"/>
  <c r="AW52" i="20"/>
  <c r="AV52" i="20"/>
  <c r="AW51" i="20"/>
  <c r="AV51" i="20"/>
  <c r="AW50" i="20"/>
  <c r="AV50" i="20"/>
  <c r="AW49" i="20"/>
  <c r="AV49" i="20"/>
  <c r="AW48" i="20"/>
  <c r="AV48" i="20"/>
  <c r="AW47" i="20"/>
  <c r="AV47" i="20"/>
  <c r="AW46" i="20"/>
  <c r="AV46" i="20"/>
  <c r="AW45" i="20"/>
  <c r="AV45" i="20"/>
  <c r="AW44" i="20"/>
  <c r="AV44" i="20"/>
  <c r="AW43" i="20"/>
  <c r="AV43" i="20"/>
  <c r="AW41" i="20"/>
  <c r="AV41" i="20"/>
  <c r="AW40" i="20"/>
  <c r="AV40" i="20"/>
  <c r="AW39" i="20"/>
  <c r="AV39" i="20"/>
  <c r="AW38" i="20"/>
  <c r="AV38" i="20"/>
  <c r="AW37" i="20"/>
  <c r="AV37" i="20"/>
  <c r="AW36" i="20"/>
  <c r="AV36" i="20"/>
  <c r="AW35" i="20"/>
  <c r="AV35" i="20"/>
  <c r="AW34" i="20"/>
  <c r="AV34" i="20"/>
  <c r="AW33" i="20"/>
  <c r="AV33" i="20"/>
  <c r="AW32" i="20"/>
  <c r="AV32" i="20"/>
  <c r="AW31" i="20"/>
  <c r="AV31" i="20"/>
  <c r="AW30" i="20"/>
  <c r="AV30" i="20"/>
  <c r="AW29" i="20"/>
  <c r="AV29" i="20"/>
  <c r="AW28" i="20"/>
  <c r="AV28" i="20"/>
  <c r="AW27" i="20"/>
  <c r="AV27" i="20"/>
  <c r="AW26" i="20"/>
  <c r="AV26" i="20"/>
  <c r="AW25" i="20"/>
  <c r="AV25" i="20"/>
  <c r="AW19" i="20"/>
  <c r="AV19" i="20"/>
  <c r="AW18" i="20"/>
  <c r="AV18" i="20"/>
  <c r="AW17" i="20"/>
  <c r="AV17" i="20"/>
  <c r="AW16" i="20"/>
  <c r="AV16" i="20"/>
  <c r="AW15" i="20"/>
  <c r="AV15" i="20"/>
  <c r="AW14" i="20"/>
  <c r="AV14" i="20"/>
  <c r="AW13" i="20"/>
  <c r="AV13" i="20"/>
  <c r="AW12" i="20"/>
  <c r="AV12" i="20"/>
  <c r="AW11" i="20"/>
  <c r="AV11" i="20"/>
  <c r="AW10" i="20"/>
  <c r="AV10" i="20"/>
  <c r="AW9" i="20"/>
  <c r="AV9" i="20"/>
  <c r="AW8" i="20"/>
  <c r="AV8" i="20"/>
  <c r="AW7" i="20"/>
  <c r="AV7" i="20"/>
  <c r="AW6" i="20"/>
  <c r="AV6" i="20"/>
  <c r="AW5" i="20"/>
  <c r="AV5" i="20"/>
  <c r="AZ481" i="20"/>
  <c r="AZ130" i="20"/>
  <c r="BB130" i="20" s="1"/>
  <c r="AZ139" i="20"/>
  <c r="BF139" i="20"/>
  <c r="BG139" i="20"/>
  <c r="AZ143" i="20"/>
  <c r="AZ144" i="20"/>
  <c r="BA144" i="20" s="1"/>
  <c r="AZ226" i="20"/>
  <c r="BG470" i="20"/>
  <c r="BF470" i="20"/>
  <c r="AZ282" i="20"/>
  <c r="BB282" i="20" s="1"/>
  <c r="AZ571" i="20"/>
  <c r="AZ24" i="20"/>
  <c r="BB24" i="20" s="1"/>
  <c r="AZ23" i="20"/>
  <c r="BB23" i="20" s="1"/>
  <c r="AZ22" i="20"/>
  <c r="BB22" i="20" s="1"/>
  <c r="AZ21" i="20"/>
  <c r="BA21" i="20" s="1"/>
  <c r="AZ20" i="20"/>
  <c r="BB20" i="20" s="1"/>
  <c r="AZ6" i="20"/>
  <c r="BB6" i="20" s="1"/>
  <c r="AZ7" i="20"/>
  <c r="BB7" i="20" s="1"/>
  <c r="AZ8" i="20"/>
  <c r="BB8" i="20" s="1"/>
  <c r="AZ9" i="20"/>
  <c r="BB9" i="20" s="1"/>
  <c r="AZ10" i="20"/>
  <c r="BB10" i="20" s="1"/>
  <c r="AZ11" i="20"/>
  <c r="BB11" i="20" s="1"/>
  <c r="AZ12" i="20"/>
  <c r="BB12" i="20" s="1"/>
  <c r="AZ13" i="20"/>
  <c r="BA13" i="20" s="1"/>
  <c r="AZ14" i="20"/>
  <c r="BB14" i="20" s="1"/>
  <c r="AZ15" i="20"/>
  <c r="BB15" i="20" s="1"/>
  <c r="AZ16" i="20"/>
  <c r="BB16" i="20" s="1"/>
  <c r="AZ17" i="20"/>
  <c r="BB17" i="20" s="1"/>
  <c r="AZ18" i="20"/>
  <c r="BB18" i="20" s="1"/>
  <c r="AZ19" i="20"/>
  <c r="BB19" i="20" s="1"/>
  <c r="AZ25" i="20"/>
  <c r="BA25" i="20" s="1"/>
  <c r="AZ26" i="20"/>
  <c r="BB26" i="20" s="1"/>
  <c r="AZ27" i="20"/>
  <c r="BB27" i="20" s="1"/>
  <c r="AZ28" i="20"/>
  <c r="BB28" i="20" s="1"/>
  <c r="AZ29" i="20"/>
  <c r="BA29" i="20" s="1"/>
  <c r="AZ30" i="20"/>
  <c r="BB30" i="20" s="1"/>
  <c r="AZ31" i="20"/>
  <c r="BB31" i="20" s="1"/>
  <c r="AZ32" i="20"/>
  <c r="BB32" i="20" s="1"/>
  <c r="AZ33" i="20"/>
  <c r="BA33" i="20" s="1"/>
  <c r="AZ34" i="20"/>
  <c r="BB34" i="20" s="1"/>
  <c r="AZ35" i="20"/>
  <c r="BB35" i="20" s="1"/>
  <c r="AZ36" i="20"/>
  <c r="BB36" i="20" s="1"/>
  <c r="AZ37" i="20"/>
  <c r="BA37" i="20" s="1"/>
  <c r="AZ38" i="20"/>
  <c r="BB38" i="20" s="1"/>
  <c r="AZ39" i="20"/>
  <c r="BB39" i="20" s="1"/>
  <c r="AZ40" i="20"/>
  <c r="BB40" i="20" s="1"/>
  <c r="AZ41" i="20"/>
  <c r="BA41" i="20" s="1"/>
  <c r="AZ43" i="20"/>
  <c r="BB43" i="20" s="1"/>
  <c r="AZ44" i="20"/>
  <c r="BB44" i="20" s="1"/>
  <c r="AZ45" i="20"/>
  <c r="BB45" i="20" s="1"/>
  <c r="AZ46" i="20"/>
  <c r="BB46" i="20" s="1"/>
  <c r="AZ47" i="20"/>
  <c r="BB47" i="20" s="1"/>
  <c r="AZ48" i="20"/>
  <c r="BB48" i="20" s="1"/>
  <c r="AZ49" i="20"/>
  <c r="BB49" i="20" s="1"/>
  <c r="AZ50" i="20"/>
  <c r="BA50" i="20" s="1"/>
  <c r="AZ51" i="20"/>
  <c r="BB51" i="20" s="1"/>
  <c r="AZ52" i="20"/>
  <c r="BB52" i="20" s="1"/>
  <c r="AZ53" i="20"/>
  <c r="BB53" i="20" s="1"/>
  <c r="AZ54" i="20"/>
  <c r="BB54" i="20" s="1"/>
  <c r="AZ55" i="20"/>
  <c r="BB55" i="20" s="1"/>
  <c r="AZ56" i="20"/>
  <c r="BB56" i="20" s="1"/>
  <c r="AZ57" i="20"/>
  <c r="BB57" i="20" s="1"/>
  <c r="AZ58" i="20"/>
  <c r="BA58" i="20" s="1"/>
  <c r="AZ59" i="20"/>
  <c r="BB59" i="20" s="1"/>
  <c r="AZ60" i="20"/>
  <c r="BB60" i="20" s="1"/>
  <c r="AZ61" i="20"/>
  <c r="BB61" i="20" s="1"/>
  <c r="AZ62" i="20"/>
  <c r="BB62" i="20" s="1"/>
  <c r="AZ63" i="20"/>
  <c r="BB63" i="20" s="1"/>
  <c r="AZ64" i="20"/>
  <c r="BB64" i="20" s="1"/>
  <c r="AZ65" i="20"/>
  <c r="BB65" i="20" s="1"/>
  <c r="AZ66" i="20"/>
  <c r="BA66" i="20" s="1"/>
  <c r="AZ67" i="20"/>
  <c r="BB67" i="20" s="1"/>
  <c r="AZ68" i="20"/>
  <c r="BB68" i="20" s="1"/>
  <c r="AZ69" i="20"/>
  <c r="BB69" i="20" s="1"/>
  <c r="AZ70" i="20"/>
  <c r="BB70" i="20" s="1"/>
  <c r="AZ71" i="20"/>
  <c r="BB71" i="20" s="1"/>
  <c r="AZ72" i="20"/>
  <c r="BB72" i="20" s="1"/>
  <c r="AZ73" i="20"/>
  <c r="BB73" i="20" s="1"/>
  <c r="AZ74" i="20"/>
  <c r="BA74" i="20" s="1"/>
  <c r="AZ75" i="20"/>
  <c r="BB75" i="20" s="1"/>
  <c r="AZ76" i="20"/>
  <c r="BB76" i="20" s="1"/>
  <c r="AZ81" i="20"/>
  <c r="BB81" i="20" s="1"/>
  <c r="AZ82" i="20"/>
  <c r="BA82" i="20" s="1"/>
  <c r="AZ83" i="20"/>
  <c r="BB83" i="20" s="1"/>
  <c r="AZ84" i="20"/>
  <c r="BB84" i="20" s="1"/>
  <c r="AZ85" i="20"/>
  <c r="BB85" i="20" s="1"/>
  <c r="AZ86" i="20"/>
  <c r="BB86" i="20" s="1"/>
  <c r="AZ87" i="20"/>
  <c r="BB87" i="20" s="1"/>
  <c r="AZ88" i="20"/>
  <c r="BB88" i="20" s="1"/>
  <c r="AZ89" i="20"/>
  <c r="BB89" i="20" s="1"/>
  <c r="AZ90" i="20"/>
  <c r="BA90" i="20" s="1"/>
  <c r="AZ91" i="20"/>
  <c r="BB91" i="20" s="1"/>
  <c r="AZ92" i="20"/>
  <c r="BB92" i="20" s="1"/>
  <c r="AZ93" i="20"/>
  <c r="BB93" i="20" s="1"/>
  <c r="AZ94" i="20"/>
  <c r="BB94" i="20" s="1"/>
  <c r="AZ95" i="20"/>
  <c r="BB95" i="20" s="1"/>
  <c r="AZ96" i="20"/>
  <c r="AZ97" i="20"/>
  <c r="BB97" i="20" s="1"/>
  <c r="AZ98" i="20"/>
  <c r="BB98" i="20" s="1"/>
  <c r="AZ99" i="20"/>
  <c r="BB99" i="20" s="1"/>
  <c r="AZ100" i="20"/>
  <c r="BB100" i="20" s="1"/>
  <c r="AZ101" i="20"/>
  <c r="BB101" i="20" s="1"/>
  <c r="AZ102" i="20"/>
  <c r="BB102" i="20" s="1"/>
  <c r="AZ103" i="20"/>
  <c r="BB103" i="20" s="1"/>
  <c r="AZ104" i="20"/>
  <c r="BA104" i="20" s="1"/>
  <c r="AZ105" i="20"/>
  <c r="BB105" i="20" s="1"/>
  <c r="AZ106" i="20"/>
  <c r="BB106" i="20" s="1"/>
  <c r="AZ107" i="20"/>
  <c r="AZ108" i="20"/>
  <c r="BB108" i="20" s="1"/>
  <c r="AZ109" i="20"/>
  <c r="BA109" i="20" s="1"/>
  <c r="AZ110" i="20"/>
  <c r="BB110" i="20" s="1"/>
  <c r="AZ111" i="20"/>
  <c r="AZ112" i="20"/>
  <c r="BB112" i="20" s="1"/>
  <c r="AZ113" i="20"/>
  <c r="BB113" i="20" s="1"/>
  <c r="AZ114" i="20"/>
  <c r="BA114" i="20" s="1"/>
  <c r="AZ115" i="20"/>
  <c r="AZ116" i="20"/>
  <c r="BB116" i="20" s="1"/>
  <c r="AZ117" i="20"/>
  <c r="BB117" i="20" s="1"/>
  <c r="AZ118" i="20"/>
  <c r="BB118" i="20" s="1"/>
  <c r="AZ119" i="20"/>
  <c r="AZ120" i="20"/>
  <c r="BA120" i="20" s="1"/>
  <c r="AZ121" i="20"/>
  <c r="BB121" i="20" s="1"/>
  <c r="AZ122" i="20"/>
  <c r="BB122" i="20" s="1"/>
  <c r="AZ123" i="20"/>
  <c r="AZ124" i="20"/>
  <c r="BA124" i="20" s="1"/>
  <c r="AZ125" i="20"/>
  <c r="BB125" i="20" s="1"/>
  <c r="AZ126" i="20"/>
  <c r="BB126" i="20" s="1"/>
  <c r="AZ127" i="20"/>
  <c r="AZ128" i="20"/>
  <c r="BA128" i="20" s="1"/>
  <c r="AZ129" i="20"/>
  <c r="BB129" i="20" s="1"/>
  <c r="AZ131" i="20"/>
  <c r="AZ132" i="20"/>
  <c r="BA132" i="20" s="1"/>
  <c r="AZ133" i="20"/>
  <c r="BB133" i="20" s="1"/>
  <c r="AZ134" i="20"/>
  <c r="BB134" i="20" s="1"/>
  <c r="AZ135" i="20"/>
  <c r="AZ136" i="20"/>
  <c r="BA136" i="20" s="1"/>
  <c r="AZ137" i="20"/>
  <c r="BB137" i="20" s="1"/>
  <c r="AZ140" i="20"/>
  <c r="BA140" i="20" s="1"/>
  <c r="AZ141" i="20"/>
  <c r="BB141" i="20" s="1"/>
  <c r="AZ142" i="20"/>
  <c r="AZ145" i="20"/>
  <c r="BB145" i="20" s="1"/>
  <c r="AZ146" i="20"/>
  <c r="AZ147" i="20"/>
  <c r="AZ148" i="20"/>
  <c r="BA148" i="20" s="1"/>
  <c r="AZ149" i="20"/>
  <c r="BB149" i="20" s="1"/>
  <c r="AZ152" i="20"/>
  <c r="AZ155" i="20"/>
  <c r="AZ156" i="20"/>
  <c r="BA156" i="20" s="1"/>
  <c r="AZ157" i="20"/>
  <c r="BB157" i="20" s="1"/>
  <c r="AZ158" i="20"/>
  <c r="AZ159" i="20"/>
  <c r="AZ160" i="20"/>
  <c r="BA160" i="20" s="1"/>
  <c r="AZ161" i="20"/>
  <c r="BB161" i="20" s="1"/>
  <c r="AZ162" i="20"/>
  <c r="AZ163" i="20"/>
  <c r="AZ164" i="20"/>
  <c r="BA164" i="20" s="1"/>
  <c r="AZ165" i="20"/>
  <c r="BB165" i="20" s="1"/>
  <c r="AZ166" i="20"/>
  <c r="AZ167" i="20"/>
  <c r="AZ168" i="20"/>
  <c r="BA168" i="20" s="1"/>
  <c r="AZ169" i="20"/>
  <c r="BB169" i="20" s="1"/>
  <c r="AZ170" i="20"/>
  <c r="AZ175" i="20"/>
  <c r="AZ176" i="20"/>
  <c r="BA176" i="20" s="1"/>
  <c r="AZ177" i="20"/>
  <c r="BB177" i="20" s="1"/>
  <c r="AZ178" i="20"/>
  <c r="AZ179" i="20"/>
  <c r="AZ180" i="20"/>
  <c r="BA180" i="20" s="1"/>
  <c r="AZ181" i="20"/>
  <c r="BB181" i="20" s="1"/>
  <c r="AZ182" i="20"/>
  <c r="AZ183" i="20"/>
  <c r="AZ184" i="20"/>
  <c r="BA184" i="20" s="1"/>
  <c r="AZ185" i="20"/>
  <c r="BB185" i="20" s="1"/>
  <c r="AZ186" i="20"/>
  <c r="AZ191" i="20"/>
  <c r="AZ192" i="20"/>
  <c r="BA192" i="20" s="1"/>
  <c r="AZ193" i="20"/>
  <c r="BB193" i="20" s="1"/>
  <c r="AZ194" i="20"/>
  <c r="AZ196" i="20"/>
  <c r="AZ197" i="20"/>
  <c r="BA197" i="20" s="1"/>
  <c r="AZ198" i="20"/>
  <c r="BB198" i="20" s="1"/>
  <c r="AZ199" i="20"/>
  <c r="AZ200" i="20"/>
  <c r="AZ201" i="20"/>
  <c r="BA201" i="20" s="1"/>
  <c r="AZ202" i="20"/>
  <c r="BB202" i="20" s="1"/>
  <c r="AZ203" i="20"/>
  <c r="AZ204" i="20"/>
  <c r="AZ205" i="20"/>
  <c r="BA205" i="20" s="1"/>
  <c r="AZ206" i="20"/>
  <c r="BB206" i="20" s="1"/>
  <c r="AZ207" i="20"/>
  <c r="AZ208" i="20"/>
  <c r="AZ209" i="20"/>
  <c r="BA209" i="20" s="1"/>
  <c r="AZ210" i="20"/>
  <c r="BB210" i="20" s="1"/>
  <c r="AZ211" i="20"/>
  <c r="AZ212" i="20"/>
  <c r="AZ213" i="20"/>
  <c r="BA213" i="20" s="1"/>
  <c r="AZ214" i="20"/>
  <c r="AZ215" i="20"/>
  <c r="BB215" i="20" s="1"/>
  <c r="AZ216" i="20"/>
  <c r="AZ217" i="20"/>
  <c r="AZ218" i="20"/>
  <c r="AZ219" i="20"/>
  <c r="BA219" i="20" s="1"/>
  <c r="AZ220" i="20"/>
  <c r="BB220" i="20" s="1"/>
  <c r="AZ221" i="20"/>
  <c r="AZ222" i="20"/>
  <c r="AZ223" i="20"/>
  <c r="AZ224" i="20"/>
  <c r="BA224" i="20" s="1"/>
  <c r="AZ225" i="20"/>
  <c r="BB225" i="20" s="1"/>
  <c r="AZ231" i="20"/>
  <c r="AZ232" i="20"/>
  <c r="AZ233" i="20"/>
  <c r="BA233" i="20" s="1"/>
  <c r="AZ234" i="20"/>
  <c r="AZ235" i="20"/>
  <c r="BB235" i="20" s="1"/>
  <c r="AZ236" i="20"/>
  <c r="AZ237" i="20"/>
  <c r="AZ238" i="20"/>
  <c r="AZ239" i="20"/>
  <c r="BA239" i="20" s="1"/>
  <c r="AZ240" i="20"/>
  <c r="BB240" i="20" s="1"/>
  <c r="AZ241" i="20"/>
  <c r="AZ242" i="20"/>
  <c r="AZ243" i="20"/>
  <c r="AZ244" i="20"/>
  <c r="BA244" i="20" s="1"/>
  <c r="AZ247" i="20"/>
  <c r="AZ248" i="20"/>
  <c r="AZ249" i="20"/>
  <c r="AZ250" i="20"/>
  <c r="AZ255" i="20"/>
  <c r="AZ256" i="20"/>
  <c r="AZ257" i="20"/>
  <c r="AZ258" i="20"/>
  <c r="BB258" i="20" s="1"/>
  <c r="AZ259" i="20"/>
  <c r="AZ260" i="20"/>
  <c r="AZ261" i="20"/>
  <c r="AZ262" i="20"/>
  <c r="BA262" i="20" s="1"/>
  <c r="AZ263" i="20"/>
  <c r="AZ264" i="20"/>
  <c r="BB264" i="20" s="1"/>
  <c r="AZ265" i="20"/>
  <c r="AZ266" i="20"/>
  <c r="AZ268" i="20"/>
  <c r="AZ269" i="20"/>
  <c r="BA269" i="20" s="1"/>
  <c r="AZ270" i="20"/>
  <c r="BB270" i="20" s="1"/>
  <c r="AZ271" i="20"/>
  <c r="AZ272" i="20"/>
  <c r="AZ273" i="20"/>
  <c r="AZ274" i="20"/>
  <c r="BA274" i="20" s="1"/>
  <c r="AZ275" i="20"/>
  <c r="BB275" i="20" s="1"/>
  <c r="AZ276" i="20"/>
  <c r="AZ277" i="20"/>
  <c r="AZ279" i="20"/>
  <c r="AZ280" i="20"/>
  <c r="BA280" i="20" s="1"/>
  <c r="AZ281" i="20"/>
  <c r="AZ283" i="20"/>
  <c r="AZ287" i="20"/>
  <c r="AZ288" i="20"/>
  <c r="AZ289" i="20"/>
  <c r="BA289" i="20" s="1"/>
  <c r="AZ290" i="20"/>
  <c r="BB290" i="20" s="1"/>
  <c r="AZ291" i="20"/>
  <c r="AZ292" i="20"/>
  <c r="AZ293" i="20"/>
  <c r="AZ294" i="20"/>
  <c r="BA294" i="20" s="1"/>
  <c r="AZ295" i="20"/>
  <c r="BB295" i="20" s="1"/>
  <c r="AZ296" i="20"/>
  <c r="AZ297" i="20"/>
  <c r="AZ298" i="20"/>
  <c r="AZ299" i="20"/>
  <c r="BA299" i="20" s="1"/>
  <c r="AZ300" i="20"/>
  <c r="AZ301" i="20"/>
  <c r="BB301" i="20" s="1"/>
  <c r="AZ302" i="20"/>
  <c r="AZ303" i="20"/>
  <c r="AZ304" i="20"/>
  <c r="AZ305" i="20"/>
  <c r="BA305" i="20" s="1"/>
  <c r="AZ306" i="20"/>
  <c r="BB306" i="20" s="1"/>
  <c r="AZ307" i="20"/>
  <c r="AZ308" i="20"/>
  <c r="AZ309" i="20"/>
  <c r="AZ310" i="20"/>
  <c r="BA310" i="20" s="1"/>
  <c r="AZ311" i="20"/>
  <c r="BB311" i="20" s="1"/>
  <c r="AZ312" i="20"/>
  <c r="AZ313" i="20"/>
  <c r="AZ314" i="20"/>
  <c r="AZ315" i="20"/>
  <c r="BA315" i="20" s="1"/>
  <c r="AZ316" i="20"/>
  <c r="AZ332" i="20"/>
  <c r="BB332" i="20" s="1"/>
  <c r="AZ333" i="20"/>
  <c r="AZ335" i="20"/>
  <c r="AZ336" i="20"/>
  <c r="AZ337" i="20"/>
  <c r="BA337" i="20" s="1"/>
  <c r="AZ338" i="20"/>
  <c r="BB338" i="20" s="1"/>
  <c r="AZ339" i="20"/>
  <c r="AZ340" i="20"/>
  <c r="AZ341" i="20"/>
  <c r="AZ342" i="20"/>
  <c r="BA342" i="20" s="1"/>
  <c r="AZ343" i="20"/>
  <c r="BB343" i="20" s="1"/>
  <c r="AZ344" i="20"/>
  <c r="AZ345" i="20"/>
  <c r="AZ346" i="20"/>
  <c r="AZ347" i="20"/>
  <c r="BA347" i="20" s="1"/>
  <c r="AZ348" i="20"/>
  <c r="AZ349" i="20"/>
  <c r="BB349" i="20" s="1"/>
  <c r="AZ350" i="20"/>
  <c r="AZ359" i="20"/>
  <c r="AZ360" i="20"/>
  <c r="AZ361" i="20"/>
  <c r="BA361" i="20" s="1"/>
  <c r="AZ362" i="20"/>
  <c r="BB362" i="20" s="1"/>
  <c r="AZ363" i="20"/>
  <c r="AZ364" i="20"/>
  <c r="AZ365" i="20"/>
  <c r="AZ366" i="20"/>
  <c r="BA366" i="20" s="1"/>
  <c r="AZ367" i="20"/>
  <c r="BB367" i="20" s="1"/>
  <c r="AZ368" i="20"/>
  <c r="AZ369" i="20"/>
  <c r="AZ370" i="20"/>
  <c r="AZ371" i="20"/>
  <c r="BA371" i="20" s="1"/>
  <c r="AZ372" i="20"/>
  <c r="AZ373" i="20"/>
  <c r="BB373" i="20" s="1"/>
  <c r="AZ376" i="20"/>
  <c r="AZ377" i="20"/>
  <c r="AZ378" i="20"/>
  <c r="AZ379" i="20"/>
  <c r="BA379" i="20" s="1"/>
  <c r="AZ380" i="20"/>
  <c r="BB380" i="20" s="1"/>
  <c r="AZ381" i="20"/>
  <c r="AZ382" i="20"/>
  <c r="AZ383" i="20"/>
  <c r="AZ384" i="20"/>
  <c r="BA384" i="20" s="1"/>
  <c r="AZ386" i="20"/>
  <c r="BB386" i="20" s="1"/>
  <c r="AZ387" i="20"/>
  <c r="AZ388" i="20"/>
  <c r="AZ389" i="20"/>
  <c r="AZ390" i="20"/>
  <c r="BA390" i="20" s="1"/>
  <c r="AZ391" i="20"/>
  <c r="AZ392" i="20"/>
  <c r="BB392" i="20" s="1"/>
  <c r="AZ393" i="20"/>
  <c r="AZ394" i="20"/>
  <c r="AZ395" i="20"/>
  <c r="AZ396" i="20"/>
  <c r="BA396" i="20" s="1"/>
  <c r="AZ400" i="20"/>
  <c r="BB400" i="20" s="1"/>
  <c r="AZ401" i="20"/>
  <c r="AZ402" i="20"/>
  <c r="AZ408" i="20"/>
  <c r="AZ409" i="20"/>
  <c r="BA409" i="20" s="1"/>
  <c r="AZ410" i="20"/>
  <c r="BB410" i="20" s="1"/>
  <c r="AZ411" i="20"/>
  <c r="AZ418" i="20"/>
  <c r="AZ422" i="20"/>
  <c r="AZ426" i="20"/>
  <c r="BA426" i="20" s="1"/>
  <c r="AZ427" i="20"/>
  <c r="AZ429" i="20"/>
  <c r="AZ430" i="20"/>
  <c r="AZ431" i="20"/>
  <c r="AZ432" i="20"/>
  <c r="AZ433" i="20"/>
  <c r="AZ434" i="20"/>
  <c r="AZ435" i="20"/>
  <c r="AZ436" i="20"/>
  <c r="AZ437" i="20"/>
  <c r="BB437" i="20" s="1"/>
  <c r="AZ443" i="20"/>
  <c r="AZ444" i="20"/>
  <c r="AZ445" i="20"/>
  <c r="AZ446" i="20"/>
  <c r="BA446" i="20" s="1"/>
  <c r="AZ447" i="20"/>
  <c r="BB447" i="20" s="1"/>
  <c r="AZ448" i="20"/>
  <c r="AZ449" i="20"/>
  <c r="AZ450" i="20"/>
  <c r="AZ451" i="20"/>
  <c r="BA451" i="20" s="1"/>
  <c r="AZ452" i="20"/>
  <c r="BB452" i="20" s="1"/>
  <c r="AZ453" i="20"/>
  <c r="AZ454" i="20"/>
  <c r="AZ455" i="20"/>
  <c r="AZ456" i="20"/>
  <c r="BA456" i="20" s="1"/>
  <c r="AZ457" i="20"/>
  <c r="AZ458" i="20"/>
  <c r="BB458" i="20" s="1"/>
  <c r="AZ459" i="20"/>
  <c r="AZ460" i="20"/>
  <c r="AZ461" i="20"/>
  <c r="AZ462" i="20"/>
  <c r="BA462" i="20" s="1"/>
  <c r="AZ463" i="20"/>
  <c r="BB463" i="20" s="1"/>
  <c r="AZ464" i="20"/>
  <c r="AZ465" i="20"/>
  <c r="AZ466" i="20"/>
  <c r="AZ467" i="20"/>
  <c r="BA467" i="20" s="1"/>
  <c r="AZ468" i="20"/>
  <c r="BB468" i="20" s="1"/>
  <c r="AZ469" i="20"/>
  <c r="AZ470" i="20"/>
  <c r="AZ471" i="20"/>
  <c r="AZ472" i="20"/>
  <c r="BA472" i="20" s="1"/>
  <c r="AZ473" i="20"/>
  <c r="AZ474" i="20"/>
  <c r="BB474" i="20" s="1"/>
  <c r="AZ475" i="20"/>
  <c r="AZ476" i="20"/>
  <c r="AZ477" i="20"/>
  <c r="AZ478" i="20"/>
  <c r="BA478" i="20" s="1"/>
  <c r="AZ479" i="20"/>
  <c r="AZ480" i="20"/>
  <c r="AZ482" i="20"/>
  <c r="BB482" i="20" s="1"/>
  <c r="AZ483" i="20"/>
  <c r="AZ484" i="20"/>
  <c r="AZ485" i="20"/>
  <c r="AZ486" i="20"/>
  <c r="BA486" i="20" s="1"/>
  <c r="AZ487" i="20"/>
  <c r="BB487" i="20" s="1"/>
  <c r="AZ488" i="20"/>
  <c r="AZ489" i="20"/>
  <c r="AZ490" i="20"/>
  <c r="AZ491" i="20"/>
  <c r="BA491" i="20" s="1"/>
  <c r="AZ492" i="20"/>
  <c r="AZ493" i="20"/>
  <c r="BB493" i="20" s="1"/>
  <c r="AZ494" i="20"/>
  <c r="AZ495" i="20"/>
  <c r="AZ496" i="20"/>
  <c r="AZ497" i="20"/>
  <c r="BA497" i="20" s="1"/>
  <c r="AZ498" i="20"/>
  <c r="BB498" i="20" s="1"/>
  <c r="AZ499" i="20"/>
  <c r="AZ500" i="20"/>
  <c r="AZ501" i="20"/>
  <c r="AZ502" i="20"/>
  <c r="BA502" i="20" s="1"/>
  <c r="AZ503" i="20"/>
  <c r="BB503" i="20" s="1"/>
  <c r="AZ504" i="20"/>
  <c r="AZ505" i="20"/>
  <c r="AZ506" i="20"/>
  <c r="AZ507" i="20"/>
  <c r="BA507" i="20" s="1"/>
  <c r="AZ508" i="20"/>
  <c r="AZ509" i="20"/>
  <c r="BB509" i="20" s="1"/>
  <c r="AZ510" i="20"/>
  <c r="AZ511" i="20"/>
  <c r="AZ512" i="20"/>
  <c r="AZ513" i="20"/>
  <c r="BA513" i="20" s="1"/>
  <c r="AZ514" i="20"/>
  <c r="BB514" i="20" s="1"/>
  <c r="AZ515" i="20"/>
  <c r="AZ516" i="20"/>
  <c r="AZ517" i="20"/>
  <c r="AZ518" i="20"/>
  <c r="BA518" i="20" s="1"/>
  <c r="AZ519" i="20"/>
  <c r="BB519" i="20" s="1"/>
  <c r="AZ520" i="20"/>
  <c r="AZ521" i="20"/>
  <c r="AZ522" i="20"/>
  <c r="AZ524" i="20"/>
  <c r="AZ525" i="20"/>
  <c r="BB525" i="20" s="1"/>
  <c r="AZ526" i="20"/>
  <c r="AZ527" i="20"/>
  <c r="AZ528" i="20"/>
  <c r="AZ529" i="20"/>
  <c r="BA529" i="20" s="1"/>
  <c r="AZ530" i="20"/>
  <c r="BB530" i="20" s="1"/>
  <c r="AZ531" i="20"/>
  <c r="AZ532" i="20"/>
  <c r="AZ533" i="20"/>
  <c r="AZ534" i="20"/>
  <c r="BA534" i="20" s="1"/>
  <c r="AZ535" i="20"/>
  <c r="BB535" i="20" s="1"/>
  <c r="AZ536" i="20"/>
  <c r="AZ537" i="20"/>
  <c r="AZ538" i="20"/>
  <c r="AZ539" i="20"/>
  <c r="BA539" i="20" s="1"/>
  <c r="AZ540" i="20"/>
  <c r="AZ541" i="20"/>
  <c r="BB541" i="20" s="1"/>
  <c r="AZ542" i="20"/>
  <c r="AZ543" i="20"/>
  <c r="AZ544" i="20"/>
  <c r="AZ545" i="20"/>
  <c r="BA545" i="20" s="1"/>
  <c r="AZ546" i="20"/>
  <c r="BB546" i="20" s="1"/>
  <c r="AZ547" i="20"/>
  <c r="AZ548" i="20"/>
  <c r="AZ549" i="20"/>
  <c r="AZ550" i="20"/>
  <c r="BA550" i="20" s="1"/>
  <c r="AZ551" i="20"/>
  <c r="BB551" i="20" s="1"/>
  <c r="AZ552" i="20"/>
  <c r="AZ553" i="20"/>
  <c r="AZ554" i="20"/>
  <c r="AZ555" i="20"/>
  <c r="BA555" i="20" s="1"/>
  <c r="AZ556" i="20"/>
  <c r="AZ557" i="20"/>
  <c r="BB557" i="20" s="1"/>
  <c r="AZ558" i="20"/>
  <c r="AZ559" i="20"/>
  <c r="AZ560" i="20"/>
  <c r="AZ561" i="20"/>
  <c r="BA561" i="20" s="1"/>
  <c r="AZ562" i="20"/>
  <c r="AZ563" i="20"/>
  <c r="BB563" i="20" s="1"/>
  <c r="AZ564" i="20"/>
  <c r="AZ565" i="20"/>
  <c r="AZ566" i="20"/>
  <c r="AZ567" i="20"/>
  <c r="BA567" i="20" s="1"/>
  <c r="AZ568" i="20"/>
  <c r="BB568" i="20" s="1"/>
  <c r="AZ569" i="20"/>
  <c r="AZ570" i="20"/>
  <c r="AZ572" i="20"/>
  <c r="AZ573" i="20"/>
  <c r="AZ574" i="20"/>
  <c r="BA574" i="20" s="1"/>
  <c r="AZ575" i="20"/>
  <c r="BB575" i="20" s="1"/>
  <c r="AZ576" i="20"/>
  <c r="AZ577" i="20"/>
  <c r="AZ578" i="20"/>
  <c r="AZ579" i="20"/>
  <c r="AZ580" i="20"/>
  <c r="BB580" i="20" s="1"/>
  <c r="AZ581" i="20"/>
  <c r="AZ582" i="20"/>
  <c r="AZ583" i="20"/>
  <c r="AZ584" i="20"/>
  <c r="AZ585" i="20"/>
  <c r="AZ586" i="20"/>
  <c r="AZ587" i="20"/>
  <c r="BB587" i="20" s="1"/>
  <c r="AZ588" i="20"/>
  <c r="AZ589" i="20"/>
  <c r="AZ590" i="20"/>
  <c r="AZ591" i="20"/>
  <c r="AZ592" i="20"/>
  <c r="BA592" i="20" s="1"/>
  <c r="AZ593" i="20"/>
  <c r="AZ595" i="20"/>
  <c r="AZ598" i="20"/>
  <c r="AZ599" i="20"/>
  <c r="AZ600" i="20"/>
  <c r="BA600" i="20" s="1"/>
  <c r="AZ601" i="20"/>
  <c r="AZ602" i="20"/>
  <c r="AZ603" i="20"/>
  <c r="AZ604" i="20"/>
  <c r="AZ605" i="20"/>
  <c r="BA605" i="20" s="1"/>
  <c r="AZ606" i="20"/>
  <c r="BB606" i="20" s="1"/>
  <c r="AZ607" i="20"/>
  <c r="AZ608" i="20"/>
  <c r="AZ609" i="20"/>
  <c r="AZ610" i="20"/>
  <c r="AZ611" i="20"/>
  <c r="AZ612" i="20"/>
  <c r="AZ613" i="20"/>
  <c r="BA613" i="20" s="1"/>
  <c r="AZ617" i="20"/>
  <c r="BB617" i="20" s="1"/>
  <c r="AZ618" i="20"/>
  <c r="AZ619" i="20"/>
  <c r="AZ620" i="20"/>
  <c r="AZ621" i="20"/>
  <c r="AZ622" i="20"/>
  <c r="BB622" i="20" s="1"/>
  <c r="AZ623" i="20"/>
  <c r="AZ624" i="20"/>
  <c r="AZ625" i="20"/>
  <c r="AZ626" i="20"/>
  <c r="AZ627" i="20"/>
  <c r="AZ628" i="20"/>
  <c r="AZ629" i="20"/>
  <c r="AZ630" i="20"/>
  <c r="AZ631" i="20"/>
  <c r="AZ632" i="20"/>
  <c r="AZ5" i="20"/>
  <c r="BB41" i="20" l="1"/>
  <c r="BA53" i="20"/>
  <c r="BA373" i="20"/>
  <c r="BA89" i="20"/>
  <c r="BA113" i="20"/>
  <c r="BB13" i="20"/>
  <c r="BB25" i="20"/>
  <c r="BB33" i="20"/>
  <c r="BA141" i="20"/>
  <c r="BA65" i="20"/>
  <c r="BA28" i="20"/>
  <c r="BA45" i="20"/>
  <c r="BB66" i="20"/>
  <c r="BB90" i="20"/>
  <c r="BB114" i="20"/>
  <c r="BB148" i="20"/>
  <c r="BA400" i="20"/>
  <c r="BA8" i="20"/>
  <c r="BB29" i="20"/>
  <c r="BA49" i="20"/>
  <c r="BA69" i="20"/>
  <c r="BA93" i="20"/>
  <c r="BA121" i="20"/>
  <c r="BA161" i="20"/>
  <c r="BA519" i="20"/>
  <c r="BA12" i="20"/>
  <c r="BA32" i="20"/>
  <c r="BB50" i="20"/>
  <c r="BA73" i="20"/>
  <c r="BA98" i="20"/>
  <c r="BA125" i="20"/>
  <c r="BB168" i="20"/>
  <c r="BB74" i="20"/>
  <c r="BA103" i="20"/>
  <c r="BB128" i="20"/>
  <c r="BA181" i="20"/>
  <c r="BA16" i="20"/>
  <c r="BA36" i="20"/>
  <c r="BA57" i="20"/>
  <c r="BA81" i="20"/>
  <c r="BB104" i="20"/>
  <c r="BB136" i="20"/>
  <c r="BB192" i="20"/>
  <c r="BB561" i="20"/>
  <c r="BA20" i="20"/>
  <c r="BB37" i="20"/>
  <c r="BB58" i="20"/>
  <c r="BB82" i="20"/>
  <c r="BA108" i="20"/>
  <c r="BA282" i="20"/>
  <c r="BA587" i="20"/>
  <c r="BB21" i="20"/>
  <c r="BA40" i="20"/>
  <c r="BA61" i="20"/>
  <c r="BA85" i="20"/>
  <c r="BB109" i="20"/>
  <c r="BA343" i="20"/>
  <c r="BA622" i="20"/>
  <c r="BB632" i="20"/>
  <c r="BA632" i="20"/>
  <c r="BB372" i="20"/>
  <c r="BA372" i="20"/>
  <c r="BB316" i="20"/>
  <c r="BA316" i="20"/>
  <c r="BA24" i="20"/>
  <c r="BA118" i="20"/>
  <c r="BA133" i="20"/>
  <c r="BA202" i="20"/>
  <c r="BA220" i="20"/>
  <c r="BA258" i="20"/>
  <c r="BA306" i="20"/>
  <c r="BA452" i="20"/>
  <c r="BA474" i="20"/>
  <c r="BA498" i="20"/>
  <c r="BB539" i="20"/>
  <c r="BA590" i="20"/>
  <c r="BB590" i="20"/>
  <c r="BA582" i="20"/>
  <c r="BB582" i="20"/>
  <c r="BB565" i="20"/>
  <c r="BA565" i="20"/>
  <c r="BB549" i="20"/>
  <c r="BA549" i="20"/>
  <c r="BB533" i="20"/>
  <c r="BA533" i="20"/>
  <c r="BB516" i="20"/>
  <c r="BA516" i="20"/>
  <c r="BB508" i="20"/>
  <c r="BA508" i="20"/>
  <c r="BB500" i="20"/>
  <c r="BA500" i="20"/>
  <c r="BB492" i="20"/>
  <c r="BA492" i="20"/>
  <c r="BB484" i="20"/>
  <c r="BA484" i="20"/>
  <c r="BB475" i="20"/>
  <c r="BA475" i="20"/>
  <c r="BB459" i="20"/>
  <c r="BA459" i="20"/>
  <c r="BB443" i="20"/>
  <c r="BA443" i="20"/>
  <c r="BB427" i="20"/>
  <c r="BA427" i="20"/>
  <c r="BB411" i="20"/>
  <c r="BA411" i="20"/>
  <c r="BB395" i="20"/>
  <c r="BA395" i="20"/>
  <c r="BB387" i="20"/>
  <c r="BA387" i="20"/>
  <c r="BB363" i="20"/>
  <c r="BA363" i="20"/>
  <c r="BB339" i="20"/>
  <c r="BA339" i="20"/>
  <c r="BB307" i="20"/>
  <c r="BA307" i="20"/>
  <c r="BB291" i="20"/>
  <c r="BA291" i="20"/>
  <c r="BB281" i="20"/>
  <c r="BA281" i="20"/>
  <c r="BB273" i="20"/>
  <c r="BA273" i="20"/>
  <c r="BB265" i="20"/>
  <c r="BA265" i="20"/>
  <c r="BB236" i="20"/>
  <c r="BA236" i="20"/>
  <c r="BB211" i="20"/>
  <c r="BA211" i="20"/>
  <c r="BB203" i="20"/>
  <c r="BA203" i="20"/>
  <c r="BB179" i="20"/>
  <c r="BA179" i="20"/>
  <c r="BB163" i="20"/>
  <c r="BA163" i="20"/>
  <c r="BB155" i="20"/>
  <c r="BA155" i="20"/>
  <c r="BB146" i="20"/>
  <c r="BA146" i="20"/>
  <c r="BB571" i="20"/>
  <c r="BA571" i="20"/>
  <c r="BA126" i="20"/>
  <c r="BA134" i="20"/>
  <c r="BB144" i="20"/>
  <c r="BB164" i="20"/>
  <c r="BB184" i="20"/>
  <c r="BB205" i="20"/>
  <c r="BB224" i="20"/>
  <c r="BB262" i="20"/>
  <c r="BB289" i="20"/>
  <c r="BB310" i="20"/>
  <c r="BB347" i="20"/>
  <c r="BB379" i="20"/>
  <c r="BB409" i="20"/>
  <c r="BB456" i="20"/>
  <c r="BB478" i="20"/>
  <c r="BB502" i="20"/>
  <c r="BA541" i="20"/>
  <c r="BA563" i="20"/>
  <c r="BB364" i="20"/>
  <c r="BA364" i="20"/>
  <c r="BB308" i="20"/>
  <c r="BA308" i="20"/>
  <c r="BB266" i="20"/>
  <c r="BA266" i="20"/>
  <c r="BB573" i="20"/>
  <c r="BA573" i="20"/>
  <c r="BB524" i="20"/>
  <c r="BA524" i="20"/>
  <c r="BB402" i="20"/>
  <c r="BA402" i="20"/>
  <c r="BB272" i="20"/>
  <c r="BA272" i="20"/>
  <c r="BB243" i="20"/>
  <c r="BA243" i="20"/>
  <c r="BB218" i="20"/>
  <c r="BA218" i="20"/>
  <c r="BB194" i="20"/>
  <c r="BA194" i="20"/>
  <c r="BB186" i="20"/>
  <c r="BA186" i="20"/>
  <c r="BB178" i="20"/>
  <c r="BA178" i="20"/>
  <c r="BB170" i="20"/>
  <c r="BA170" i="20"/>
  <c r="BB162" i="20"/>
  <c r="BA162" i="20"/>
  <c r="BA9" i="20"/>
  <c r="BA17" i="20"/>
  <c r="BA46" i="20"/>
  <c r="BA54" i="20"/>
  <c r="BA62" i="20"/>
  <c r="BA70" i="20"/>
  <c r="BA86" i="20"/>
  <c r="BA94" i="20"/>
  <c r="BA100" i="20"/>
  <c r="BB120" i="20"/>
  <c r="BA145" i="20"/>
  <c r="BA165" i="20"/>
  <c r="BA185" i="20"/>
  <c r="BA206" i="20"/>
  <c r="BA225" i="20"/>
  <c r="BA264" i="20"/>
  <c r="BA290" i="20"/>
  <c r="BA311" i="20"/>
  <c r="BA349" i="20"/>
  <c r="BA380" i="20"/>
  <c r="BA410" i="20"/>
  <c r="BA458" i="20"/>
  <c r="BA482" i="20"/>
  <c r="BA503" i="20"/>
  <c r="BB545" i="20"/>
  <c r="BB567" i="20"/>
  <c r="BB592" i="20"/>
  <c r="BB340" i="20"/>
  <c r="BA340" i="20"/>
  <c r="BB147" i="20"/>
  <c r="BA147" i="20"/>
  <c r="BB143" i="20"/>
  <c r="BA143" i="20"/>
  <c r="BB548" i="20"/>
  <c r="BA548" i="20"/>
  <c r="BB547" i="20"/>
  <c r="BA547" i="20"/>
  <c r="BB465" i="20"/>
  <c r="BA465" i="20"/>
  <c r="BB393" i="20"/>
  <c r="BA393" i="20"/>
  <c r="BB263" i="20"/>
  <c r="BA263" i="20"/>
  <c r="BB115" i="20"/>
  <c r="BA115" i="20"/>
  <c r="BB209" i="20"/>
  <c r="BB233" i="20"/>
  <c r="BB269" i="20"/>
  <c r="BB294" i="20"/>
  <c r="BB315" i="20"/>
  <c r="BB361" i="20"/>
  <c r="BB384" i="20"/>
  <c r="BB426" i="20"/>
  <c r="BB462" i="20"/>
  <c r="BB486" i="20"/>
  <c r="BB507" i="20"/>
  <c r="BA525" i="20"/>
  <c r="BA546" i="20"/>
  <c r="BA568" i="20"/>
  <c r="BB600" i="20"/>
  <c r="BB607" i="20"/>
  <c r="BA607" i="20"/>
  <c r="BB460" i="20"/>
  <c r="BA460" i="20"/>
  <c r="BB621" i="20"/>
  <c r="BA621" i="20"/>
  <c r="BB564" i="20"/>
  <c r="BA564" i="20"/>
  <c r="BB450" i="20"/>
  <c r="BA450" i="20"/>
  <c r="BB394" i="20"/>
  <c r="BA394" i="20"/>
  <c r="BB298" i="20"/>
  <c r="BA298" i="20"/>
  <c r="BB531" i="20"/>
  <c r="BA531" i="20"/>
  <c r="BB377" i="20"/>
  <c r="BA377" i="20"/>
  <c r="BB630" i="20"/>
  <c r="BA630" i="20"/>
  <c r="BB619" i="20"/>
  <c r="BA619" i="20"/>
  <c r="BB603" i="20"/>
  <c r="BA603" i="20"/>
  <c r="BA570" i="20"/>
  <c r="BB570" i="20"/>
  <c r="BB505" i="20"/>
  <c r="BA505" i="20"/>
  <c r="BB489" i="20"/>
  <c r="BA489" i="20"/>
  <c r="BB464" i="20"/>
  <c r="BA464" i="20"/>
  <c r="BB448" i="20"/>
  <c r="BA448" i="20"/>
  <c r="BB408" i="20"/>
  <c r="BA408" i="20"/>
  <c r="BB376" i="20"/>
  <c r="BA376" i="20"/>
  <c r="BB368" i="20"/>
  <c r="BA368" i="20"/>
  <c r="BB360" i="20"/>
  <c r="BA360" i="20"/>
  <c r="BB344" i="20"/>
  <c r="BA344" i="20"/>
  <c r="BB336" i="20"/>
  <c r="BA336" i="20"/>
  <c r="BB312" i="20"/>
  <c r="BA312" i="20"/>
  <c r="BB304" i="20"/>
  <c r="BA304" i="20"/>
  <c r="BB296" i="20"/>
  <c r="BA296" i="20"/>
  <c r="BB288" i="20"/>
  <c r="BA288" i="20"/>
  <c r="BB241" i="20"/>
  <c r="BA241" i="20"/>
  <c r="BB216" i="20"/>
  <c r="BA216" i="20"/>
  <c r="BB208" i="20"/>
  <c r="BA208" i="20"/>
  <c r="BB200" i="20"/>
  <c r="BA200" i="20"/>
  <c r="BB131" i="20"/>
  <c r="BA131" i="20"/>
  <c r="BB139" i="20"/>
  <c r="BA139" i="20"/>
  <c r="BA6" i="20"/>
  <c r="BA10" i="20"/>
  <c r="BA14" i="20"/>
  <c r="BA18" i="20"/>
  <c r="BA22" i="20"/>
  <c r="BA26" i="20"/>
  <c r="BA30" i="20"/>
  <c r="BA34" i="20"/>
  <c r="BA38" i="20"/>
  <c r="BA43" i="20"/>
  <c r="BA47" i="20"/>
  <c r="BA51" i="20"/>
  <c r="BA55" i="20"/>
  <c r="BA59" i="20"/>
  <c r="BA63" i="20"/>
  <c r="BA67" i="20"/>
  <c r="BA71" i="20"/>
  <c r="BA75" i="20"/>
  <c r="BA83" i="20"/>
  <c r="BA87" i="20"/>
  <c r="BA91" i="20"/>
  <c r="BA95" i="20"/>
  <c r="BA101" i="20"/>
  <c r="BA105" i="20"/>
  <c r="BA110" i="20"/>
  <c r="BA116" i="20"/>
  <c r="BA129" i="20"/>
  <c r="BA137" i="20"/>
  <c r="BA149" i="20"/>
  <c r="BA169" i="20"/>
  <c r="BA193" i="20"/>
  <c r="BA210" i="20"/>
  <c r="BA235" i="20"/>
  <c r="BA270" i="20"/>
  <c r="BA295" i="20"/>
  <c r="BA332" i="20"/>
  <c r="BA362" i="20"/>
  <c r="BA386" i="20"/>
  <c r="BA437" i="20"/>
  <c r="BA463" i="20"/>
  <c r="BA487" i="20"/>
  <c r="BA509" i="20"/>
  <c r="BB529" i="20"/>
  <c r="BB550" i="20"/>
  <c r="BB574" i="20"/>
  <c r="BB605" i="20"/>
  <c r="BB591" i="20"/>
  <c r="BA591" i="20"/>
  <c r="BB566" i="20"/>
  <c r="BA566" i="20"/>
  <c r="BB542" i="20"/>
  <c r="BA542" i="20"/>
  <c r="BB517" i="20"/>
  <c r="BA517" i="20"/>
  <c r="BB476" i="20"/>
  <c r="BA476" i="20"/>
  <c r="BB444" i="20"/>
  <c r="BA444" i="20"/>
  <c r="BB348" i="20"/>
  <c r="BA348" i="20"/>
  <c r="BB300" i="20"/>
  <c r="BA300" i="20"/>
  <c r="BB196" i="20"/>
  <c r="BA196" i="20"/>
  <c r="BB135" i="20"/>
  <c r="BA135" i="20"/>
  <c r="BB556" i="20"/>
  <c r="BA556" i="20"/>
  <c r="BB515" i="20"/>
  <c r="BA515" i="20"/>
  <c r="BB483" i="20"/>
  <c r="BA483" i="20"/>
  <c r="BB628" i="20"/>
  <c r="BA628" i="20"/>
  <c r="BB588" i="20"/>
  <c r="BA588" i="20"/>
  <c r="BB449" i="20"/>
  <c r="BA449" i="20"/>
  <c r="BB313" i="20"/>
  <c r="BA313" i="20"/>
  <c r="BB297" i="20"/>
  <c r="BA297" i="20"/>
  <c r="BB234" i="20"/>
  <c r="BA234" i="20"/>
  <c r="BB107" i="20"/>
  <c r="BA107" i="20"/>
  <c r="BB627" i="20"/>
  <c r="BA627" i="20"/>
  <c r="BB611" i="20"/>
  <c r="BA611" i="20"/>
  <c r="BB579" i="20"/>
  <c r="BA579" i="20"/>
  <c r="BB554" i="20"/>
  <c r="BA554" i="20"/>
  <c r="BB538" i="20"/>
  <c r="BA538" i="20"/>
  <c r="BB521" i="20"/>
  <c r="BA521" i="20"/>
  <c r="BB629" i="20"/>
  <c r="BA629" i="20"/>
  <c r="BB626" i="20"/>
  <c r="BA626" i="20"/>
  <c r="BB618" i="20"/>
  <c r="BA618" i="20"/>
  <c r="BB610" i="20"/>
  <c r="BA610" i="20"/>
  <c r="BB602" i="20"/>
  <c r="BA602" i="20"/>
  <c r="BA586" i="20"/>
  <c r="BB586" i="20"/>
  <c r="BA578" i="20"/>
  <c r="BB578" i="20"/>
  <c r="BB569" i="20"/>
  <c r="BA569" i="20"/>
  <c r="BB553" i="20"/>
  <c r="BA553" i="20"/>
  <c r="BB537" i="20"/>
  <c r="BA537" i="20"/>
  <c r="BB520" i="20"/>
  <c r="BA520" i="20"/>
  <c r="BB512" i="20"/>
  <c r="BA512" i="20"/>
  <c r="BB504" i="20"/>
  <c r="BA504" i="20"/>
  <c r="BB496" i="20"/>
  <c r="BA496" i="20"/>
  <c r="BB488" i="20"/>
  <c r="BA488" i="20"/>
  <c r="BB471" i="20"/>
  <c r="BA471" i="20"/>
  <c r="BB455" i="20"/>
  <c r="BA455" i="20"/>
  <c r="BB391" i="20"/>
  <c r="BA391" i="20"/>
  <c r="BB383" i="20"/>
  <c r="BA383" i="20"/>
  <c r="BB359" i="20"/>
  <c r="BA359" i="20"/>
  <c r="BB335" i="20"/>
  <c r="BA335" i="20"/>
  <c r="BB303" i="20"/>
  <c r="BA303" i="20"/>
  <c r="BB287" i="20"/>
  <c r="BA287" i="20"/>
  <c r="BB277" i="20"/>
  <c r="BA277" i="20"/>
  <c r="BB261" i="20"/>
  <c r="BA261" i="20"/>
  <c r="BB232" i="20"/>
  <c r="BA232" i="20"/>
  <c r="BB223" i="20"/>
  <c r="BA223" i="20"/>
  <c r="BB207" i="20"/>
  <c r="BA207" i="20"/>
  <c r="BB199" i="20"/>
  <c r="BA199" i="20"/>
  <c r="BB191" i="20"/>
  <c r="BA191" i="20"/>
  <c r="BB183" i="20"/>
  <c r="BA183" i="20"/>
  <c r="BB175" i="20"/>
  <c r="BA175" i="20"/>
  <c r="BB167" i="20"/>
  <c r="BA167" i="20"/>
  <c r="BB159" i="20"/>
  <c r="BA159" i="20"/>
  <c r="BA122" i="20"/>
  <c r="BA130" i="20"/>
  <c r="BB156" i="20"/>
  <c r="BB176" i="20"/>
  <c r="BB197" i="20"/>
  <c r="BB213" i="20"/>
  <c r="BB239" i="20"/>
  <c r="BB274" i="20"/>
  <c r="BB299" i="20"/>
  <c r="BB337" i="20"/>
  <c r="BB366" i="20"/>
  <c r="BB390" i="20"/>
  <c r="BB446" i="20"/>
  <c r="BB467" i="20"/>
  <c r="BB491" i="20"/>
  <c r="BB513" i="20"/>
  <c r="BA530" i="20"/>
  <c r="BA551" i="20"/>
  <c r="BA575" i="20"/>
  <c r="BA606" i="20"/>
  <c r="BB283" i="20"/>
  <c r="BA283" i="20"/>
  <c r="BB237" i="20"/>
  <c r="BA237" i="20"/>
  <c r="BB204" i="20"/>
  <c r="BA204" i="20"/>
  <c r="BB581" i="20"/>
  <c r="BA581" i="20"/>
  <c r="BB532" i="20"/>
  <c r="BA532" i="20"/>
  <c r="BB499" i="20"/>
  <c r="BA499" i="20"/>
  <c r="BB466" i="20"/>
  <c r="BA466" i="20"/>
  <c r="BB378" i="20"/>
  <c r="BA378" i="20"/>
  <c r="BA620" i="20"/>
  <c r="BB620" i="20"/>
  <c r="BB522" i="20"/>
  <c r="BA522" i="20"/>
  <c r="BB490" i="20"/>
  <c r="BA490" i="20"/>
  <c r="BB457" i="20"/>
  <c r="BA457" i="20"/>
  <c r="BB369" i="20"/>
  <c r="BA369" i="20"/>
  <c r="BB279" i="20"/>
  <c r="BA279" i="20"/>
  <c r="BB142" i="20"/>
  <c r="BA142" i="20"/>
  <c r="BB593" i="20"/>
  <c r="BA593" i="20"/>
  <c r="BB577" i="20"/>
  <c r="BA577" i="20"/>
  <c r="BB560" i="20"/>
  <c r="BA560" i="20"/>
  <c r="BB552" i="20"/>
  <c r="BA552" i="20"/>
  <c r="BB544" i="20"/>
  <c r="BA544" i="20"/>
  <c r="BB536" i="20"/>
  <c r="BA536" i="20"/>
  <c r="BB528" i="20"/>
  <c r="BA528" i="20"/>
  <c r="BB511" i="20"/>
  <c r="BA511" i="20"/>
  <c r="BB495" i="20"/>
  <c r="BA495" i="20"/>
  <c r="BB470" i="20"/>
  <c r="BA470" i="20"/>
  <c r="BB454" i="20"/>
  <c r="BA454" i="20"/>
  <c r="BB422" i="20"/>
  <c r="BA422" i="20"/>
  <c r="BB382" i="20"/>
  <c r="BA382" i="20"/>
  <c r="BB350" i="20"/>
  <c r="BA350" i="20"/>
  <c r="BB302" i="20"/>
  <c r="BA302" i="20"/>
  <c r="BB276" i="20"/>
  <c r="BA276" i="20"/>
  <c r="BB268" i="20"/>
  <c r="BA268" i="20"/>
  <c r="BB260" i="20"/>
  <c r="BA260" i="20"/>
  <c r="BB231" i="20"/>
  <c r="BA231" i="20"/>
  <c r="BB222" i="20"/>
  <c r="BA222" i="20"/>
  <c r="BB214" i="20"/>
  <c r="BA214" i="20"/>
  <c r="BB182" i="20"/>
  <c r="BA182" i="20"/>
  <c r="BB166" i="20"/>
  <c r="BA166" i="20"/>
  <c r="BB158" i="20"/>
  <c r="BA158" i="20"/>
  <c r="BB226" i="20"/>
  <c r="BA226" i="20"/>
  <c r="BA7" i="20"/>
  <c r="BA11" i="20"/>
  <c r="BA15" i="20"/>
  <c r="BA19" i="20"/>
  <c r="BA23" i="20"/>
  <c r="BA27" i="20"/>
  <c r="BA31" i="20"/>
  <c r="BA35" i="20"/>
  <c r="BA39" i="20"/>
  <c r="BA44" i="20"/>
  <c r="BA48" i="20"/>
  <c r="BA52" i="20"/>
  <c r="BA56" i="20"/>
  <c r="BA60" i="20"/>
  <c r="BA64" i="20"/>
  <c r="BA68" i="20"/>
  <c r="BA72" i="20"/>
  <c r="BA76" i="20"/>
  <c r="BA84" i="20"/>
  <c r="BA88" i="20"/>
  <c r="BA92" i="20"/>
  <c r="BA97" i="20"/>
  <c r="BA102" i="20"/>
  <c r="BA106" i="20"/>
  <c r="BA112" i="20"/>
  <c r="BA117" i="20"/>
  <c r="BA157" i="20"/>
  <c r="BA177" i="20"/>
  <c r="BA198" i="20"/>
  <c r="BA215" i="20"/>
  <c r="BA240" i="20"/>
  <c r="BA275" i="20"/>
  <c r="BA301" i="20"/>
  <c r="BA338" i="20"/>
  <c r="BA367" i="20"/>
  <c r="BA392" i="20"/>
  <c r="BA447" i="20"/>
  <c r="BA468" i="20"/>
  <c r="BA493" i="20"/>
  <c r="BA514" i="20"/>
  <c r="BB534" i="20"/>
  <c r="BB555" i="20"/>
  <c r="BA580" i="20"/>
  <c r="BB613" i="20"/>
  <c r="BB623" i="20"/>
  <c r="BA623" i="20"/>
  <c r="BB583" i="20"/>
  <c r="BA583" i="20"/>
  <c r="BB558" i="20"/>
  <c r="BA558" i="20"/>
  <c r="BB526" i="20"/>
  <c r="BA526" i="20"/>
  <c r="BB501" i="20"/>
  <c r="BA501" i="20"/>
  <c r="BB485" i="20"/>
  <c r="BA485" i="20"/>
  <c r="BB388" i="20"/>
  <c r="BA388" i="20"/>
  <c r="BB292" i="20"/>
  <c r="BA292" i="20"/>
  <c r="BB212" i="20"/>
  <c r="BA212" i="20"/>
  <c r="BB589" i="20"/>
  <c r="BA589" i="20"/>
  <c r="BB540" i="20"/>
  <c r="BA540" i="20"/>
  <c r="BB418" i="20"/>
  <c r="BA418" i="20"/>
  <c r="BB370" i="20"/>
  <c r="BA370" i="20"/>
  <c r="BB346" i="20"/>
  <c r="BA346" i="20"/>
  <c r="BB314" i="20"/>
  <c r="BA314" i="20"/>
  <c r="BB631" i="20"/>
  <c r="BA631" i="20"/>
  <c r="BA604" i="20"/>
  <c r="BB604" i="20"/>
  <c r="BB572" i="20"/>
  <c r="BA572" i="20"/>
  <c r="BB506" i="20"/>
  <c r="BA506" i="20"/>
  <c r="BB473" i="20"/>
  <c r="BA473" i="20"/>
  <c r="BB401" i="20"/>
  <c r="BA401" i="20"/>
  <c r="BB345" i="20"/>
  <c r="BA345" i="20"/>
  <c r="BB271" i="20"/>
  <c r="BA271" i="20"/>
  <c r="BB242" i="20"/>
  <c r="BA242" i="20"/>
  <c r="BB217" i="20"/>
  <c r="BA217" i="20"/>
  <c r="BB152" i="20"/>
  <c r="BA152" i="20"/>
  <c r="BB123" i="20"/>
  <c r="BA123" i="20"/>
  <c r="BB625" i="20"/>
  <c r="BA625" i="20"/>
  <c r="BB609" i="20"/>
  <c r="BA609" i="20"/>
  <c r="BB601" i="20"/>
  <c r="BA601" i="20"/>
  <c r="BB585" i="20"/>
  <c r="BA585" i="20"/>
  <c r="BA624" i="20"/>
  <c r="BB624" i="20"/>
  <c r="BA608" i="20"/>
  <c r="BB608" i="20"/>
  <c r="BB584" i="20"/>
  <c r="BA584" i="20"/>
  <c r="BB576" i="20"/>
  <c r="BA576" i="20"/>
  <c r="BB559" i="20"/>
  <c r="BA559" i="20"/>
  <c r="BB543" i="20"/>
  <c r="BA543" i="20"/>
  <c r="BB527" i="20"/>
  <c r="BA527" i="20"/>
  <c r="BB510" i="20"/>
  <c r="BA510" i="20"/>
  <c r="BB494" i="20"/>
  <c r="BA494" i="20"/>
  <c r="BB477" i="20"/>
  <c r="BA477" i="20"/>
  <c r="BB469" i="20"/>
  <c r="BA469" i="20"/>
  <c r="BB461" i="20"/>
  <c r="BA461" i="20"/>
  <c r="BB453" i="20"/>
  <c r="BA453" i="20"/>
  <c r="BB445" i="20"/>
  <c r="BA445" i="20"/>
  <c r="BB389" i="20"/>
  <c r="BA389" i="20"/>
  <c r="BB381" i="20"/>
  <c r="BA381" i="20"/>
  <c r="BB365" i="20"/>
  <c r="BA365" i="20"/>
  <c r="BB341" i="20"/>
  <c r="BA341" i="20"/>
  <c r="BB333" i="20"/>
  <c r="BA333" i="20"/>
  <c r="BB309" i="20"/>
  <c r="BA309" i="20"/>
  <c r="BB293" i="20"/>
  <c r="BA293" i="20"/>
  <c r="BB259" i="20"/>
  <c r="BA259" i="20"/>
  <c r="BB238" i="20"/>
  <c r="BA238" i="20"/>
  <c r="BB221" i="20"/>
  <c r="BA221" i="20"/>
  <c r="BB127" i="20"/>
  <c r="BA127" i="20"/>
  <c r="BB119" i="20"/>
  <c r="BA119" i="20"/>
  <c r="BB111" i="20"/>
  <c r="BA111" i="20"/>
  <c r="BB124" i="20"/>
  <c r="BB132" i="20"/>
  <c r="BB140" i="20"/>
  <c r="BB160" i="20"/>
  <c r="BB180" i="20"/>
  <c r="BB201" i="20"/>
  <c r="BB219" i="20"/>
  <c r="BB244" i="20"/>
  <c r="BB280" i="20"/>
  <c r="BB305" i="20"/>
  <c r="BB342" i="20"/>
  <c r="BB371" i="20"/>
  <c r="BB396" i="20"/>
  <c r="BB451" i="20"/>
  <c r="BB472" i="20"/>
  <c r="BB497" i="20"/>
  <c r="BB518" i="20"/>
  <c r="BA535" i="20"/>
  <c r="BA557" i="20"/>
  <c r="BA617" i="20"/>
  <c r="BA99" i="20"/>
  <c r="AW23" i="20"/>
  <c r="AV22" i="20"/>
  <c r="AW22" i="20"/>
  <c r="AV23" i="20"/>
  <c r="AV282" i="20"/>
  <c r="AW282" i="20"/>
  <c r="AV20" i="20"/>
  <c r="AV24" i="20"/>
  <c r="AW20" i="20"/>
  <c r="AW24" i="20"/>
  <c r="AV21" i="20"/>
  <c r="AV571" i="20"/>
  <c r="AW21" i="20"/>
  <c r="AW571" i="20"/>
  <c r="BG632" i="20"/>
  <c r="BF632" i="20"/>
  <c r="BG631" i="20"/>
  <c r="BF631" i="20"/>
  <c r="BG609" i="20"/>
  <c r="BF609" i="20"/>
  <c r="BG608" i="20"/>
  <c r="BF608" i="20"/>
  <c r="BG606" i="20"/>
  <c r="BF606" i="20"/>
  <c r="BG605" i="20"/>
  <c r="BF605" i="20"/>
  <c r="BG603" i="20"/>
  <c r="BF603" i="20"/>
  <c r="BG601" i="20"/>
  <c r="BF601" i="20"/>
  <c r="BG587" i="20"/>
  <c r="BF587" i="20"/>
  <c r="BG586" i="20"/>
  <c r="BF586" i="20"/>
  <c r="BG583" i="20"/>
  <c r="BF583" i="20"/>
  <c r="BG582" i="20"/>
  <c r="BF582" i="20"/>
  <c r="BG579" i="20"/>
  <c r="BF579" i="20"/>
  <c r="BG578" i="20"/>
  <c r="BF578" i="20"/>
  <c r="BG548" i="20"/>
  <c r="BF548" i="20"/>
  <c r="BG547" i="20"/>
  <c r="BF547" i="20"/>
  <c r="BG536" i="20"/>
  <c r="BF536" i="20"/>
  <c r="BG535" i="20"/>
  <c r="BF535" i="20"/>
  <c r="BG529" i="20"/>
  <c r="BF529" i="20"/>
  <c r="BG524" i="20"/>
  <c r="BF524" i="20"/>
  <c r="BG523" i="20"/>
  <c r="BF523" i="20"/>
  <c r="BG522" i="20"/>
  <c r="BF522" i="20"/>
  <c r="BG521" i="20"/>
  <c r="BF521" i="20"/>
  <c r="BG510" i="20"/>
  <c r="BF510" i="20"/>
  <c r="BG482" i="20"/>
  <c r="BF482" i="20"/>
  <c r="BG478" i="20"/>
  <c r="BF478" i="20"/>
  <c r="BG474" i="20"/>
  <c r="BF474" i="20"/>
  <c r="BG472" i="20"/>
  <c r="BF472" i="20"/>
  <c r="BG471" i="20"/>
  <c r="BF471" i="20"/>
  <c r="BG469" i="20"/>
  <c r="BF469" i="20"/>
  <c r="BG468" i="20"/>
  <c r="BF468" i="20"/>
  <c r="BG467" i="20"/>
  <c r="BF467" i="20"/>
  <c r="BG464" i="20"/>
  <c r="BF464" i="20"/>
  <c r="BG463" i="20"/>
  <c r="BF463" i="20"/>
  <c r="BG460" i="20"/>
  <c r="BF460" i="20"/>
  <c r="BG459" i="20"/>
  <c r="BF459" i="20"/>
  <c r="BG458" i="20"/>
  <c r="BF458" i="20"/>
  <c r="BG457" i="20"/>
  <c r="BF457" i="20"/>
  <c r="BG453" i="20"/>
  <c r="BF453" i="20"/>
  <c r="BG452" i="20"/>
  <c r="BF452" i="20"/>
  <c r="BG451" i="20"/>
  <c r="BF451" i="20"/>
  <c r="BG450" i="20"/>
  <c r="BF450" i="20"/>
  <c r="BG449" i="20"/>
  <c r="BF449" i="20"/>
  <c r="BG388" i="20"/>
  <c r="BF388" i="20"/>
  <c r="BG387" i="20"/>
  <c r="BF387" i="20"/>
  <c r="BG381" i="20"/>
  <c r="BF381" i="20"/>
  <c r="BG380" i="20"/>
  <c r="BF380" i="20"/>
  <c r="BG379" i="20"/>
  <c r="BF379" i="20"/>
  <c r="BG378" i="20"/>
  <c r="BF378" i="20"/>
  <c r="BG377" i="20"/>
  <c r="BF377" i="20"/>
  <c r="BG376" i="20"/>
  <c r="BF376" i="20"/>
  <c r="BG373" i="20"/>
  <c r="BF373" i="20"/>
  <c r="BG372" i="20"/>
  <c r="BF372" i="20"/>
  <c r="BG371" i="20"/>
  <c r="BF371" i="20"/>
  <c r="BG370" i="20"/>
  <c r="BF370" i="20"/>
  <c r="BG369" i="20"/>
  <c r="BF369" i="20"/>
  <c r="BG368" i="20"/>
  <c r="BF368" i="20"/>
  <c r="BG367" i="20"/>
  <c r="BF367" i="20"/>
  <c r="BG366" i="20"/>
  <c r="BF366" i="20"/>
  <c r="BG361" i="20"/>
  <c r="BF361" i="20"/>
  <c r="BG359" i="20"/>
  <c r="BF359" i="20"/>
  <c r="BG348" i="20"/>
  <c r="BF348" i="20"/>
  <c r="BG347" i="20"/>
  <c r="BF347" i="20"/>
  <c r="BG346" i="20"/>
  <c r="BF346" i="20"/>
  <c r="BG345" i="20"/>
  <c r="BF345" i="20"/>
  <c r="BG344" i="20"/>
  <c r="BF344" i="20"/>
  <c r="BG343" i="20"/>
  <c r="BF343" i="20"/>
  <c r="BG342" i="20"/>
  <c r="BF342" i="20"/>
  <c r="BG341" i="20"/>
  <c r="BF341" i="20"/>
  <c r="BG340" i="20"/>
  <c r="BF340" i="20"/>
  <c r="BG339" i="20"/>
  <c r="BF339" i="20"/>
  <c r="BG338" i="20"/>
  <c r="BF338" i="20"/>
  <c r="BG337" i="20"/>
  <c r="BF337" i="20"/>
  <c r="BG335" i="20"/>
  <c r="BF335" i="20"/>
  <c r="BG316" i="20"/>
  <c r="BF316" i="20"/>
  <c r="BG315" i="20"/>
  <c r="BF315" i="20"/>
  <c r="BG314" i="20"/>
  <c r="BF314" i="20"/>
  <c r="BG305" i="20"/>
  <c r="BF305" i="20"/>
  <c r="BG300" i="20"/>
  <c r="BF300" i="20"/>
  <c r="BG295" i="20"/>
  <c r="BF295" i="20"/>
  <c r="BG294" i="20"/>
  <c r="BF294" i="20"/>
  <c r="BG293" i="20"/>
  <c r="BF293" i="20"/>
  <c r="BG292" i="20"/>
  <c r="BF292" i="20"/>
  <c r="BG290" i="20"/>
  <c r="BF290" i="20"/>
  <c r="BG283" i="20"/>
  <c r="BF283" i="20"/>
  <c r="BG282" i="20"/>
  <c r="BF282" i="20"/>
  <c r="BG281" i="20"/>
  <c r="BF281" i="20"/>
  <c r="BG276" i="20"/>
  <c r="BF276" i="20"/>
  <c r="BG275" i="20"/>
  <c r="BF275" i="20"/>
  <c r="BG273" i="20"/>
  <c r="BF273" i="20"/>
  <c r="BG272" i="20"/>
  <c r="BF272" i="20"/>
  <c r="BG270" i="20"/>
  <c r="BF270" i="20"/>
  <c r="BG268" i="20"/>
  <c r="BF268" i="20"/>
  <c r="BG267" i="20"/>
  <c r="BF267" i="20"/>
  <c r="BG266" i="20"/>
  <c r="BF266" i="20"/>
  <c r="BG261" i="20"/>
  <c r="BF261" i="20"/>
  <c r="BG254" i="20"/>
  <c r="BF254" i="20"/>
  <c r="BG253" i="20"/>
  <c r="BF253" i="20"/>
  <c r="BG245" i="20"/>
  <c r="BF245" i="20"/>
  <c r="BG244" i="20"/>
  <c r="BF244" i="20"/>
  <c r="BG241" i="20"/>
  <c r="BF241" i="20"/>
  <c r="BG238" i="20"/>
  <c r="BF238" i="20"/>
  <c r="BG225" i="20"/>
  <c r="BF225" i="20"/>
  <c r="BG216" i="20"/>
  <c r="BF216" i="20"/>
  <c r="BG215" i="20"/>
  <c r="BF215" i="20"/>
  <c r="BG213" i="20"/>
  <c r="BF213" i="20"/>
  <c r="BG212" i="20"/>
  <c r="BF212" i="20"/>
  <c r="BG205" i="20"/>
  <c r="BF205" i="20"/>
  <c r="BG204" i="20"/>
  <c r="BF204" i="20"/>
  <c r="BG199" i="20"/>
  <c r="BF199" i="20"/>
  <c r="BG197" i="20"/>
  <c r="BF197" i="20"/>
  <c r="BG196" i="20"/>
  <c r="BF196" i="20"/>
  <c r="BG194" i="20"/>
  <c r="BF194" i="20"/>
  <c r="BG192" i="20"/>
  <c r="BF192" i="20"/>
  <c r="BG191" i="20"/>
  <c r="BF191" i="20"/>
  <c r="BG170" i="20"/>
  <c r="BF170" i="20"/>
  <c r="BG163" i="20"/>
  <c r="BF163" i="20"/>
  <c r="BG161" i="20"/>
  <c r="BF161" i="20"/>
  <c r="BG160" i="20"/>
  <c r="BF160" i="20"/>
  <c r="BG159" i="20"/>
  <c r="BF159" i="20"/>
  <c r="BG158" i="20"/>
  <c r="BF158" i="20"/>
  <c r="BG152" i="20"/>
  <c r="BF152" i="20"/>
  <c r="BG144" i="20"/>
  <c r="BF144" i="20"/>
  <c r="BG142" i="20"/>
  <c r="BF142" i="20"/>
  <c r="BG140" i="20"/>
  <c r="BF140" i="20"/>
  <c r="BG137" i="20"/>
  <c r="BF137" i="20"/>
  <c r="BG136" i="20"/>
  <c r="BF136" i="20"/>
  <c r="BG135" i="20"/>
  <c r="BF135" i="20"/>
  <c r="BG133" i="20"/>
  <c r="BF133" i="20"/>
  <c r="BG128" i="20"/>
  <c r="BF128" i="20"/>
  <c r="BG127" i="20"/>
  <c r="BF127" i="20"/>
  <c r="BG126" i="20"/>
  <c r="BF126" i="20"/>
  <c r="BG123" i="20"/>
  <c r="BF123" i="20"/>
  <c r="BG100" i="20"/>
  <c r="BF100" i="20"/>
  <c r="BG99" i="20"/>
  <c r="BF99" i="20"/>
  <c r="BG96" i="20"/>
  <c r="BF96" i="20"/>
  <c r="BG95" i="20"/>
  <c r="BF95" i="20"/>
  <c r="BG91" i="20"/>
  <c r="BF91" i="20"/>
  <c r="BG61" i="20"/>
  <c r="BF61" i="20"/>
  <c r="BG46" i="20"/>
  <c r="BF46" i="20"/>
  <c r="BG45" i="20"/>
  <c r="BF45" i="20"/>
  <c r="BG44" i="20"/>
  <c r="BF44" i="20"/>
  <c r="BG43" i="20"/>
  <c r="BF43" i="20"/>
  <c r="BG34" i="20"/>
  <c r="BF34" i="20"/>
  <c r="BG33" i="20"/>
  <c r="BF33" i="20"/>
  <c r="BG32" i="20"/>
  <c r="BF32" i="20"/>
  <c r="BG31" i="20"/>
  <c r="BF31" i="20"/>
  <c r="BG30" i="20"/>
  <c r="BF30" i="20"/>
  <c r="BG27" i="20"/>
  <c r="BF27" i="20"/>
  <c r="BG22" i="20"/>
  <c r="BF22" i="20"/>
  <c r="BG15" i="20"/>
  <c r="BF15" i="20"/>
  <c r="BG13" i="20"/>
  <c r="BF13" i="20"/>
  <c r="BG9" i="20"/>
  <c r="BF9" i="20"/>
  <c r="BG5" i="20"/>
  <c r="BF5" i="20"/>
  <c r="BG4" i="20"/>
  <c r="BF4" i="20"/>
  <c r="BB612" i="20" l="1"/>
  <c r="BA612" i="20"/>
  <c r="BB599" i="20"/>
  <c r="BA599" i="20"/>
  <c r="BB598" i="20"/>
  <c r="BA598" i="20"/>
  <c r="BC597" i="20"/>
  <c r="BB597" i="20"/>
  <c r="BA597" i="20"/>
  <c r="AX597" i="20"/>
  <c r="BC596" i="20"/>
  <c r="BB596" i="20"/>
  <c r="BA596" i="20"/>
  <c r="AX596" i="20"/>
  <c r="BC595" i="20"/>
  <c r="BB595" i="20"/>
  <c r="BA595" i="20"/>
  <c r="AX595" i="20"/>
  <c r="BL579" i="20"/>
  <c r="H573" i="20"/>
  <c r="H572" i="20"/>
  <c r="H570" i="20"/>
  <c r="BB562" i="20"/>
  <c r="BA562" i="20"/>
  <c r="BB481" i="20"/>
  <c r="BA481" i="20"/>
  <c r="BB480" i="20"/>
  <c r="BA480" i="20"/>
  <c r="BB479" i="20"/>
  <c r="BA479" i="20"/>
  <c r="BB257" i="20"/>
  <c r="BA257" i="20"/>
  <c r="BB256" i="20"/>
  <c r="BA256" i="20"/>
  <c r="BB255" i="20"/>
  <c r="BA255" i="20"/>
  <c r="BB254" i="20"/>
  <c r="BA254" i="20"/>
  <c r="BB253" i="20"/>
  <c r="BA253" i="20"/>
  <c r="BB252" i="20"/>
  <c r="BA252" i="20"/>
  <c r="BB251" i="20"/>
  <c r="BA251" i="20"/>
  <c r="BB250" i="20"/>
  <c r="BA250" i="20"/>
  <c r="BB249" i="20"/>
  <c r="BA249" i="20"/>
  <c r="BB248" i="20"/>
  <c r="BA248" i="20"/>
  <c r="BB247" i="20"/>
  <c r="BA247" i="20"/>
  <c r="BB246" i="20"/>
  <c r="BA246" i="20"/>
  <c r="BB245" i="20"/>
  <c r="BA245" i="20"/>
  <c r="BB96" i="20"/>
  <c r="BA96" i="20"/>
  <c r="BB5" i="20"/>
  <c r="BA5"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Joseph Esteban Torres Rodriguez</author>
  </authors>
  <commentList>
    <comment ref="AR470" authorId="0" shapeId="0" xr:uid="{2A91D960-2863-4F07-8B7E-C0045C6DCB6A}">
      <text>
        <r>
          <rPr>
            <b/>
            <sz val="9"/>
            <color indexed="81"/>
            <rFont val="Tahoma"/>
            <family val="2"/>
          </rPr>
          <t>Joseph Esteban Torres Rodriguez:</t>
        </r>
        <r>
          <rPr>
            <sz val="9"/>
            <color indexed="81"/>
            <rFont val="Tahoma"/>
            <family val="2"/>
          </rPr>
          <t xml:space="preserve">
DATOS ADICIOANLES ALIMENTA ESTE INIDCADOR </t>
        </r>
      </text>
    </comment>
    <comment ref="AR482" authorId="0" shapeId="0" xr:uid="{3B28A69E-E2DD-432F-99E0-BD21BD2C90DA}">
      <text>
        <r>
          <rPr>
            <b/>
            <sz val="9"/>
            <color indexed="81"/>
            <rFont val="Tahoma"/>
            <family val="2"/>
          </rPr>
          <t>Joseph Esteban Torres Rodriguez:</t>
        </r>
        <r>
          <rPr>
            <sz val="9"/>
            <color indexed="81"/>
            <rFont val="Tahoma"/>
            <family val="2"/>
          </rPr>
          <t xml:space="preserve">
DATOS ADICIOANLES ALIMENTA ESTE INIDCADOR </t>
        </r>
      </text>
    </comment>
  </commentList>
</comments>
</file>

<file path=xl/sharedStrings.xml><?xml version="1.0" encoding="utf-8"?>
<sst xmlns="http://schemas.openxmlformats.org/spreadsheetml/2006/main" count="28763" uniqueCount="7690">
  <si>
    <t>FICHA TECNICA INDICADORES</t>
  </si>
  <si>
    <t>CRITERIOS</t>
  </si>
  <si>
    <t>CALIFICACIÓN INDICADOR</t>
  </si>
  <si>
    <t>LINEA DE BASE</t>
  </si>
  <si>
    <t>PROCESOS NEPS</t>
  </si>
  <si>
    <t>ACTUALIZACIONES DE FICHAS TECNICAS</t>
  </si>
  <si>
    <t>Identificación general del indicador</t>
  </si>
  <si>
    <t>OTROS CRITERIOS</t>
  </si>
  <si>
    <t>DEFINICION DE VARIABLES</t>
  </si>
  <si>
    <t>FUENTE</t>
  </si>
  <si>
    <t>PERIODO</t>
  </si>
  <si>
    <t>POBLACION</t>
  </si>
  <si>
    <t>EXCLUSIONES</t>
  </si>
  <si>
    <t>OTRAS REVISIONES</t>
  </si>
  <si>
    <t>DESCUENTOS</t>
  </si>
  <si>
    <t>GENERAL</t>
  </si>
  <si>
    <t>ESPECIAL</t>
  </si>
  <si>
    <t>PUNTOS</t>
  </si>
  <si>
    <t>EXTERNO</t>
  </si>
  <si>
    <t>INTERNO</t>
  </si>
  <si>
    <t>No.</t>
  </si>
  <si>
    <t>Código Indicador</t>
  </si>
  <si>
    <t>Nombre indicador</t>
  </si>
  <si>
    <t>Definición operacional Indicador</t>
  </si>
  <si>
    <t>Tipo indicador*</t>
  </si>
  <si>
    <t>Tablero</t>
  </si>
  <si>
    <t>Orden en Res 3280</t>
  </si>
  <si>
    <t>Curso Vida</t>
  </si>
  <si>
    <t>Programa o estrategia</t>
  </si>
  <si>
    <t>Hito</t>
  </si>
  <si>
    <t>Alertas criticas</t>
  </si>
  <si>
    <t>Alerta temprana</t>
  </si>
  <si>
    <t>Nivel</t>
  </si>
  <si>
    <t>Clasificación indicador</t>
  </si>
  <si>
    <t>Tipo de actividad evaluada</t>
  </si>
  <si>
    <t>Tipo de actividad evaluada (especifica)</t>
  </si>
  <si>
    <t>Evento en salud al que impacta</t>
  </si>
  <si>
    <t>Clasificación Medición</t>
  </si>
  <si>
    <t>Nivel de medición</t>
  </si>
  <si>
    <t>Unidad de medida</t>
  </si>
  <si>
    <t>Amplificador de medida</t>
  </si>
  <si>
    <t>Corte para definición de edad de la población</t>
  </si>
  <si>
    <t>Cuenta con fuente de información?</t>
  </si>
  <si>
    <t>Inicio Medición</t>
  </si>
  <si>
    <t>Nuevo / Antiguo / Retirado</t>
  </si>
  <si>
    <t>Se tiene en cuenta fecha afiliación para validez de la actividad</t>
  </si>
  <si>
    <t>Genero</t>
  </si>
  <si>
    <t>Fecha corte denominador</t>
  </si>
  <si>
    <t>núm.</t>
  </si>
  <si>
    <t>den</t>
  </si>
  <si>
    <t>Observación del indicador</t>
  </si>
  <si>
    <t>Explicación /Observación de la meta/ indicador</t>
  </si>
  <si>
    <t>Filtros para validación Numerador</t>
  </si>
  <si>
    <t>Filtros para validación Denominador</t>
  </si>
  <si>
    <t>Cohorte para validar Indicador</t>
  </si>
  <si>
    <t>Aplica Descuentos 2025</t>
  </si>
  <si>
    <t>Aplica Descuentos 2026</t>
  </si>
  <si>
    <t>CUPS a evaluar en descuentos</t>
  </si>
  <si>
    <t>Óptimo</t>
  </si>
  <si>
    <t>Deficiente</t>
  </si>
  <si>
    <t>Muy deficiente</t>
  </si>
  <si>
    <t>No aceptable</t>
  </si>
  <si>
    <t>No reportó</t>
  </si>
  <si>
    <t>Óptimo- puntos</t>
  </si>
  <si>
    <t>2025 (OCT)</t>
  </si>
  <si>
    <t>Res_2717_24</t>
  </si>
  <si>
    <t>RES_3280</t>
  </si>
  <si>
    <t>PROTOCOLO INS</t>
  </si>
  <si>
    <t>TABLERO MSPS / ENTES</t>
  </si>
  <si>
    <t>PDSP</t>
  </si>
  <si>
    <t>SAR</t>
  </si>
  <si>
    <t>PAMEC</t>
  </si>
  <si>
    <t>TOPS</t>
  </si>
  <si>
    <t>NIVEL RIESGO</t>
  </si>
  <si>
    <t>SBR</t>
  </si>
  <si>
    <t>IFA (FENIX)</t>
  </si>
  <si>
    <t>MONITOR RIAS</t>
  </si>
  <si>
    <t>ANS</t>
  </si>
  <si>
    <t>Grupo ANS</t>
  </si>
  <si>
    <t>Fecha mas reciente</t>
  </si>
  <si>
    <t xml:space="preserve">Observacion Ajuste </t>
  </si>
  <si>
    <t>RPYMS</t>
  </si>
  <si>
    <t>Cumplimiento General de la Gestion integral del Riesgo</t>
  </si>
  <si>
    <t>Cumplimiento General de la metodologia de evaluacion para la geston integral del riesgo en salud</t>
  </si>
  <si>
    <t>N/A</t>
  </si>
  <si>
    <t>NA</t>
  </si>
  <si>
    <t>Todos</t>
  </si>
  <si>
    <t>General</t>
  </si>
  <si>
    <t>NEPS</t>
  </si>
  <si>
    <t>Proceso</t>
  </si>
  <si>
    <t>Cumplimiento General de la RPYMS</t>
  </si>
  <si>
    <t>Cobertura</t>
  </si>
  <si>
    <t>IPS/EPS</t>
  </si>
  <si>
    <t>%</t>
  </si>
  <si>
    <t>Mes evaluado</t>
  </si>
  <si>
    <t>SI</t>
  </si>
  <si>
    <t xml:space="preserve">General </t>
  </si>
  <si>
    <t>NO</t>
  </si>
  <si>
    <t>Ambos</t>
  </si>
  <si>
    <t xml:space="preserve">Ultimo día del mes evaluado </t>
  </si>
  <si>
    <t>Número de puntos obtenidos por cada uno de los indicadores objeto de evaluación según calificación</t>
  </si>
  <si>
    <t>Sumatoria del total de puntos maximos por cada uno de los indicadores objeto de evaluación</t>
  </si>
  <si>
    <t>Indicadores GIRS (RPYMS y Salud publica y Otros procesos)</t>
  </si>
  <si>
    <t>indicadores objeto evaluacion</t>
  </si>
  <si>
    <t>indicadores marcados como NO en FPS</t>
  </si>
  <si>
    <t>ficha tecnica informativa , de la metodologia para el Calculo general de cumplimiento de indicadores de Gestion Integral del Riesgo en salud, y comprende la misma metodologia para la emision de los tablero de RPYMS, Salud Publica y Gestión Territorial</t>
  </si>
  <si>
    <t>Indicadores Gestion Integral del Riesgo en Salud</t>
  </si>
  <si>
    <t>No</t>
  </si>
  <si>
    <t>No aplica</t>
  </si>
  <si>
    <t>15/12/2025: revisado</t>
  </si>
  <si>
    <t>RPYMS41X</t>
  </si>
  <si>
    <t>Cobertura  en la valoración integral por medicina de acuerdo al esquema definido para el menor de un año</t>
  </si>
  <si>
    <t>Proporción de niños menores de 1 año que cumplen con la valoración integral pormedicina general o especializada en pediatría o medicina familiar según el esquema definido</t>
  </si>
  <si>
    <t>Informativo</t>
  </si>
  <si>
    <t>Primera Infancia</t>
  </si>
  <si>
    <t>Valoración integral</t>
  </si>
  <si>
    <t>Consultas</t>
  </si>
  <si>
    <t>Antiguo</t>
  </si>
  <si>
    <t>Número de niñas y niños de 1 año,  con atención en salud por medicina general o especializada en pediatría o medicina familiar de acuerdo al esquema definido en la RPYMS, se evaluarían consultas en las siguientes edades: 
Niños de 6 a 11 meses:
0 a 1 mes
4 a 5 meses
Al numerador irían los niños que cumplen con las 2 consultas en este esquema de edad.
Niños de 2 a 5 meses:
0 a 1 mes
NOTA: Se tiene en cuenta la edad a la fecha de afiliación y edad a entrada en vigencia de la RPYMS (01/02/2019)</t>
  </si>
  <si>
    <t>Total de población de 2 a 11 meses</t>
  </si>
  <si>
    <t>1- RIPS:
* CUPS Finalidad 4 o CIE-10 Z001
89.0.2.01 (consulta de primera vez por medicina general)
89.0.3.01 (Consulta de control o seguimiento por medicina general)
89.0.2.83 (consulta de primera vez por especialista en pediatría)
89.0.3.83 (Consulta de control o seguimiento por especialista en pediatría)
89.0.2.63 (consulta de primera vez por especialista en medicina familiar)
89.0.3.63 (Consulta de control o seguimiento por especialista en medicina familiar).
* Res 2275 - CUPS con finalidad 11 o CIE-10: Z001
89.0.2.01 (consulta de primera vez por medicina general)
89.0.3.01 (Consulta de control o seguimiento por medicina general)
89.0.2.83 (consulta de primera vez por especialista en pediatría)
89.0.3.83 (Consulta de control o seguimiento por especialista en pediatría)
89.0.2.63 (consulta de primera vez por especialista en medicina familiar)
89.0.3.63 (Consulta de control o seguimiento por especialista en medicina familiar).</t>
  </si>
  <si>
    <t>BASE DE DATOS DE AFILIACIONES (CIERRE MES)</t>
  </si>
  <si>
    <t>Según esquema</t>
  </si>
  <si>
    <t>Edad objeto al mes evaluado</t>
  </si>
  <si>
    <t xml:space="preserve"> 2 a 11 meses
Registro de consultas según esquema del menor de 1 año</t>
  </si>
  <si>
    <t>Población al mes a evaluar activos y nuevos 
 2 a 11 meses</t>
  </si>
  <si>
    <t>No se toma fuente 202, porque no se puede identificar si la actividad realizada fue por profesional de medicia o enfermeria.</t>
  </si>
  <si>
    <t>Similar al indicador RPYMS43X, solo deberia cambiar el profesional que hace la actividad</t>
  </si>
  <si>
    <t>valoracion integral- Med</t>
  </si>
  <si>
    <t>41.64%</t>
  </si>
  <si>
    <t>40.82%</t>
  </si>
  <si>
    <t>12/12/2025 Sin modificación  31/03/2025 Se actualiza a ultima Resolución de Cups 2275/2023 en variable fuente.  9/12/2024: Se cambia a informativo, EYAV</t>
  </si>
  <si>
    <t>Ajuste</t>
  </si>
  <si>
    <t>RPYMS42X</t>
  </si>
  <si>
    <t>Cobertura  en la valoración integral por medicina de acuerdo al esquema definido para la edad de 1 a 5 años</t>
  </si>
  <si>
    <t>Proporción de niños  de 1 a 5 años que cumplen con la valoración integral por medicina general, familiar o pediatría según el esquema definido</t>
  </si>
  <si>
    <t>MSPS</t>
  </si>
  <si>
    <r>
      <t xml:space="preserve">Niñas y niños de </t>
    </r>
    <r>
      <rPr>
        <b/>
        <sz val="10"/>
        <color theme="1"/>
        <rFont val="Calibri Light"/>
        <family val="2"/>
        <scheme val="major"/>
      </rPr>
      <t xml:space="preserve">18 meses a 5 años y 11 meses </t>
    </r>
    <r>
      <rPr>
        <sz val="10"/>
        <color theme="1"/>
        <rFont val="Calibri Light"/>
        <family val="2"/>
        <scheme val="major"/>
      </rPr>
      <t>de edad, con atención en salud por medicina general o especializada en pediatría o medicina familiar de acuerdo al esquema definido en la RPYMS, se evaluarían consultas en las siguientes edades: 
Niños de 72 a 83 meses (6 años):
 * 1 consulta: en la edad de 12 a 17 meses
 * 1 consulta: en la edad de 24 a 29 meses
 * 1 consulta: en la edad de 36 a 47 meses (3 años)
 * 1 consulta: en la edad de 60 a 71 meses (5 años)
Al numerador irían los niños que cumplen con las 4 consultas en este esquema de edades.
Niños de 48 a 71 meses; consultas a las edades de:
 * 1 consulta: en la edad de 12 a 17 meses
 * 1 consulta: en la edad de 24 a 29 meses
 * 1 consulta: en la edad de 36 a 47 meses (3 años)
Al numerador irían los niños que cumplen con las 3 consultas en este esquema de edades.
Niños de 30 a 47 meses; una consulta a las edades de:
 * 1 consulta: en la edad de 12 a 17 meses
 * 1 consulta: en la edad de 24 a 29 meses
Al numerador irían los niños que cumplen con las 2 consulta en este esquema de edad.
Niños de 18 a 29 meses; una consulta a las edades de:
 * 1 consulta: en la edad de 12 a 17 meses
Al numerador irían los niños que cumplen con las 1 consulta en este esquema de edad.
NOTA: Se tiene en cuenta la edad a la fecha de afiliación y edad a entrada en vigencia de la RPYMS (01/02/2019)</t>
    </r>
  </si>
  <si>
    <t xml:space="preserve">Total de población de 18 meses a  5 años y 11 meses.
</t>
  </si>
  <si>
    <t>18 meses a  5 años y 11 meses 
Registro de consultas según esquema
Todo lo que cumpla en el numerador debe estar incluido en denominador</t>
  </si>
  <si>
    <t>Población al mes a evaluar activos y nuevos
18 meses a 5 años y 11 meses</t>
  </si>
  <si>
    <t>Se toma como referencia la edad al 1 de febrero de 2019 fecha en la cual inicio la RPYMS, para las respectivas validaciones de las frecuencias de las consultas.
Todo lo que cumpla en el numerador debe estar incluido en denominador</t>
  </si>
  <si>
    <t>Similar al indicador RPYMS44X, solo deberia cambiar el profesional que hace la actividad</t>
  </si>
  <si>
    <t>valoracion integral</t>
  </si>
  <si>
    <t>44.93%</t>
  </si>
  <si>
    <t>46.13%</t>
  </si>
  <si>
    <t>12/12/2025 Sin modificación  30/04/2025 Ajuste definicion de edad en numerador y denominador y en población edad de numerador y denominador.  31/03/2025 Se actualiza a ultima Resolución de Cups 2275/2023 en variable fuente.  11/02/2025 Se realiza eliminación de los 3 meses de afiliación. 9/12/2024: Se cambia a informativo, EYAV</t>
  </si>
  <si>
    <t>RPYMS43X</t>
  </si>
  <si>
    <t>Cobertura  en la valoración integral por enfermería de acuerdo al esquema definido para el menor de un año</t>
  </si>
  <si>
    <t>Proporción de niños menores de 1 año que cumplen con la valoración integral por profesional de enfermería según el esquema definido</t>
  </si>
  <si>
    <t>Número de niñas y niños menores de 1 año atención por consulta de primera vez y control o de seguimiento por enfermería, en la ruta de promoción y mantenimiento de la salud para el menor de un año de edad. De acuerdo al esquema definido:
Niños de 12 meses:
niños de 2 a 3 meses: 1 consulta
niños de 6 a 8 meses: 1 consulta
niños de 9 a 11 meses: 1 consulta
Al numerador irían los niños que cumplen con las 3 consultas en este esquema de edades.
Niños de 9 a 11 meses:
niños de 2 a 3 meses: 1 consulta
niños de 6 a 8 meses: 1 consulta
Al numerador irían los niños que cumplen con las 2 consultas en este esquema de edades.
Niños de 4 a 8  meses:
niños de 2 a 3 meses: 1 consulta
Al numerador irían los niños que cumplen 1 consulta en este esquema de edades.
NOTA: Se tiene en cuenta la edad a la fecha de afiliación y edad a entrada en vigencia de la RPYMS (01/02/2019)</t>
  </si>
  <si>
    <t>Total de población de 4 a 12 meses</t>
  </si>
  <si>
    <t>1- RIPS: CUPS:
89.0.2.05 (Consulta de primera vez por enfermería)
89.0.3.05 (Consulta de control o de seguimiento por enfermería)</t>
  </si>
  <si>
    <t>4 a 12 meses
Registro de consultas según esquema del menor de 1 año</t>
  </si>
  <si>
    <t>Población actual al mes a evaluar activos y nuevos
4 a 12 meses</t>
  </si>
  <si>
    <t>Similar al indicador RPYMS41X, solo deberia cambiar el profesional que hace la actividad</t>
  </si>
  <si>
    <t>valoracion integral- Enf</t>
  </si>
  <si>
    <t>46.34%</t>
  </si>
  <si>
    <t>45.43%</t>
  </si>
  <si>
    <t>15/12/2025: tipo de indicador, ahora es informativo; para dar fuerza al programa de primera infancia; se maneja como si fuera una cobertura al ser menores de 1 año  9/12/2024: Se cambia a informativo, EYAV</t>
  </si>
  <si>
    <t>RPYMS44X</t>
  </si>
  <si>
    <t>Cobertura  en la valoración integral por enfermería de acuerdo al esquema definido para la edad de 1 a 5 años</t>
  </si>
  <si>
    <t>Proporción de niños  de 1 a 5 años que cumplen con la valoración integral por enfermería según el esquema definido</t>
  </si>
  <si>
    <t>Niñas y niños de 2 a 5 años de edad, con atención en salud por profesional de enfermería de acuerdo al esquema definido en la RPYMS, se evaluarían consultas en las siguientes edades: 
Niños de 60 a 71 meses (5 años)
 * 1 consulta: en la edad de niños de 18 a 23 meses
 * 1 consulta: en la edad de niños de 30 a 35 meses
 * 1 consulta: en la edad de niños de 48 a 59 meses (4 años)
 Al numerador irían los niños que cumplen con las 3 consultas en este esquema de edades.
Niños de 36 a 59 meses (3 a 4 años)
 * 1 consulta: en la edad de 18 a 23 meses
 * 1 consulta: en la edad de 30 a 35 meses
 Al numerador irían los niños que cumplen con las 2 consultas en este esquema de edades.
Niños de 24 a 35 meses (2 años)
 * 1 consulta: en la edad de 18 a 23 meses
 Al numerador irían los niños que cumplen la consulta en este esquema de edad.
NOTA: Se tiene en cuenta la edad a la fecha de afiliación y edad a entrada en vigencia de la RPYMS (01/02/2019)</t>
  </si>
  <si>
    <t xml:space="preserve">Total de población de 2 a 5 años
</t>
  </si>
  <si>
    <t>2 a 5 años
Registro de consultas según esquema
Todo lo que cumpla en el numerador debe estar incluido en denominador</t>
  </si>
  <si>
    <t>Población actual al mes a evaluar activos y nuevos
2 a 5 años</t>
  </si>
  <si>
    <t>Similar al indicador RPYMS42X, solo deberia cambiar el profesional que hace la actividad</t>
  </si>
  <si>
    <t>40.37%</t>
  </si>
  <si>
    <t>40.75%</t>
  </si>
  <si>
    <t>12/12/2025 Sin modificación  11/02/2025 Se realiza eliminación de los 3 meses de afiliación. 9/12/2024: Se cambia a informativo, EYAV</t>
  </si>
  <si>
    <t>RPYMS70X</t>
  </si>
  <si>
    <t>Cumplimiento en la consulta de primera infancia en el año vigente</t>
  </si>
  <si>
    <t>Niños  de 0 a 5 años que cumplen con la valoración integral por medicina general, familiar o pediatría o enfermería según el esquema definido para el curso de vida en el año vigente.</t>
  </si>
  <si>
    <t>Evaluativo</t>
  </si>
  <si>
    <t>Cumplimiento</t>
  </si>
  <si>
    <t>Numero de niños con consulta de medicina general, familiar, pediatría o por profesional de enfermería durante el año vigente, según  la edad del curso de vida.
Consulta Medicina General, Familiar o Pediatría:
0-1 mes, 4-5 meses, 12-17 meses, 24-29 meses, 36-47 meses, 60-71 meses
Consulta Enfermería:
2-3 meses, 6-11 meses, 18-23 meses, 30-35 meses, 48-59 meses
Debe cumplir con la valoración por el profesional definido en la ruta</t>
  </si>
  <si>
    <t>1- RIPS. 
* CUPS: MEDICINA con finalidad 4 o con CIE-10 Z001
89.0.2.01 (consulta de primera vez por medicina general)
89.0.3.01 (Consulta de control o seguimiento por medicina general)
89.0.2.63 (consulta de primera vez por especialista en medicina familiar)
89.0.3.63 (Consulta de control o seguimiento por especialista en medicina familiar).
89.0.2.83 (consulta de primera vez por especialista en pediatría)
89.0.3.83 (Consulta de control o seguimiento por especialista en pediatría)
* Res 2275 - CUPS con finalidad 11 o CIE-10: Z001
89.0.2.01 (consulta de primera vez por medicina general)
89.0.3.01 (Consulta de control o seguimiento por medicina general)
89.0.2.83 (consulta de primera vez por especialista en pediatría)
89.0.3.83 (Consulta de control o seguimiento por especialista en pediatría)
89.0.2.63 (consulta de primera vez por especialista en medicina familiar)
89.0.3.63 (Consulta de control o seguimiento por especialista en medicina familiar)
* CUPS: ENFERMERIA
89.0.2.05 (Consulta de primera vez por enfermería)
89.0.3.05 (Consulta de control o de seguimiento por enfermería)</t>
  </si>
  <si>
    <t>Año vigente</t>
  </si>
  <si>
    <t>0 a 5 años
Registro de consultas según esquema
Año vigente
Todo lo que cumpla en el numerador debe estar incluido en denominador</t>
  </si>
  <si>
    <t>Población al mes a evaluar activos y nuevos
0 a 5 años
Dividido en 12 y multiplicado por mes a evaluar</t>
  </si>
  <si>
    <t xml:space="preserve"> NO</t>
  </si>
  <si>
    <t xml:space="preserve">NO </t>
  </si>
  <si>
    <t>1. Calcular edad a corte del periodo evaluar. Formula: =sifecha(FechaNacimiento;FechaCorte;"y")
2. Filtrar la población de 0 a 5 años
3. En las columnas de primera infancia filtrar por cada edad consultas realizadas durante año vigente
4. Sumar las consultas obtenidas por cada edad para obtener dato general</t>
  </si>
  <si>
    <t>1. Calcular edad a corte del periodo evaluar. Formula: =sifecha(FechaNacimiento;FechaCorte;"y")
2. Filtrar población de 0 a 5 años
3. Dividir población en 12 y multiplicar por el mes a evaluar</t>
  </si>
  <si>
    <t>Si</t>
  </si>
  <si>
    <t>890201
890301
890263
890363
890283
890383
890205
890305</t>
  </si>
  <si>
    <t>80.14%</t>
  </si>
  <si>
    <t>75.57%</t>
  </si>
  <si>
    <t>RPYMS72X</t>
  </si>
  <si>
    <t>Cumplimiento en la valoración integral de la primera infancia, por profesional de medicina general, familiar o pediatria de primera infancia en el año</t>
  </si>
  <si>
    <t>Proporción de niños  de 0 a 5 años que cumplen con la valoración integral por medicina general, familiar o pediatría según el esquema definido para el curso de vida en el año.</t>
  </si>
  <si>
    <t>Valoración integral-Med</t>
  </si>
  <si>
    <t>Numero de niños de 0 a 5 años con consulta de medicina general, familiar, pediatría durante el año vigente, según etapa del curso de vida.
Consulta Medicina General, Familiar o Pediatría:
Edad corte: 0-2 mes                    Edad Consulta: 0-1 mes
Edad corte: 4-6 meses                Edad Consulta: 4-5 meses
Edad corte: 12-18 meses,          Edad Consulta: 12-17 meses,
Edad corte:  24-30 meses          Edad Consulta:  24-29 meses
Edad corte:  36-48 meses,         Edad Consulta:  36-47 meses,
Edad corte:  60-72 meses,         Edad Consulta:  60-71 meses,
Debe cumplir con la valoración por el profesional definido en la ruta según su edad a la fecha de corte</t>
  </si>
  <si>
    <t>1- RIPS. 
* CUPS: MEDICINA con finalidad 4 o con CIE-10 Z001
89.0.2.01 (consulta de primera vez por medicina general)
89.0.3.01 (Consulta de control o seguimiento por medicina general)
89.0.2.63 (consulta de primera vez por especialista en medicina familiar)
89.0.3.63 (Consulta de control o seguimiento por especialista en medicina familiar).
89.0.2.83 (consulta de primera vez por especialista en pediatría)
89.0.3.83 (Consulta de control o seguimiento por especialista en pediatría)
* Res 2275 - CUPS con finalidad 11 o CIE-10: Z001
89.0.2.01 (consulta de primera vez por medicina general)
89.0.3.01 (Consulta de control o seguimiento por medicina general)
89.0.2.83 (consulta de primera vez por especialista en pediatría)
89.0.3.83 (Consulta de control o seguimiento por especialista en pediatría)
89.0.2.63 (consulta de primera vez por especialista en medicina familiar)
89.0.3.63 (Consulta de control o seguimiento por especialista en medicina familiar)</t>
  </si>
  <si>
    <t xml:space="preserve"> 0-1 mes, 4-5 meses, 12-17 meses, 24-29 meses, 36-47 meses, 60-71 meses
Registro de consultas según esquema
Año vigente</t>
  </si>
  <si>
    <t>Población actual al mes a evaluar activos y nuevos
 0-1 mes, 4-5 meses, 12-17 meses, 24-29 meses, 36-47 meses, 60-71 meses
Dividido en 12 y multiplicado por mes a evaluar</t>
  </si>
  <si>
    <t>el 100% de la poblacion menor de 5 años objeto de la evaluación requiere atención durante el año, se incrementa meta de cumplimiento teniendo en cuenta lidea de base de año 2023</t>
  </si>
  <si>
    <t>60.48%</t>
  </si>
  <si>
    <t>53.99%</t>
  </si>
  <si>
    <t>RPYMS73X</t>
  </si>
  <si>
    <t>Cumplimiento en la valoración integral de la primera infancia, por profesional de enfermería  en el año</t>
  </si>
  <si>
    <t>Proporción de niños  de 0 a 5 años que cumplen con la valoración integral por enfermería según el esquema definido para el curso de vida en el año.</t>
  </si>
  <si>
    <t>Valoración integral-Enf</t>
  </si>
  <si>
    <t>Numero de niños de 0 a 5 años con consulta por profesional de enfermería durante el año vigente, según etapa del curso de vida.
Consulta Enfermería:
Edad corte: 2-4 meses          Edad Consulta: 2-3 meses
Edad corte: 6-12 meses        Edad Consulta: 6-11 meses
Edad corte: 18-24 meses      Edad Consulta: 18-23 meses
Edad corte: 30-36 meses      Edad Consulta: 30-35 meses
Edad corte:  48-60 meses     Edad Consulta:  48-59 meses
Debe cumplir con la valoración por el profesional definido en la ruta según su edad a la fecha de corte</t>
  </si>
  <si>
    <t>1- RIPS. 
* CUPS: ENFERMERIA
89.0.2.05 (Consulta de primera vez por enfermería)
89.0.3.05 (Consulta de control o de seguimiento por enfermería)</t>
  </si>
  <si>
    <t>2-3 meses, 6-11 meses, 18-23 meses, 30-35 meses, 48-59 meses
Registro de consultas según esquema
Año vigente</t>
  </si>
  <si>
    <t>Población actual al mes a evaluar activos y nuevos
2-3 meses, 6-11 meses, 18-23 meses, 30-35 meses, 48-59 meses
Dividido en 12 y multiplicado por mes a evaluar</t>
  </si>
  <si>
    <t>56.86%</t>
  </si>
  <si>
    <t>48.99%</t>
  </si>
  <si>
    <t>RPYMS234X</t>
  </si>
  <si>
    <t>Proporción de niñas y niños en primera infancia con aplicación de escala abreviada del desarrollo</t>
  </si>
  <si>
    <t>Proporción de niños  de 0 a 5 años que cumplen con  aplicación EAD en la vida</t>
  </si>
  <si>
    <t>Instrumentos</t>
  </si>
  <si>
    <t>EAD</t>
  </si>
  <si>
    <t>Total de niños de 0 a 5 años valorados con test de escala abreviada del desarrollo</t>
  </si>
  <si>
    <t xml:space="preserve">Total de niños de 0 a 5 años afiliados a EPS
</t>
  </si>
  <si>
    <t>Documento único de niños que tienen registro en la Res 202, en cualquiera de las siguientes variables, 43-44-45-46, con resultado de respuesta en opciones 3-4-5</t>
  </si>
  <si>
    <t>Toda la vida</t>
  </si>
  <si>
    <t>Población actual al mes a evaluar activos y nuevos que cumplen lo solicitado
0 a 5 años
Todo lo que cumpla en el numerador debe estar incluido en denominador</t>
  </si>
  <si>
    <t>Población actual al mes a evaluar activos y nuevos
0 a 5 años</t>
  </si>
  <si>
    <t>Todo lo que cumpla en el numerador debe estar incluido en denominador</t>
  </si>
  <si>
    <t>Cohorte primera Infancia</t>
  </si>
  <si>
    <t>84.23%</t>
  </si>
  <si>
    <t>85.48%</t>
  </si>
  <si>
    <t>15/12/2025: se ajusta meta, // 11/02/2025 Se realiza eliminación de los 3 meses de afiliación.</t>
  </si>
  <si>
    <t>EYAV</t>
  </si>
  <si>
    <t>RPYMS74X</t>
  </si>
  <si>
    <t>Cumplimiento en la aplicación de escala abreviada del desarrollo a niñas y niños en primera infancia en el año vigente</t>
  </si>
  <si>
    <t>Niños  de 0 a 5 años con valoración integral en el año vigente que registran aplicación EAD.</t>
  </si>
  <si>
    <t>Valoración escala abreviada del desarrollo en la ultima valoracion integral valida del Año vigente.</t>
  </si>
  <si>
    <t>Total de niños de 0 a 5 años afiliados a EPS
Con consulta de medicina general, familiar, pediatría o por profesional de enfermería durante el año vigente. segun esquema definido en la RES3280</t>
  </si>
  <si>
    <t>*Res 202, cualquiera de las siguientes variables:  43-44-45-46, con resultado de respuesta en opciones 3-4-5</t>
  </si>
  <si>
    <t>Menores con registro de valoracion:
1- RIPS. 
* CUPS: MEDICINA con finalidad 4 o con CIE-10 Z001
89.0.2.01 (consulta de primera vez por medicina general)
89.0.3.01 (Consulta de control o seguimiento por medicina general)
89.0.2.63 (consulta de primera vez por especialista en medicina familiar)
89.0.3.63 (Consulta de control o seguimiento por especialista en medicina familiar).
89.0.2.83 (consulta de primera vez por especialista en pediatría)
89.0.3.83 (Consulta de control o seguimiento por especialista en pediatría)
* Res 2275 - CUPS con finalidad 11 o CIE-10: Z001
89.0.2.01 (consulta de primera vez por medicina general)
89.0.3.01 (Consulta de control o seguimiento por medicina general)
89.0.2.63 (consulta de primera vez por especialista en medicina familiar)
89.0.3.63 (Consulta de control o seguimiento por especialista en medicina familiar).
89.0.2.83 (consulta de primera vez por especialista en pediatría)
89.0.3.83 (Consulta de control o seguimiento por especialista en pediatría)
* CUPS: ENFERMERIA
89.0.2.05 (Consulta de primera vez por enfermería)
89.0.3.05 (Consulta de control o de seguimiento por enfermería)
En año vigente</t>
  </si>
  <si>
    <r>
      <t xml:space="preserve">Población de denomiador </t>
    </r>
    <r>
      <rPr>
        <strike/>
        <sz val="10"/>
        <color theme="1"/>
        <rFont val="Calibri Light"/>
        <family val="2"/>
        <scheme val="major"/>
      </rPr>
      <t xml:space="preserve"> </t>
    </r>
    <r>
      <rPr>
        <sz val="10"/>
        <color theme="1"/>
        <rFont val="Calibri Light"/>
        <family val="2"/>
        <scheme val="major"/>
      </rPr>
      <t xml:space="preserve">
aplicación EAD año vigente
</t>
    </r>
  </si>
  <si>
    <t>Población al mes a evaluar activos y nuevos
0 a 5 años
Con registro de valoracion integral en el año vigente</t>
  </si>
  <si>
    <t>1. Calcular edad a corte del periodo evaluar. Formula: =sifecha(FechaNacimiento;FechaCorte;"y")
2. Filtrar la población de 0 a 5 años
3. En las columnas de primera infancia filtrar por cada edad consultas realizadas durante año vigente
4. Realización de la EAD en la ultima valoración integral realizada</t>
  </si>
  <si>
    <t>1. Calcular edad a corte del periodo evaluar. Formula: =sifecha(FechaNacimiento;FechaCorte;"y")
2. Filtrar población de 0 a 5 años
3. En las columnas de primera infancia filtrar por cada edad consultas realizadas durante año vigente</t>
  </si>
  <si>
    <t>65.56%</t>
  </si>
  <si>
    <t>66.32%</t>
  </si>
  <si>
    <t>Otros</t>
  </si>
  <si>
    <t>12/12/2025 Sin modificación  31/03/2025 Se actualiza a ultima Resolución de Cups 2275/2023 en variable fuente.  05/03/2025 Se ajusta nombre del indicador, definición operacional, fuente del numerador y población del numerador y denominador.</t>
  </si>
  <si>
    <t>RPYMS201X</t>
  </si>
  <si>
    <t>Proporción de niñas y niños en primera infancia con desarrollo esperado o normal para la edad (EAD)</t>
  </si>
  <si>
    <t>Proporción de niños de 0 a 5  con  aplicación EAD, que registran desarrollo esperado para la edad en todas las áreas</t>
  </si>
  <si>
    <t>Resultado</t>
  </si>
  <si>
    <t>Riesgo</t>
  </si>
  <si>
    <t>Número de niñas y niños en primera infancia a quienes se les aplica la "Escala abreviada del desarrollo" - EAD-3 y según el resultado obtenido en las cuatro variables "Resultado Escala abreviada del desarrollo – área de motricidad gruesa", "Resultado Escala abreviada del desarrollo – área de motricidad finoadaptativa", "Resultado Escala abreviada del desarrollo – área de audición lenguaje", y "Resultado Escala abreviada del desarrollo – área personal - social", son clasificados en todas las áreas con opción 5."Desarrollo esperado para la edad"</t>
  </si>
  <si>
    <t>Total de niñas y niños de 0 a 5 años, valorados con escala abreviada del desarrollo.</t>
  </si>
  <si>
    <t>Resolución 202- Variable 43-44-45-46- opción 5 (en todas las variables)</t>
  </si>
  <si>
    <t>Resolución 202- Variable 43-44-45-46 con informacion</t>
  </si>
  <si>
    <t>Población actual al mes a evaluar activos 
con  EAD normal
0 a 5 años</t>
  </si>
  <si>
    <t>88.09%</t>
  </si>
  <si>
    <t>88.35%</t>
  </si>
  <si>
    <t>12/12/2025 Sin modificación  9/12/2024: sin modificación</t>
  </si>
  <si>
    <t>RPYMS235X</t>
  </si>
  <si>
    <t>Proporción de niñas y niños en primera infancia clasificados con riesgo o sospecha de problemas en el desarrollo, (EAD), con seguimiento por pediatría</t>
  </si>
  <si>
    <t>Proporción de niños que presentan alteración en la escala abreviada del desarrollo y fueron valorados por pediatría</t>
  </si>
  <si>
    <t>Seguimiento EAD</t>
  </si>
  <si>
    <t>Número de niñas y niños en primera infancia clasificados en cualquiera de las áreas de la EAD con: "3 -Sospecha de problemas de desarrollo" y "4 -Riesgo de problemas de desarrollo", que se les realizó seguimiento por pediatría
Menores con reporte de valoración por pediatría: con fecha posterior o igual a la fecha de valoración de la Escala abreviada del desarrollo</t>
  </si>
  <si>
    <t>Total de niñas y niños en primera infancia clasificados en cualquiera de las áreas de la EAD con: "3 -Sospecha de problemas de desarrollo" y "4 -Riesgo de problemas de desarrollo" en cualquiera de las área evaluadas</t>
  </si>
  <si>
    <t>*RIPS
89.0.2.83 (consulta de primera vez por especialista en pediatría)
89.0.3.83 (Consulta de control o seguimiento por especialista en pediatría)</t>
  </si>
  <si>
    <t>* Resolución 202- variables: 43-44-45 y 46, con resultado de respuesta en opciones 3-4</t>
  </si>
  <si>
    <r>
      <t xml:space="preserve">Población del denominador </t>
    </r>
    <r>
      <rPr>
        <strike/>
        <sz val="10"/>
        <color theme="1"/>
        <rFont val="Calibri Light"/>
        <family val="2"/>
        <scheme val="major"/>
      </rPr>
      <t xml:space="preserve"> </t>
    </r>
    <r>
      <rPr>
        <sz val="10"/>
        <color theme="1"/>
        <rFont val="Calibri Light"/>
        <family val="2"/>
        <scheme val="major"/>
      </rPr>
      <t xml:space="preserve">
con valoración por pediatría y EAD alterada
</t>
    </r>
  </si>
  <si>
    <t>Población al mes a evaluar activos y nuevos
0 a 5 años</t>
  </si>
  <si>
    <t>1. Calcular edad a corte del periodo evaluar. Formula: =sifecha(FechaNacimiento;FechaCorte;"y")
2. Filtrar la población de 0 a 5 años
3. Se filtran y señalan los resultados alterados de las EAD: 3 - Sospecha de problemas de desarrollo y 4 - Riesgo de problemas de desarrollo.
4. Se cruza la fecha de atención Consulta mas reciente Pediatra con las EAD alteradas identificadas.
5. Se seleccionan fechas de atención por pediatría que sean mayores o iguales a la fecha de la EAD.</t>
  </si>
  <si>
    <t>1. Calcular edad a corte del periodo evaluar. Formula: =sifecha(FechaNacimiento;FechaCorte;"y")
2. Filtrar población de 0 a 5 años
3. En las columnas de primera infancia filtrar por cada edad consultas realizadas durante año vigente
4. Realización de la EAD en la ultima valoración integral realizada
5. Filtrar resultados alterados de las EAD: 3 - Sospecha de problemas de desarrollo y 4 - Riesgo de problemas de desarrollo</t>
  </si>
  <si>
    <t>23.49%</t>
  </si>
  <si>
    <t>20.42%</t>
  </si>
  <si>
    <t>12/12/2025 meta, puntaje, eyav  05/03/2025 Se ajusta definición denominador y población del numerador y denominador.</t>
  </si>
  <si>
    <t>RPYMS197X</t>
  </si>
  <si>
    <t>Proporción de niñas y niños en primera infancia clasificados en el área de motricidad gruesa con riesgo o sospecha de problemas en el desarrollo, con seguimiento por pediatría</t>
  </si>
  <si>
    <t>Proporción de niños que presentan alteración en el área de motricidad gruesa de la escala abreviada del desarrollo y fueron valorados por pediatría</t>
  </si>
  <si>
    <t xml:space="preserve"> Número de niñas y niños en primera infancia clasificados en el área de motricidad gruesa con: "3 -Sospecha de problemas de desarrollo" y "4 -Riesgo de problemas de desarrollo", que se les realizó seguimiento por pediatría
menores de 0 a 5 años
Resultado Escala abreviada del desarrollo – área de motricidad gruesa", con las opciones de respuesta: "3 -Sospecha de problemas de desarrollo" y "4 -Riesgo de problemas de desarrollo"
Menores con reporte de valoración por pediatría: con fecha posterior o igual a la fecha de valoración de la Escala abreviada del desarrollo</t>
  </si>
  <si>
    <t>Total de niñas y niños de 0 a 5 años
clasificados en la variable 43 -  Res 202:  "Resultado Escala abreviada del desarrollo – área de motricidad gruesa" con: ""3 -Sospecha de problemas de desarrollo" y "4 -Riesgo de problemas de desarrollo". (opciones de respuesta 3-4)</t>
  </si>
  <si>
    <t>RIPS
89.0.2.83 (consulta de primera vez por especialista en pediatría)
89.0.3.83 (Consulta de control o seguimiento por especialista en pediatría)</t>
  </si>
  <si>
    <t>Resolución 202- Variable 43- opción 3-4</t>
  </si>
  <si>
    <t>Población actual al mes a evaluar activos 
con valoración por pediatría y EAD alterada
0 a 5 años</t>
  </si>
  <si>
    <t>20.43%</t>
  </si>
  <si>
    <t>16.97%</t>
  </si>
  <si>
    <t>15/12/2025: se pasa a evaluativo12/12/2025 Sin modificación  9/12/2024: sin modificación</t>
  </si>
  <si>
    <t>RPYMS198X</t>
  </si>
  <si>
    <t>Proporción de niñas y niños en primera infancia clasificados en el área de motricidad finoadaptativa con riesgo o sospecha de problemas en el desarrollo, con seguimiento por pediatría</t>
  </si>
  <si>
    <t>Proporción de niños que presentan alteración en el área de motricidad finoadaptativa de la escala abreviada del desarrollo y fueron valorados por pediatría</t>
  </si>
  <si>
    <t xml:space="preserve"> Número de niñas y niños en primera infancia clasificados en el área de motricidad finoadaptativa con: "3 -Sospecha de problemas de desarrollo" y "4 -Riesgo de problemas de desarrollo", que se les realizó seguimiento por pediatría
menores de 0 a 5 años
Resultado Escala abreviada del desarrollo – área de Motricidad finoadaptativa", con las opciones de respuesta: "3 -Sospecha de problemas de desarrollo" y "4 -Riesgo de problemas de desarrollo"
Menores con reporte de valoración por pediatría: con fecha posterior o igual a la fecha de valoración de la Escala abreviada del desarrollo</t>
  </si>
  <si>
    <t>Total de niñas y niños de 0 a 5 años
clasificados en la variable 44 -  Res 202:  "Resultado Escala abreviada del desarrollo – área de motricidad finoadaptativa" con: ""3 -Sospecha de problemas de desarrollo" y "4 -Riesgo de problemas de desarrollo". (opciones de respuesta 3-4)</t>
  </si>
  <si>
    <t>Resolución 202- Variable 44- opción 3-4</t>
  </si>
  <si>
    <t>20.74%</t>
  </si>
  <si>
    <t>17.1%</t>
  </si>
  <si>
    <t>RPYMS199X</t>
  </si>
  <si>
    <t>Proporción de niñas y niños en primera infancia clasificados en el área de audición lenguaje con riesgo o sospecha de problemas en el desarrollo, con seguimiento por pediatría.</t>
  </si>
  <si>
    <t>Proporción de niños que presentan alteración en el área de audición lenguaje  de la escala abreviada del desarrollo y fueron valorados por pediatría</t>
  </si>
  <si>
    <t xml:space="preserve"> Número de niñas y niños en primera infancia clasificados en el área de Audición lenguaje con: "3 -Sospecha de problemas de desarrollo" y "4 -Riesgo de problemas de desarrollo", que se les realizó seguimiento por pediatría
menores de 0 a 5 años
Resultado Escala abreviada del desarrollo – área de audición lenguaje", con las opciones de respuesta: "3 -Sospecha de problemas de desarrollo" y "4 -Riesgo de problemas de desarrollo"
Menores con reporte de valoración por pediatría: con fecha posterior o igual a la fecha de valoración de la Escala abreviada del desarrollo</t>
  </si>
  <si>
    <t>Total de niñas y niños de 0 a 5 años
clasificados en la variable 46 -  Res 202:  "Resultado Escala abreviada del desarrollo – área de audición lenguaje" con: ""3 -Sospecha de problemas de desarrollo" y "4 -Riesgo de problemas de desarrollo". (opciones de respuesta 3-4)</t>
  </si>
  <si>
    <t>Resolución 202- Variable 46- opción 3-4</t>
  </si>
  <si>
    <t>21.16%</t>
  </si>
  <si>
    <t>18.11%</t>
  </si>
  <si>
    <t>RPYMS200X</t>
  </si>
  <si>
    <t>Proporción de niñas y niños en primera infancia clasificados en el área personal - social con riesgo o sospecha de problemas en el desarrollo, con seguimiento por pediatría.</t>
  </si>
  <si>
    <t>Proporción de niños que presentan alteración en el área personal - social de la escala abreviada del desarrollo y fueron valorados por pediatría</t>
  </si>
  <si>
    <t xml:space="preserve"> Número de niñas y niños en primera infancia clasificados en el área personal - social  con: "3 -Sospecha de problemas de desarrollo" y "4 -Riesgo de problemas de desarrollo", que se les realizó seguimiento por pediatría
menores de 0 a 5 años
Resultado Escala abreviada del desarrollo – área personal - social ", con las opciones de respuesta: "3 -Sospecha de problemas de desarrollo" y "4 -Riesgo de problemas de desarrollo"
Menores con reporte de valoración por pediatría: con fecha posterior o igual a la fecha de valoración de la Escala abreviada del desarrollo</t>
  </si>
  <si>
    <t>Total de niñas y niños de 0 a 5 años
clasificados en la variable 45 -  Res 202:  "Resultado Escala abreviada del desarrollo – área personal - social " con: ""3 -Sospecha de problemas de desarrollo" y "4 -Riesgo de problemas de desarrollo". (opciones de respuesta 3-4)</t>
  </si>
  <si>
    <t>Resolución 202- Variable 45- opción 3-4</t>
  </si>
  <si>
    <t>22.49%</t>
  </si>
  <si>
    <t>19%</t>
  </si>
  <si>
    <t>15/12/2025: se pasa a evaluativo, eyav// 9/12/2024: sin modificación</t>
  </si>
  <si>
    <t>RPYMS45X</t>
  </si>
  <si>
    <t>Cobertura de niñas y niños con atención por medicina general o especializada en pediatría o medicina familiar de acuerdo al esquema definido para la infancia</t>
  </si>
  <si>
    <t>Proporción de niños de 6 a 11 años que cumplen con el esquema definido para la valoración integral por medicina general, medicina Familiar o Pediatría</t>
  </si>
  <si>
    <t>Infancia</t>
  </si>
  <si>
    <t>Número de niñas y niños de 7 a 11 años con atención por medicina general o especializada en pediatría o medicina familiar,  (3 veces en el periodo) en la ruta de promoción y mantenimiento de la salud , de acuerdo al esquema de consultas definido: 
Niños de 11 años: 
1 consulta: a los 6 años
1 consulta: a los 8 años
1 consulta: a los 10 años
Niños de 9 y 10 años: 
1 consulta: a los 6 años
1 consulta: a los 8 años
Niños de 7 y 8 años: 
1 consulta: a los 6 años
NOTA: Se tiene en cuenta la edad a la fecha de afiliación y edad a entrada en vigencia de la RPYMS (01/02/2019)</t>
  </si>
  <si>
    <t xml:space="preserve">Total de población de 7 a 11 años
</t>
  </si>
  <si>
    <t>7 a 11 años
Registro de consultas según esquema</t>
  </si>
  <si>
    <t>Población  al mes a evaluar activos y nuevos 
7 a 11 años</t>
  </si>
  <si>
    <t>niños de 7 años: 1 consulta en edades de acuerdo a esquema
niños de 8 a 9 años: 2 consultas en edades de acuerdo a esquema
niños de 10 a 11 años: 3 consultas en edades de acuerdo a esquema
si el niño no cumple este esquema no se considera dato valido para el numerador
Todo lo que cumpla en el numerador debe estar incluido en denominador</t>
  </si>
  <si>
    <t>20.32%</t>
  </si>
  <si>
    <t>15.83%</t>
  </si>
  <si>
    <t>12/12/2025 Sin modificación  31/03/2025 Se actualiza a ultima Resolución de Cups 2275/2023 en variable fuente.  11/02/2025 Se realiza eliminación de los 3 meses de afiliación.</t>
  </si>
  <si>
    <t>RPYMS46X</t>
  </si>
  <si>
    <t>Cobertura de niñas y niños con atención en salud por profesional de enfermería de acuerdo al esquema definido para la infancia</t>
  </si>
  <si>
    <t>Proporción de niños de 6 a 11 años que cumplen con el esquema definido para la valoración integral por enfermería</t>
  </si>
  <si>
    <t>Número de niñas y niños de 8 a 12 años con atención por consulta de primera vez por enfermería o de control o de seguimiento por enfermería, en el curso de vida de infancia, de acuerdo al esquema definido en la ruta de promoción y mantenimiento de la salud
Niños de 12 años: 
1 consulta: a los 7 años
1 consulta: a los 9 años
1 consulta: a los 11 años
Niños de 10 y 11años: 
1 consulta: a los 7 años
1 consulta: a los 9 años
Niños de 8 y 9 años: 
1 consulta: a los 7 años
NOTA: Se tiene en cuenta la edad a la fecha de afiliación y edad a entrada en vigencia de la RPYMS (01/02/2019)</t>
  </si>
  <si>
    <t xml:space="preserve">Total de población de 8 a 12 años 
</t>
  </si>
  <si>
    <t>1- RIPS: CUPS
89.0.2.05 (Consulta de primera vez por enfermería)
89.0.3.05 (Consulta de control o de seguimiento por enfermería)</t>
  </si>
  <si>
    <t>8 a 12 años
Registro de consultas según esquema</t>
  </si>
  <si>
    <r>
      <t xml:space="preserve">Población al mes a evaluar activos y nuevos </t>
    </r>
    <r>
      <rPr>
        <strike/>
        <sz val="10"/>
        <color theme="1"/>
        <rFont val="Calibri Light"/>
        <family val="2"/>
        <scheme val="major"/>
      </rPr>
      <t xml:space="preserve">
</t>
    </r>
    <r>
      <rPr>
        <sz val="10"/>
        <color theme="1"/>
        <rFont val="Calibri Light"/>
        <family val="2"/>
        <scheme val="major"/>
      </rPr>
      <t>8 a 12 años</t>
    </r>
  </si>
  <si>
    <t>Se toma la población de 8 a 12 años para poder evaluar las consultas del menor cuando tenia 6 a 11 años en el curso de la infancia, dado que por enfermería, las fechas de consulta son: 7, 9 y 11 años
Todo lo que cumpla en el numerador debe estar incluido en denominador</t>
  </si>
  <si>
    <t>26.48%</t>
  </si>
  <si>
    <t>25.16%</t>
  </si>
  <si>
    <t>12/12/2025 Sin modificación11/02/2025 Se realiza eliminación de los 3 meses de afiliación.</t>
  </si>
  <si>
    <t>RPYMS81X</t>
  </si>
  <si>
    <t>Cumplimiento en la consulta de Infancia en el año vigente</t>
  </si>
  <si>
    <t>Valoración integral (med-enf)</t>
  </si>
  <si>
    <t>Numero de niños con consulta de medicina general, familiar, pediatría o por profesional de enfermería durante el año vigente
Niños con edad a la consulta a los 6, 8 y 10 años, por medicina general o medicina familiar o pediatria
Niños con edad a la consulta a los  7, 9 y 11 años, por profesional de Enfermería</t>
  </si>
  <si>
    <t>1- RIPS. 
* CUPS: MEDICINA con finalidad 4 o con CIE-10 Z001 o Z002
89.0.2.01 (consulta de primera vez por medicina general)
89.0.3.01 (Consulta de control o seguimiento por medicina general)
89.0.2.63 (consulta de primera vez por especialista en medicina familiar)
89.0.3.63 (Consulta de control o seguimiento por especialista en medicina familiar).
89.0.2.83 (consulta de primera vez por especialista en pediatría)
89.0.3.83 (Consulta de control o seguimiento por especialista en pediatría)
* Res 2275 - CUPS con finalidad 11 o CIE-10: Z001 o Z002
89.0.2.01 (consulta de primera vez por medicina general)
89.0.3.01 (Consulta de control o seguimiento por medicina general)
89.0.2.63 (consulta de primera vez por especialista en medicina familiar)
89.0.3.63 (Consulta de control o seguimiento por especialista en medicina familiar).
89.0.2.83 (consulta de primera vez por especialista en pediatría)
89.0.3.83 (Consulta de control o seguimiento por especialista en pediatría)
* CUPS: ENFERMERIA
89.0.2.05 (Consulta de primera vez por enfermería)
89.0.3.05 (Consulta de control o de seguimiento por enfermería)</t>
  </si>
  <si>
    <t>Pobalción del denominador
Registro de consultas según esquema
Año vigente</t>
  </si>
  <si>
    <t>Población al mes a evaluar activos y nuevos
6 a 11 años
Dividido en 12 y multiplicado por mes a evaluar</t>
  </si>
  <si>
    <t>1. Calcular edad a corte del periodo evaluar. Formula: =sifecha(FechaNacimiento;FechaCorte;"y")
2. Filtrar la población de 6 a 11 años
3. En las columnas de infancia filtrar por cada edad consultas realizadas durante año vigente
4. Sumar las consultas obtenidas por cada edad para obtener dato general</t>
  </si>
  <si>
    <t>1. Calcular edad a corte del periodo evaluar. Formula: =sifecha(FechaNacimiento;FechaCorte;"y")
2. Filtrar población de 6 a 11 años
3. Dividir población en 12 y multiplicar por el mes a evaluar</t>
  </si>
  <si>
    <t>39.54%</t>
  </si>
  <si>
    <t>40.33%</t>
  </si>
  <si>
    <t>RPYMS78X</t>
  </si>
  <si>
    <t>Cumplimiento en la atención en salud por profesional de medicina general, familiar o pediatria de Infancia en el año</t>
  </si>
  <si>
    <t>Valoración integral (med)</t>
  </si>
  <si>
    <t xml:space="preserve">Numero de niños con consulta de medicina general, familiar, pediatría durante el año vigente
Niños  con edad a la consulta a los 6, 8 y 10 años, por medicina general, medicina familiar
</t>
  </si>
  <si>
    <t>1- RIPS. 
* CUPS: MEDICINA con finalidad 4 o con CIE-10 Z001
89.0.2.01 (consulta de primera vez por medicina general)
89.0.3.01 (Consulta de control o seguimiento por medicina general)
89.0.2.63 (consulta de primera vez por especialista en medicina familiar)
89.0.3.63 (Consulta de control o seguimiento por especialista en medicina familiar).
89.0.2.83 (consulta de primera vez por especialista en pediatría)
89.0.3.83 (Consulta de control o seguimiento por especialista en pediatría)
* Res 2275 - CUPS con finalidad 11 o CIE-10: Z001
89.0.2.01 (consulta de primera vez por medicina general)
89.0.3.01 (Consulta de control o seguimiento por medicina general)
89.0.2.63 (consulta de primera vez por especialista en medicina familiar)
89.0.3.63 (Consulta de control o seguimiento por especialista en medicina familiar).
89.0.2.83 (consulta de primera vez por especialista en pediatría)
89.0.3.83 (Consulta de control o seguimiento por especialista en pediatría)</t>
  </si>
  <si>
    <t>6, 8 y 10 años
Registro de consultas según esquema
Año vigente</t>
  </si>
  <si>
    <t>Población actual al mes a evaluar activos y nuevos
6, 8 y 10 años
Dividido en 12 y multiplicado por mes a evaluar</t>
  </si>
  <si>
    <t>el 100% de la poblacion menor de 6 a 11 años objeto de la evaluación requiere atención durante el año, se incrementa meta de cumplimiento teniendo en cuenta lidea de base de año 2023</t>
  </si>
  <si>
    <t>41.76%</t>
  </si>
  <si>
    <t>41.65%</t>
  </si>
  <si>
    <t>RPYMS85X</t>
  </si>
  <si>
    <t>Cumplimiento en la atención en salud por profesional de enfermería de Infancia en el año</t>
  </si>
  <si>
    <t>Valoración enfermería</t>
  </si>
  <si>
    <t>Numero de niños con consulta  por profesional de enfermería durante el año vigente
Niños  con edad a la consulta a los 7, 9 y 11 años, por profesional de Enfermería</t>
  </si>
  <si>
    <t>1- RIPS. 
* CUPS: ENFERMERIA
89.0.2.05 (Consulta de primera vez por enfermería)
89.0.3.05 (Consulta de control o de seguimiento por enfermería)</t>
  </si>
  <si>
    <t>7, 9 y 11 años 
Registro de consultas según esquema
Año vigente</t>
  </si>
  <si>
    <t>Población actual al mes a evaluar activos y nuevos
7, 9 y 11 años 
Dividido en 12 y multiplicado por mes a evaluar</t>
  </si>
  <si>
    <t>35.57%</t>
  </si>
  <si>
    <t>34.46%</t>
  </si>
  <si>
    <t>11/02/2025 Se realiza eliminación de los 3 meses de afiliación.</t>
  </si>
  <si>
    <t>RPYMS47X</t>
  </si>
  <si>
    <t>Cobertura de personas adolescentes, con atención por medicina general o medicina familiar de acuerdo al esquema definido</t>
  </si>
  <si>
    <t>Proporción de personas de 12 a 17 años que cumplen con el esquema definido para la valoración integral por medicina general  o medicina Familiar</t>
  </si>
  <si>
    <t>Adolescencia</t>
  </si>
  <si>
    <t>Número de adolescentes de 13 a 17 años con atención por medicina general o especializada en pediatría o medicina familiar,  en la ruta de promoción y mantenimiento de la salud , de acuerdo al esquema de consultas definido: 
Adolescentes de 17 años:
1 consulta: a los 12 años
1 consulta: a los 14 años
1 consulta: a los 16 años
Adolescentes de 15 y 16 años:
1 consulta: a los 12 años
1 consulta: a los 14 años
Adolescentes de 13 y 14 años: 
1 consulta: a los 12 años
Los que cumplan el numero de consultas según su edad ingresan al numerador
NOTA: Se tiene en cuenta la edad a la fecha de afiliación y edad a entrada en vigencia de la RPYMS (01/02/2019)</t>
  </si>
  <si>
    <t xml:space="preserve">Total de población de 13 a 17 años
</t>
  </si>
  <si>
    <t>1- RIPS. 
* CUPS con Finalidad 11 (anterior Finalidad 5)  o CIE-10: Z003
89.0.2.01 (consulta de primera vez por medicina general)
89.0.3.01 (Consulta de control o seguimiento por medicina general)
89.0.2.63 (consulta de primera vez por especialista en medicina familiar)
89.0.3.63 (Consulta de control o seguimiento por especialista en medicina familiar).
89.0.2.83 (consulta de primera vez por especialista en pediatría)
89.0.3.83 (Consulta de control o seguimiento por especialista en pediatría)
* Res 2275 - CUPS con finalidad 11 o CIE-10: Z003
89.0.2.01 (consulta de primera vez por medicina general)
89.0.3.01 (Consulta de control o seguimiento por medicina general)
89.0.2.63 (consulta de primera vez por especialista en medicina familiar)
89.0.3.63 (Consulta de control o seguimiento por especialista en medicina familiar).
89.0.2.83 (consulta de primera vez por especialista en pediatría)
89.0.3.83 (Consulta de control o seguimiento por especialista en pediatría)</t>
  </si>
  <si>
    <t>13 a 17 años
Registro de consultas según esquema</t>
  </si>
  <si>
    <t>Población actual al mes a evaluar activos y nuevos
13 a 17 años</t>
  </si>
  <si>
    <t xml:space="preserve">Cohorte Valoración Integral
1. Calcular edad a corte del periodo evaluar. Formula: =sifecha(FechaNacimiento;FechaCorte;"y")
2. Filtrar población de 13 a 17 años
</t>
  </si>
  <si>
    <t>28.3%</t>
  </si>
  <si>
    <t>28.74%</t>
  </si>
  <si>
    <t>12/12/2025 Se modifica meta del indicador.  //31/03/2025 Se actualiza a ultima Resolución de Cups 2275/2023 en variable fuente.  11/02/2025 Se realiza eliminación de los 3 meses de afiliación. 19/12/2024: Se cambia a informativo</t>
  </si>
  <si>
    <t>RPYMS48X</t>
  </si>
  <si>
    <t>Cobertura de personas adolescentes, con atención en salud por profesional de enfermería de acuerdo al esquema definido</t>
  </si>
  <si>
    <t>Proporción de personas de 12 a 17 años que cumplen con el esquema definido para la valoración integral por enfermería</t>
  </si>
  <si>
    <t>Número de adolescentes de 14 a 18 años atención por consulta de primera vez o consulta de control o de seguimiento por enfermería, en el curso de vida de la adolescencia, de acuerdo al esquema definido en la ruta de promoción y mantenimiento de la salud
Afiliados de 18 años:
1 consulta: a los 13 años
1 consulta: a los 15 años
1 consulta: a los 17 años
Afiliados de 16 y 17 años:
1 consulta: a los 13 años
1 consulta: a los 15 años
Afiliados de 14 y 15 años: 
1 consulta: a los 13 años
NOTA: Se tiene en cuenta la edad a la fecha de afiliación y edad a entrada en vigencia de la RPYMS (01/02/2019)</t>
  </si>
  <si>
    <t xml:space="preserve">Total de población de 14 a 18 años 
</t>
  </si>
  <si>
    <t>1- RIPS. 
* CUPS con Finalidad 11 (anterior Finalidad 5)  o CIE-10: Z003
89.0.2.05 (Consulta de primera vez por enfermería)
89.0.3.05 (Consulta de control o de seguimiento por enfermería)
* Res 2275 - CUPS con finalidad 11 o CIE-10: Z003
89.0.2.05 (Consulta de primera vez por enfermería)
89.0.3.05 (Consulta de control o de seguimiento por enfermería)</t>
  </si>
  <si>
    <t>14 a 18años
Registro de consultas según esquema</t>
  </si>
  <si>
    <t>Población actual al mes a evaluar activos y nuevos
14 a 18 años</t>
  </si>
  <si>
    <t xml:space="preserve">Cohorte Valoración Integral
1. Calcular edad a corte del periodo evaluar. Formula: =sifecha(FechaNacimiento;FechaCorte;"y")
2. Filtrar población de 14 a 18 años
</t>
  </si>
  <si>
    <t>22.26%</t>
  </si>
  <si>
    <t>23.21%</t>
  </si>
  <si>
    <t>RPYMS79X</t>
  </si>
  <si>
    <t>Cumplimiento en la consulta de adolescencia en el año</t>
  </si>
  <si>
    <t>personas de 12 a 17 años que cumplen con la realización de la consulta de valoración integral por medicina general, familiar o enfermería en el año</t>
  </si>
  <si>
    <t>Número de personas  que registran consulta de adolescencia por medicina general, medicina familiar, o por profesional de enfermería en el año vigente
Adolescentes  con edad a la consulta a los 12, 14 y 16 años, por medicina general, medicina familiar
Adolescentes  con edad a la consulta a los 13, 15 y 17 años por profesional de Enfermería</t>
  </si>
  <si>
    <t>1- RIPS. 
MEDICINA:
* CUPS Finalidad 11 (anterior Finalidad 5)  o CIE-10: Z003
89.0.2.01 (consulta de primera vez por medicina general)
89.0.3.01 (Consulta de control o seguimiento por medicina general)
89.0.2.63 (consulta de primera vez por especialista en medicina familiar)
89.0.3.63 (Consulta de control o seguimiento por especialista en medicina familiar).
89.0.2.83 (consulta de primera vez por especialista en pediatría)
89.0.3.83 (Consulta de control o seguimiento por especialista en pediatría)
* Res 2275 - CUPS con finalidad 11 o CIE-10: Z003
89.0.2.01 (consulta de primera vez por medicina general)
89.0.3.01 (Consulta de control o seguimiento por medicina general)
89.0.2.63 (consulta de primera vez por especialista en medicina familiar)
89.0.3.63 (Consulta de control o seguimiento por especialista en medicina familiar).
89.0.2.83 (consulta de primera vez por especialista en pediatría)
89.0.3.83 (Consulta de control o seguimiento por especialista en pediatría)
ENFERMERIA
* CUPS con Finalidad 11 (anterior Finalidad 5)  o CIE-10: Z003
89.0.2.05 (Consulta de primera vez por enfermería)
89.0.3.05 (Consulta de control o de seguimiento por enfermería)
* Res 2275 - CUPS con finalidad 11 o CIE-10: Z003
89.0.2.05 (Consulta de primera vez por enfermería)
89.0.3.05 (Consulta de control o de seguimiento por enfermería)</t>
  </si>
  <si>
    <t>población del denominador
Registro de consultas según esquema
Año vigente</t>
  </si>
  <si>
    <t>Población al mes a evaluar activos y nuevos
12 a 17 años
Dividido en 12 y multiplicado por mes a evaluar</t>
  </si>
  <si>
    <t>el 100% de la poblacion en el curso de vida requiere atencion en el año</t>
  </si>
  <si>
    <t>1. Calcular edad a corte del periodo evaluar. Formula: =sifecha(FechaNacimiento;FechaCorte;"y")
2. Filtrar la población de 12 a 17 años
3. En las columnas de adolescencia filtrar por cada edad consultas realizadas durante año vigente
4. Sumar las consultas obtenidas por cada edad para obtener dato general</t>
  </si>
  <si>
    <t>1. Calcular edad a corte del periodo evaluar. Formula: =sifecha(FechaNacimiento;FechaCorte;"y")
2. Filtrar población de 12 a 17 años
3. Dividir población en 12 y multiplicar por el mes a evaluar</t>
  </si>
  <si>
    <t>35.29%</t>
  </si>
  <si>
    <t>34.07%</t>
  </si>
  <si>
    <t>RPYMS111X</t>
  </si>
  <si>
    <t>Cumplimiento en la atención en salud por profesional de medicina en la adolescencia durante el año</t>
  </si>
  <si>
    <t>Proporción de personas de 12 a 17 años que cumplen con la valoración integral por medicina general o medicina Familiar en el año</t>
  </si>
  <si>
    <t>Valoración medicina</t>
  </si>
  <si>
    <t>Número de adolescentes que registran consulta de adolescencia por medicina general, medicina familiar en el año vigente
Adolescentes con consulta a los  12, 14 y 16 años, buscar consulta por medicina general, medicina familiar</t>
  </si>
  <si>
    <t>1- RIPS. 
MEDICINA:
* CUPS Finalidad 11 (anterior Finalidad 5)  o CIE-10: Z003
89.0.2.01 (consulta de primera vez por medicina general)
89.0.3.01 (Consulta de control o seguimiento por medicina general)
89.0.2.63 (consulta de primera vez por especialista en medicina familiar)
89.0.3.63 (Consulta de control o seguimiento por especialista en medicina familiar).
89.0.2.83 (consulta de primera vez por especialista en pediatría)
89.0.3.83 (Consulta de control o seguimiento por especialista en pediatría)
* Res 2275 - CUPS con finalidad 11 o CIE-10: Z003
89.0.2.01 (consulta de primera vez por medicina general)
89.0.3.01 (Consulta de control o seguimiento por medicina general)
89.0.2.63 (consulta de primera vez por especialista en medicina familiar)
89.0.3.63 (Consulta de control o seguimiento por especialista en medicina familiar).
89.0.2.83 (consulta de primera vez por especialista en pediatría)
89.0.3.83 (Consulta de control o seguimiento por especialista en pediatría)</t>
  </si>
  <si>
    <t>12, 14 y 16 años
Registro de consultas según esquema
Año vigente</t>
  </si>
  <si>
    <t>Población actual al mes a evaluar activos y nuevos
12; 14 y 16 años
Dividido en 12 y multiplicado por mes a evaluar</t>
  </si>
  <si>
    <t>1. En las columnas de adolescencia 12 años filtrar las atenciones del año vigente
2. En las columnas de adolescencia 14 años filtrar las atenciones del año vigente
3. En las columnas de adolescencia 16 años filtrar las atenciones del año vigente</t>
  </si>
  <si>
    <t xml:space="preserve">1. Calcular edad a corte del periodo evaluar. Formula: =sifecha(FechaNacimiento;FechaCorte;"y")
2. Filtrar población de 12,14 y 16 años
3. Sumar los usuarios con atenciones realizadas en el subgrupo de edad que se encuentran fuera de la población objeto del denominador (13, 15 y 17 años)
4. Dividir población en 12 y multiplicar por el mes a evaluar
</t>
  </si>
  <si>
    <t>38.97%</t>
  </si>
  <si>
    <t>36.75%</t>
  </si>
  <si>
    <t>RPYMS112X</t>
  </si>
  <si>
    <t>Cumplimiento en la atención en salud por profesional de enfermería en la adolescencia durante el año</t>
  </si>
  <si>
    <t>Proporción de personas de 12 a 17 años que cumplen con la valoración integral por enfermería en el año</t>
  </si>
  <si>
    <t>Número de adolescente que registran consulta de adolescencia por profesional de enfermería en el año vigente
Adolescentes con consulta a los 13, 15 y 17 años buscar consulta por profesional de Enfermería</t>
  </si>
  <si>
    <t>1- RIPS. 
ENFERMERIA
* CUPS con Finalidad 11 (anterior Finalidad 5)  o CIE-10: Z003
89.0.2.05 (Consulta de primera vez por enfermería)
89.0.3.05 (Consulta de control o de seguimiento por enfermería)
* Res 2275 - CUPS con finalidad 11 o CIE-10: Z003
89.0.2.05 (Consulta de primera vez por enfermería)
89.0.3.05 (Consulta de control o de seguimiento por enfermería)</t>
  </si>
  <si>
    <t xml:space="preserve"> 13, 15 Y 17 años
Registro de consultas según esquema
Año vigente</t>
  </si>
  <si>
    <t>Población actual al mes a evaluar activos y nuevos
 13,15 Y 17 años
Dividido en 12 y multiplicado por mes a evaluar</t>
  </si>
  <si>
    <t>1. En las columnas de adolescencia 13 años filtrar las atenciones del año vigente
2. En las columnas de adolescencia 15 años filtrar las atenciones del año vigente
3. En las columnas de adolescencia 17 años filtrar las atenciones del año vigente</t>
  </si>
  <si>
    <t xml:space="preserve">1. Calcular edad a corte del periodo evaluar. Formula: =sifecha(FechaNacimiento;FechaCorte;"y")
2. Filtrar población de 13,15 y 17 años
3. Sumar los usuarios con atenciones realizadas en el subgrupo de edad que se encuentran fuera de la población objeto del denominador (14, 16 y 18 años)
4. Dividir población en 12 y multiplicar por el mes a evaluar
</t>
  </si>
  <si>
    <t>29.82%</t>
  </si>
  <si>
    <t>29.7%</t>
  </si>
  <si>
    <t>RPYMS82X</t>
  </si>
  <si>
    <t>Cumplimiento de la consulta del joven en el año</t>
  </si>
  <si>
    <t>personas de 18 a 28 años que cumplen con la valoración integral por medicina general o Familiar en el año</t>
  </si>
  <si>
    <t>Juventud</t>
  </si>
  <si>
    <t>Número de personas, con atención en salud por medicina general o medicina familiar:
Edad consulta: 18 años a 28 años
Vigencia consulta: Año vigente</t>
  </si>
  <si>
    <t>1- RIPS:
MEDICINA:
* CUPS Finalidad 5 o CIE-10: Z003
89.0.2.01 (consulta de primera vez por medicina general)
89.0.3.01 (Consulta de control o seguimiento por medicina general)
89.0.2.63 (consulta de primera vez por especialista en medicina familiar)
89.0.3.63 (Consulta de control o seguimiento por especialista en medicina familiar).
* Res 2275 - CUPS con finalidad 11 o CIE-10: Z003
89.0.2.01 (consulta de primera vez por medicina general)
89.0.3.01 (Consulta de control o seguimiento por medicina general)
89.0.2.63 (consulta de primera vez por especialista en medicina familiar)
89.0.3.63 (Consulta de control o seguimiento por especialista en medicina familiar).
2- Res 202: Variable 52 - Fecha valida
Edad a la fecha de la consulta</t>
  </si>
  <si>
    <t>población del denominador
Registro de consultas según esquema
año vigente</t>
  </si>
  <si>
    <t>Población al mes a evaluar activos y nuevos
18 a 28 años 
Dividido en 12 y multiplicado por mes a evaluar</t>
  </si>
  <si>
    <t>1. Calcular edad a corte del periodo evaluar. Formula: =sifecha(FechaNacimiento;FechaCorte;"y")
2. Filtrar la población de 18 a 28 años
3. En las columnas de juventud por cada subgrupo de edad filtrar consultas realizadas durante año vigente
4. Sumar las consultas obtenidas por cada subgrupo de edad para obtener dato general</t>
  </si>
  <si>
    <t>1. Calcular edad a corte del periodo evaluar. Formula: =sifecha(FechaNacimiento;FechaCorte;"y")
2. Filtrar población de 18 a 28 años
3. Dividir población en 12 y multiplicar por el mes a evaluar</t>
  </si>
  <si>
    <t>890201
890301
890263
890363</t>
  </si>
  <si>
    <t>35.97%</t>
  </si>
  <si>
    <t>34.64%</t>
  </si>
  <si>
    <t>RPYMS50X</t>
  </si>
  <si>
    <t>Cobertura de personas adultas, con atención en salud por medicina general o medicina familiar de acuerdo al esquema definido</t>
  </si>
  <si>
    <t>Proporción de personas de 29 a 59 años que cumplen con el esquema definido de valoración integral por medicina general o Familiar</t>
  </si>
  <si>
    <t>Adultez</t>
  </si>
  <si>
    <t>Número de personas que registran consulta en el curso de vida del adulto (29 a 59 años), al menos 1 vez en el subgrupo definido de la ruta de promoción y mantenimiento de la salud, en el siguiente esquema: 
Edad corte: 29 a 34 años  - Edad consulta:29 a 34 años ó que la ultima consulta no supere los 5 años
Edad corte: 35 a 39 años  - Edad consulta: 35 a 39 años ó que la ultima consulta no supere los 5 años
Edad corte: 40 a 44 años  - Edad consulta: 40 a 44 años ó que la ultima consulta no supere los 5 años
Edad corte: 45 a 49 años  - Edad consulta: 45 a 49 años ó que la ultima consulta no supere los 5 años
Edad corte: 50 a 52 años  - Edad consulta: 50 a 52 años ó que la ultima consulta no supere los 3 años
Edad corte: 53 a 55 años  - Edad consulta: 53 a 55 años ó que la ultima consulta no supere los 3 años
Edad corte: 56 a 59 años  - Edad consulta: 56 a 59 años ó que la ultima consulta no supere los 3 años</t>
  </si>
  <si>
    <t xml:space="preserve">Población objeto </t>
  </si>
  <si>
    <t>1- RIPS:
* CUPS con finalidad 7:
89.0.2.01 (consulta de primera vez por medicina general)
89.0.3.01 (Consulta de control o seguimiento por medicina general)
89.0.2.63 (consulta de primera vez por especialista en medicina familiar)
89.0.3.63 (Consulta de control o seguimiento por especialista en medicina familiar)
* Res 2275 - CUPS con finalidad 11
89.0.2.01 (consulta de primera vez por medicina general)
89.0.3.01 (Consulta de control o seguimiento por medicina general)
89.0.2.63 (consulta de primera vez por especialista en medicina familiar)
89.0.3.63 (Consulta de control o seguimiento por especialista en medicina familiar)
2- Res 202: Variable 52 - Fecha Valida
Edad a la fecha de corte y a la fecha de la consulta</t>
  </si>
  <si>
    <r>
      <rPr>
        <sz val="10"/>
        <color rgb="FFFF0000"/>
        <rFont val="Calibri Light"/>
        <family val="2"/>
        <scheme val="major"/>
      </rPr>
      <t>población del denominador</t>
    </r>
    <r>
      <rPr>
        <sz val="10"/>
        <rFont val="Calibri Light"/>
        <family val="2"/>
        <scheme val="major"/>
      </rPr>
      <t xml:space="preserve">
Registro de consultas según esquema</t>
    </r>
  </si>
  <si>
    <t>Población al mes a evaluar activos y nuevos 
29 a 59 años</t>
  </si>
  <si>
    <t>29/12/2025: Este indicador es homologo del que se genera para monitor RIAS, (RPYMS465X); tener en cuenta para ajuste de metas, eyav // Modificación del indicador del MSPS dado que solicita 1 consulta en cada grupo de edad definido para cumplir con el esquema, Nueva EPS lo define al menos 1 consulta en el grupo de edad definido.</t>
  </si>
  <si>
    <t xml:space="preserve">1. Calcular edad a la fecha de corte. 
2.Calcular edad a la fecha de la Valoración integral 
3. Filtrar edad al corte y edad a la fecha de ultima valoración integral
4.  Se valida las consultas en cada subgrupo o en los últimos 12 meses, según esquema descrito en la definición de variables del numerador 
</t>
  </si>
  <si>
    <t xml:space="preserve">1. Filtrar población de 29 a 59 años activos y nuevos </t>
  </si>
  <si>
    <t>Valoracion integral</t>
  </si>
  <si>
    <t>49.67%</t>
  </si>
  <si>
    <t>51.77%</t>
  </si>
  <si>
    <t>22/01/2026 Se modifica la definición del numerador y población del denominador, se ajsuta meta del general 60% y especial 54%. //29/12/2025 Se ajusta definicion del numerador y denominador, se ajusta poblacion del numerador y denominador, se ajusta puntaje.  31/03/2025 Se actualiza a ultima Resolución de Cups 2275/2023 en variable fuente.  05/03/2025 Se ajusta población numerador y denominador.  12/02/2025 Se ajusta la edad en la definicion operacional y se modifica el programa o estrategia dejando sólo adultez, se realiza eliminación de los 3 meses de afiliación. 31/12/2024 De acuerdo al anexo 3 de la Resolucion 02717 del 2024 Ajuste UPC - la meta para ese indicador es del 31% y NEPS esta en el 50% se deja.</t>
  </si>
  <si>
    <t>RPYMS84X</t>
  </si>
  <si>
    <t>Cumplimiento del programa del adulto en el año vigente</t>
  </si>
  <si>
    <t>Personas de 29 a 59 años que cumplen con la valoración integral por medicina general o Familiar en el año vigente</t>
  </si>
  <si>
    <t>Número de adultos:
Edad a la consulta: 29 a 59 años
Vigencia consulta: Año vigente</t>
  </si>
  <si>
    <t>Total de población de 29 a 59 años
Dividido en 12 y multiplicado por mes a evaluar</t>
  </si>
  <si>
    <t>1- RIPS:
* CUPS con finalidad 7:
89.0.2.01 (consulta de primera vez por medicina general)
89.0.3.01 (Consulta de control o seguimiento por medicina general)
89.0.2.63 (consulta de primera vez por especialista en medicina familiar)
89.0.3.63 (Consulta de control o seguimiento por especialista en medicina familiar)
* Res 2275 - CUPS con finalidad 11
89.0.2.01 (consulta de primera vez por medicina general)
89.0.3.01 (Consulta de control o seguimiento por medicina general)
89.0.2.63 (consulta de primera vez por especialista en medicina familiar)
89.0.3.63 (Consulta de control o seguimiento por especialista en medicina familiar)
2- Res 202: Variable 52 - Fecha Valida
Edad a la fecha de la consulta</t>
  </si>
  <si>
    <t>Población al mes a evaluar activos y nuevos 
29 a 59 años
Dividido en 12 y multiplicado por mes a evaluar</t>
  </si>
  <si>
    <t>1. Calcular edad a la fecha de corte. 
2.Calcular edad a la fecha de la Valoración integral 
3. Filtrar edad al corte y edad a la fecha de ultima valoración integral
4.  Se validan las consultas en el año vigente.</t>
  </si>
  <si>
    <t>1. Filtrar población de 29 a 59 años activos y nuevos dividido en 12 y multiplicado por mes a evaluar en el año vigente</t>
  </si>
  <si>
    <t>37.61%</t>
  </si>
  <si>
    <t>37.06%</t>
  </si>
  <si>
    <t>RPYMS51X</t>
  </si>
  <si>
    <t>Cobertura de personas en la vejez con atención en salud por medicina general o medicina familiar de acuerdo al esquema definido</t>
  </si>
  <si>
    <t>Proporción de personas de 60 años y mas que cumplen con el esquema definido de valoración integral por medicina general o Familiar</t>
  </si>
  <si>
    <t>Vejez</t>
  </si>
  <si>
    <t xml:space="preserve">Número de personas que registran consulta  por medicina general o medicina familiar en el curso de vida de la vejez o, al menos 1 vez en el subgrupo definido de la ruta de promoción y mantenimiento de la salud , en el siguiente esquema: 
Edad corte: 60-62 años   - Edad consulta:60-62 años ó que la ultima consulta no supere los 3 años
Edad corte: 63-65 años  - Edad consulta: 63-65 años ó que la ultima consulta no supere los 3 años
Edad corte: 66-68 años   - Edad consulta: 66-68 años ó que la ultima consulta no supere los 3 años
Edad corte: 69-71 años    - Edad consulta: 69-71 años ó que la ultima consulta no supere los 3 años
Edad corte: 72-74 años    - Edad consulta: 72-74 años ó que la ultima consulta no supere los 3 años
Edad corte: 75-77 años    - Edad consulta: 75-77 años ó que la ultima consulta no supere los 3 años
Edad corte: 78-79 años    - Edad consulta: 78-79 años ó que la ultima consulta no supere los 2 años
Edad corte: 80 años y más  - Edad consulta: 80 años y más
</t>
  </si>
  <si>
    <t>Población objeto</t>
  </si>
  <si>
    <t>1- RIPS. 
* CUPS con finalidad 7
89.0.2.01 (consulta de primera vez por medicina general)
89.0.3.01 (Consulta de control o seguimiento por medicina general)
89.0.2.63 (consulta de primera vez por especialista en medicina familiar)
89.0.3.63 (Consulta de control o seguimiento por especialista en medicina familiar). 
* Res 2275 - CUPS con finalidad 11 
89.0.2.01 (consulta de primera vez por medicina general)
89.0.3.01 (Consulta de control o seguimiento por medicina general)
89.0.2.63 (consulta de primera vez por especialista en medicina familiar)
89.0.3.63 (Consulta de control o seguimiento por especialista en medicina familiar).
2- Res 202 Variable 52 - Fecha valida
Edad a la fecha de corte y a la fecha de la consulta</t>
  </si>
  <si>
    <r>
      <rPr>
        <sz val="10"/>
        <color rgb="FFFF0000"/>
        <rFont val="Calibri Light"/>
        <family val="2"/>
        <scheme val="major"/>
      </rPr>
      <t>población de denominador</t>
    </r>
    <r>
      <rPr>
        <sz val="10"/>
        <rFont val="Calibri Light"/>
        <family val="2"/>
        <scheme val="major"/>
      </rPr>
      <t xml:space="preserve">
Registro de consultas según esquema</t>
    </r>
  </si>
  <si>
    <t>Población al mes a evaluar activos y nuevos 
60 años y más</t>
  </si>
  <si>
    <t xml:space="preserve">29/12/2025: Este indicador es homologo del que se genera para monitor RIAS, (RPYMS466X). Al menos 1 consulta en el subgrupo etario que se encuentre el usuario.
</t>
  </si>
  <si>
    <t>Se ajusta meta por linea de base NEPS</t>
  </si>
  <si>
    <t xml:space="preserve">1. Filtrar población de 60 años y mas activos y nuevos </t>
  </si>
  <si>
    <t>57.04%</t>
  </si>
  <si>
    <t>59.97%</t>
  </si>
  <si>
    <t>22/01/2026 Se modifica la definición del numerador y se ajsuta meta del general 70% y especial 63%  //15/12/2025 Se ajusta numerador y denominador, se ajusta meta en especiales, se ajusta meta especiales.  31/03/2025 Se actualiza a ultima Resolución de Cups 2275/2023 en variable fuente.   05/03/2025 Se ajusta población del numerador y denominador. 11/02/2025 Se realiza eliminación de los 3 meses de afiliación.</t>
  </si>
  <si>
    <t>RPYMS108X</t>
  </si>
  <si>
    <t>Cumplimiento en la consulta vejez en el año vigente</t>
  </si>
  <si>
    <t>Personas de 60 años y mas que cumplen con la valoración integral por medicina general o Familiar en el año vigente</t>
  </si>
  <si>
    <t>Edad a la consulta: 60 años y más 
Vigencia Consulta: Año vigente</t>
  </si>
  <si>
    <t>1- RIPS. 
* CUPS con finalidad 7
89.0.2.01 (consulta de primera vez por medicina general)
89.0.3.01 (Consulta de control o seguimiento por medicina general)
89.0.2.63 (consulta de primera vez por especialista en medicina familiar)
89.0.3.63 (Consulta de control o seguimiento por especialista en medicina familiar). 
* Res 2275 - CUPS con finalidad 11 
89.0.2.01 (consulta de primera vez por medicina general)
89.0.3.01 (Consulta de control o seguimiento por medicina general)
89.0.2.63 (consulta de primera vez por especialista en medicina familiar)
89.0.3.63 (Consulta de control o seguimiento por especialista en medicina familiar).
2- Res 202 Variable 52 - Fecha valida
Edad a la fecha de la consulta</t>
  </si>
  <si>
    <t>Población de denominador
Registro de consultas según esquema
Año Vigente</t>
  </si>
  <si>
    <t>Población al mes a evaluar activos y nuevos
60 años y más 
Dividido en 12 y multiplicado por mes a evaluar</t>
  </si>
  <si>
    <t>se requiere un cumplimiento de 33% para lograr xobertura del 100% en 3 años, se mantiene meta con el fin de mejorar la cobertura a 2024</t>
  </si>
  <si>
    <t>1. Filtrar población de 60 años y mas activos y nuevos dividido en 12 y multiplicado por mes a evaluar en el año vigente</t>
  </si>
  <si>
    <t>48.14%</t>
  </si>
  <si>
    <t>49.68%</t>
  </si>
  <si>
    <t>RPYMS264X</t>
  </si>
  <si>
    <t>Proporción de personas de 60 años o mas con aplicación de test Mini - Mental State</t>
  </si>
  <si>
    <t>Proporción de personas de 60 años y mas que cumplen con la aplicación del test minimental</t>
  </si>
  <si>
    <t>Mini - Mental State</t>
  </si>
  <si>
    <t>Proporcion de personas de 60 años y mas
registro  resultado de Test Minimental</t>
  </si>
  <si>
    <t xml:space="preserve">Total de población de 60 años y más
</t>
  </si>
  <si>
    <t>1 - RES 202
variable 16: 4 o 5</t>
  </si>
  <si>
    <t>60 años y mas
Registro de aplicación de instrumento minimental</t>
  </si>
  <si>
    <t xml:space="preserve">Población actual al mes a evaluar activos y nuevos
60 años y más </t>
  </si>
  <si>
    <t>1. Calcular edad a la fecha de corte.
2. Filtrar la variable fecha de minimental state 
3. Filtrar la variable resultado de minimental state los que registran (4 Sospecha de deterioro cognoscitivo 0 5 Normal)</t>
  </si>
  <si>
    <t>SD</t>
  </si>
  <si>
    <t>10.54%</t>
  </si>
  <si>
    <t>13.32%</t>
  </si>
  <si>
    <t>RPYMS330X</t>
  </si>
  <si>
    <t>Proporción de personas de 60 años o mas que conservan sus habilidades cognitivas</t>
  </si>
  <si>
    <t>Es la proporción de adultos mayores que conservan sus habilidades cognitivas a traves de la valoracion del test minimental estate</t>
  </si>
  <si>
    <t>Proporcion de peronas de 60 años y mas
registro de resultado de Test Minimental: "5 -Normal"</t>
  </si>
  <si>
    <t>Proporcion de peronas de 60 años y mas
registro de Fecha o resultado de Test Minimental</t>
  </si>
  <si>
    <t>1 - RES 202
variable 16: 5</t>
  </si>
  <si>
    <t>60 años y mas
Registro de resultado "5 -Normal"</t>
  </si>
  <si>
    <t>El 17,5% reportó Deterioro Cognoscitivo Leve (DCL). Segun la encuenta Colombia Sabe de 2015, por ende estimo</t>
  </si>
  <si>
    <t>1. Calcular edad a la fecha de corte.
2. Filtrar la variable fecha de minimental state 
3. Filtrar la variable resultado de minimental state los que registran  (5 Normal)</t>
  </si>
  <si>
    <t>84.35%</t>
  </si>
  <si>
    <t>83.59%</t>
  </si>
  <si>
    <t>12/12/2025 Se ajusta meta.  //9/12/2024: sin modificación</t>
  </si>
  <si>
    <t>RPYMS265X</t>
  </si>
  <si>
    <t>Proporción de personas de 60 años o mas con aplicación de Indice de Barthel</t>
  </si>
  <si>
    <t>Proporción de personas de 60 años y mas que cumplen con la aplicación de Indice de Barthel</t>
  </si>
  <si>
    <t>Barthel</t>
  </si>
  <si>
    <t>Proporcion de peronas de 60 años y mas
registro de Fecha o resultado de Indice de Barthel</t>
  </si>
  <si>
    <t>1 - Datos adicionales
"TEST_BARTHEL(CAPACIDAD_FUNCIONAL)"</t>
  </si>
  <si>
    <t>60 años y mas
Registro de aplicación de instrumento</t>
  </si>
  <si>
    <t>1. Calcular edad a la fecha de corte.
2. Filtrar la variable fecha Índice Barthel
3. Filtrar la variable resultado  Índice Barthel  los que registran (1 - Dependencia total, 2 - Dependencia grave; 3 - Dependencia moderada. 4 - Dependencia ligera,
5 - Independiente)</t>
  </si>
  <si>
    <t>3.28%</t>
  </si>
  <si>
    <t>4.3%</t>
  </si>
  <si>
    <t>RPYMS331X</t>
  </si>
  <si>
    <t>Proporción de personas de 60 años o mas  que conservan su autonomía</t>
  </si>
  <si>
    <t>Es la proporción de adultos mayores que conservan su autonomía a traves de la valoracion del test de barthel</t>
  </si>
  <si>
    <t>Proporcion de peronas de 60 años y mas
regisdtro resultado de Indice de Barthel: "5- Independiente"</t>
  </si>
  <si>
    <t>1 - Datos adicionales
"TEST_BARTHEL(CAPACIDAD_FUNCIONAL)"
5- Independiente</t>
  </si>
  <si>
    <t>60 años y mas
Rresultado: "5- Independiente"</t>
  </si>
  <si>
    <t>60 años y mas
Registro de aplicación de instrumento indice de barthel</t>
  </si>
  <si>
    <t xml:space="preserve">En el dominio vida independiente y activa, cabe resaltar el alto porcentaje de personas mayores independientes según el índice de Barthel (84,2%). </t>
  </si>
  <si>
    <t>1. Calcular edad a la fecha de corte.
2. Filtrar la variable fecha Índice Barthel
3. Filtrar la variable resultado Índice Barthel  los que registran (  5 -Independiente)</t>
  </si>
  <si>
    <t>69.6%</t>
  </si>
  <si>
    <t>73.13%</t>
  </si>
  <si>
    <t>RPYMS266X</t>
  </si>
  <si>
    <t>Proporción de personas de 60 años o mas con aplicación de test Lawton Brody</t>
  </si>
  <si>
    <t>Proporción de personas de 60 años y mas que cumplen con la aplicación de test Lawton Brody</t>
  </si>
  <si>
    <t>Lawton Brody</t>
  </si>
  <si>
    <t>Proporcion de peronas de 60 años y mas
regisdtro de Fecha o resultado  de test Lawton Brody</t>
  </si>
  <si>
    <t>1 - Datos adicionales
"TEST_LAWTON-BRODY_(DEPENDENCIA)"</t>
  </si>
  <si>
    <t>60 años y mas
Registro de aplicación de instrumento test Lawton Brody</t>
  </si>
  <si>
    <t>1. Calcular edad a la fecha de corte.
2. Filtrar la variable fecha Escala Lawton-Brody
3. Filtrar la variable resultado Escala Lawton-Brody los que registran
 (1 - Dependencia total, 2 - Dependencia grave; 3 - Dependencia moderada. 4 - Dependencia ligera,
5 - Independiente)</t>
  </si>
  <si>
    <t>1.8%</t>
  </si>
  <si>
    <t>2.93%</t>
  </si>
  <si>
    <t>RPYMS332X</t>
  </si>
  <si>
    <t>Proporción de personas de 60 años o mas que conservan su independencia funcional</t>
  </si>
  <si>
    <t>Es  la proporción de adultos mayores que conservan su independencia funcional a traves de la valoracion del test Lawton Brody</t>
  </si>
  <si>
    <t>Proporcion de peronas de 60 años y mas
registro de resultado  de test Lawton Brody: 5- Independiente</t>
  </si>
  <si>
    <t>Proporcion de peronas de 60 años y mas
registro de Fecha o resultado  de test Lawton Brody</t>
  </si>
  <si>
    <t>1 - Datos adicionales
"TEST_LAWTON-BRODY_(DEPENDENCIA)"
resultado:"5- Independiente"</t>
  </si>
  <si>
    <t xml:space="preserve">60 años y mas
resultado de aplicación de instrumento
5- Independiente
</t>
  </si>
  <si>
    <t>1. Calcular edad a la fecha de corte.
2. Filtrar la variable fecha Escala Lawton-Brody
3. Filtrar la variable resultado Escala Lawton-Brody los que registran (5 - Independiente)</t>
  </si>
  <si>
    <t>79.32%</t>
  </si>
  <si>
    <t>81.28%</t>
  </si>
  <si>
    <t>RPYMS267X</t>
  </si>
  <si>
    <t>Proporción de personas de 60 años o mas con aplicación de test Linda Fried</t>
  </si>
  <si>
    <t>Proporción de personas de 60 años y mas que cumplen con la aplicación de test Linda Fried</t>
  </si>
  <si>
    <t>Linda Fried</t>
  </si>
  <si>
    <t>Proporcion de peronas de 60 años y mas
regisdtro de Fecha o resultado de test Linda Fried</t>
  </si>
  <si>
    <t>1 - Datos adicionales
"TEST_LINDA_FRIED_(FRAGILIDAD)"</t>
  </si>
  <si>
    <t>60 años y mas
Registro de aplicación de instrumento test Linda Fried</t>
  </si>
  <si>
    <t xml:space="preserve">1. Calcular edad a la fecha de corte.
2. Filtrar la variable fecha Test Linda Fried
3. Filtrar la variable resultado Test Linda Fried los que registran ( 1. Pre frágil, 2 Frágil, 3 Robusto)
</t>
  </si>
  <si>
    <t>2.49%</t>
  </si>
  <si>
    <t>3.47%</t>
  </si>
  <si>
    <t>RPYMS333X</t>
  </si>
  <si>
    <t>Proporción de personas de 60 años o mas identificados con fragilidad</t>
  </si>
  <si>
    <t>Es la proporción de adultos mayores identificados con fragilidad a través de la valoración del test de Linda Fried</t>
  </si>
  <si>
    <t>Proporcion de peronas de 60 años y mas
registro de resultado de test Linda Fried: 2- Frágil</t>
  </si>
  <si>
    <t>Proporcion de peronas de 60 años y mas
registro de Fecha o resultado de test Linda Fried</t>
  </si>
  <si>
    <t>1 - Datos adicionales
"TEST_LINDA_FRIED_(FRAGILIDAD)"
2- Frágil</t>
  </si>
  <si>
    <t>60 años y mas
resultado de aplicación de instrumento test Linda Fried
2- Frágil</t>
  </si>
  <si>
    <t>En poblacion colombiana la prevalencia de fragilidad fue del 15,2%</t>
  </si>
  <si>
    <t xml:space="preserve">1. Calcular edad a la fecha de corte.
2. Filtrar la variable fecha Test Linda Fried
3. Filtrar la variable resultado Test Linda Fried los que registran (2 Frágil)
</t>
  </si>
  <si>
    <t>&lt;=15%</t>
  </si>
  <si>
    <t>&gt;15%</t>
  </si>
  <si>
    <t>12.72%</t>
  </si>
  <si>
    <t>13.79%</t>
  </si>
  <si>
    <t>RPYMS34X</t>
  </si>
  <si>
    <t>Cobertura de niños y niñas con esquema completo de vacunación</t>
  </si>
  <si>
    <t>Proporción de personas de 0 A 71 Meses que registran esquema de vacunacion regular (PAI) completo para la edad</t>
  </si>
  <si>
    <t>Vacunación</t>
  </si>
  <si>
    <t>Procedimiento</t>
  </si>
  <si>
    <t>Vacuna</t>
  </si>
  <si>
    <t>Esquema de vacunación completo para la edad</t>
  </si>
  <si>
    <t>Total de población de 0 a 71 meses (0 a 5 años)</t>
  </si>
  <si>
    <t>1- Modulo de gestión de vacunación menores
 * PAIWEB - PAI DISTRITAL
 * Plantilla menores EPS
 * RIPS (Dosis únicas)</t>
  </si>
  <si>
    <t>Población denominador
Esquema de vacunación completo para la edad al mes evaluado</t>
  </si>
  <si>
    <t>Población al mes a evaluar activos y nuevos
0 a 71 meses</t>
  </si>
  <si>
    <t>Son validas las justificaciones de NO VACUNACIÓN
Para el numerador en los indicadores de cobertura se toma la misma población del denominador (los del den que cumplan con la actividad)</t>
  </si>
  <si>
    <t xml:space="preserve">Cohorte Vacunación menores 6
1. Calcular edad a corte del periodo evaluar. Formula: =sifecha(FechaNacimiento;FechaCorte;"m")
2. Filtrar y contabilizar esquema completo por rango de edad: 0-1; 2-3; 4-5; 6-11; 12-23; 24 a 59; 60-71
3. Sumar resultados de cada rango de dato para obtener dato general </t>
  </si>
  <si>
    <t>Cohorte Vacunación menores 6
1. Calcular edad a corte del periodo evaluar. Formula: =sifecha(FechaNacimiento;FechaCorte;"m")
2. Filtrar menores de 0 a 71 meses</t>
  </si>
  <si>
    <t>Vacunacion Menores 6</t>
  </si>
  <si>
    <t>72.92%</t>
  </si>
  <si>
    <t>75.55%</t>
  </si>
  <si>
    <t>12/12/2025 Sin modificación  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//05/03/2025 Se ajusta nombre del indicador, poblacion numerador y denominador y observación del indicador.</t>
  </si>
  <si>
    <t>RPYMS106X</t>
  </si>
  <si>
    <t>Cobertura de vacunación en menores de 0 a 11 meses</t>
  </si>
  <si>
    <t>Proporción de niños de 0 a 11 meses que registran esquema de vacunacion regular (PAI) completo para la edad</t>
  </si>
  <si>
    <t xml:space="preserve">Total de población de 0 a 11 meses y 29 días (menores de 1 año)
</t>
  </si>
  <si>
    <t>Población al mes a evaluar activos y nuevos 
0 a 11 meses 29 días</t>
  </si>
  <si>
    <t xml:space="preserve">Cohorte Vacunación menores 6
1. Calcular edad a corte del periodo evaluar. Formula: =sifecha(FechaNacimiento;FechaCorte;"m")
2. Filtrar y contabilizar esquema completo por rango de edad: 0-1; 2-3; 4-5; 6-11
3. Sumar resultados de cada rango de dato para obtener dato general </t>
  </si>
  <si>
    <t>Cohorte Vacunación menores 6
1. Calcular edad a corte del periodo evaluar. Formula: =sifecha(FechaNacimiento;FechaCorte;"m")
2. Filtrar menores de 0 a 11 meses</t>
  </si>
  <si>
    <t>73.25%</t>
  </si>
  <si>
    <t>60.21%</t>
  </si>
  <si>
    <t>12/12/2025 Sin modificación  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//05/03/2025 Se ajusta poblacion numerador y denominador y observación del indicador y cohorte a validar, Se ajusta puntaje.</t>
  </si>
  <si>
    <t>RPYMS107X</t>
  </si>
  <si>
    <t>Cobertura de vacunación en menores de 12 a 23 meses</t>
  </si>
  <si>
    <t>Proporción de niños de 12 a 23 meses que registran esquema de vacunacion regular (PAI) completo para la edad</t>
  </si>
  <si>
    <t xml:space="preserve">Total de población de 12 a 23 meses y 29 días (1 año)
</t>
  </si>
  <si>
    <t>Población al mes a evaluar activos y nuevos
12 a 23 meses 29 días</t>
  </si>
  <si>
    <t xml:space="preserve">Cohorte Vacunación menores 6
1. Calcular edad a corte del periodo evaluar. Formula: =sifecha(FechaNacimiento;FechaCorte;"m")
2. Filtrar y contabilizar esquema completo por rango de edad: 12-17; 18 a 23
3. Sumar resultados de cada rango de dato para obtener dato general </t>
  </si>
  <si>
    <t>Cohorte Vacunación menores 6
1. Calcular edad a corte del periodo evaluar. Formula: =sifecha(FechaNacimiento;FechaCorte;"m")
2. Filtrar menores de 12 a 23 meses</t>
  </si>
  <si>
    <t>70.09%</t>
  </si>
  <si>
    <t>65.63%</t>
  </si>
  <si>
    <t>12/12/2025 Sin modificación  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//05/03/2025 Se ajusta nombre del indicador, definición operacional, definición del denominador, poblacion numerador y denominador y observación del indicador y actualización de cohorte a validar.</t>
  </si>
  <si>
    <t>RPYMS170X</t>
  </si>
  <si>
    <t>Cobertura de vacunación en menores de 60 a 71 meses</t>
  </si>
  <si>
    <t>Proporción de niños de 60 a 71 meses que registran esquema de vacunacion regular (PAI) completo para la edad</t>
  </si>
  <si>
    <t>Total de población de 60 a 71 meses (5años)</t>
  </si>
  <si>
    <t>Población al mes a evaluar activos y nuevos
 60 a 71 meses (5años)</t>
  </si>
  <si>
    <t xml:space="preserve">Cohorte Vacunación menores 6
1. Calcular edad a corte del periodo evaluar. Formula: =sifecha(FechaNacimiento;FechaCorte;"m")
2. Filtrar y contabilizar esquema completo por rango de edad: 60;71
3. Sumar resultados de cada rango de dato para obtener dato general </t>
  </si>
  <si>
    <t>Cohorte Vacunación menores 6
1. Calcular edad a corte del periodo evaluar. Formula: =sifecha(FechaNacimiento;FechaCorte;"m")
2. Filtrar menores de 60 a 71 meses</t>
  </si>
  <si>
    <t>69.01%</t>
  </si>
  <si>
    <t>69.34%</t>
  </si>
  <si>
    <t>12/12/2025 Sin modificación  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//05/03/2025 Se ajusta definicon operacional, poblacion numerador y denominador, observación del indicador y cohorte a validar.</t>
  </si>
  <si>
    <t>RPYMS268X</t>
  </si>
  <si>
    <t>Cobertura de Biologico Trazador</t>
  </si>
  <si>
    <t>porporcion de  niños de 0 a 71 meses con aplicación de biologico trazador según edad</t>
  </si>
  <si>
    <t>Niños de 0 a 71 meses que cumplen con Biologico trazador según su edad, asi:
0-1 mes: Hepatitis B - Recien nacido
2-3 Meses: Pentavalente 1 dosis
4-5 Meses: Pentavalente 2 dosis
6-11 Meses: Pentavalente 3 dosis
12-17 meses: Triple viral 1 dosis
18-59 meses: Triple viral Ref
60-71 meses: DPT 2 Ref</t>
  </si>
  <si>
    <t>1- Modulo de gestión de vacunación menores
 * PAIWEB - PAI DISTRITAL
 * Plantilla EPS menores</t>
  </si>
  <si>
    <t>Población denominador
Biologico trazador para su edad</t>
  </si>
  <si>
    <t>Población actual al mes a evaluar activos y nuevos
0 a 71meses 29 días</t>
  </si>
  <si>
    <t>ajustado a nuevo Esquema PAI
Para el numerador en los indicadores de cobertura se toma la misma población del denominador (los del den que cumplan con la actividad)</t>
  </si>
  <si>
    <t>Meta del MSPS - programa PAI</t>
  </si>
  <si>
    <t>79.88%</t>
  </si>
  <si>
    <t>82.69%</t>
  </si>
  <si>
    <t>12/12/2025 Sin modificación  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//9/12/2024: sin modificación</t>
  </si>
  <si>
    <t>RPYMS269X</t>
  </si>
  <si>
    <t>Cobertura de Biologico Trazador Menor de 0 a 11 meses</t>
  </si>
  <si>
    <t>porporcion de  niños de 0 a 11 meses con aplicación de biologico trazador según edad</t>
  </si>
  <si>
    <t>Niños de 0 a 11 meses que cumplen con Biologico trazador según su edad, asi:
0-1 mes: Hepatitis B - Recien nacido
2-3 Meses: Pentavalente 1
4-5 Meses: Pentavalente 2
6-11 Meses: Pentavalente 3</t>
  </si>
  <si>
    <t>Total de población de 0 a 11 meses y 29 días (menores de 1 año)</t>
  </si>
  <si>
    <t>Población actual al mes a evaluar activos y nuevos 
0 a 11 meses 29 días</t>
  </si>
  <si>
    <t xml:space="preserve">
Para el numerador en los indicadores de cobertura se toma la misma población del denominador (los del den que cumplan con la actividad)</t>
  </si>
  <si>
    <t>77.14%</t>
  </si>
  <si>
    <t>66.38%</t>
  </si>
  <si>
    <t>RPYMS270X</t>
  </si>
  <si>
    <t>Cobertura de Biologico Trazador Menores de 12 a 24 meses</t>
  </si>
  <si>
    <t>Proporcion de  niños de 12 a 23 meses con aplicación de biologico trazador Triple viral 1 dosis</t>
  </si>
  <si>
    <t>Niños de 12 a 23 meses que cumplen con Biologico trazador según su edad, asi:
12-17 meses: Triple viral 1
18-23 meses: Triple viral Ref</t>
  </si>
  <si>
    <t>Total de población de 12 a 23 meses (1 año)</t>
  </si>
  <si>
    <t>Población actual al mes a evaluar activos y nuevos
12 a 23 meses 29 días</t>
  </si>
  <si>
    <t>ajustado a nuevo Esquema PAI
Para el numerador en los indicadores de cobertura se toma la misma población del denominador (los del den que cumplan con la actividad)</t>
  </si>
  <si>
    <t>76.72%</t>
  </si>
  <si>
    <t>73.15%</t>
  </si>
  <si>
    <t>RPYMS271X</t>
  </si>
  <si>
    <t>Cobertura de Biologico Trazador Menores de 60 a 71 meses</t>
  </si>
  <si>
    <t>porporcion de  niños de 60 a 71 meses con aplicación de biologico trazador según su edad</t>
  </si>
  <si>
    <t>Niños de 60 a 71 meses que cumplen con Biologico trazador según su edad, asi:
60-71 meses: DPT Ref</t>
  </si>
  <si>
    <t>Total de población de 60 a 71 meses (5 años)</t>
  </si>
  <si>
    <t>Población actual al mes a evaluar activos y nuevos
60 a 71meses 29 días</t>
  </si>
  <si>
    <t>75.17%</t>
  </si>
  <si>
    <t>76.19%</t>
  </si>
  <si>
    <t>RPYMS272X</t>
  </si>
  <si>
    <t>Cumplimiento en aplicación de BCG (RN)</t>
  </si>
  <si>
    <t>porporcion de  niños de 0 a 11 meses con aplicación de BCG durante el año vigente</t>
  </si>
  <si>
    <t>Total de afiliados que registran aplicación de BCG
Durante año actual
Edad a la fecha de aplicación entre 0-11 meses</t>
  </si>
  <si>
    <t>Total de población de 0 a 11 meses y 29 días (menores de 1 año)
dividido en 12 multiplicado por el mes a evaluar</t>
  </si>
  <si>
    <t>1- Modulo de gestión de vacunación menores
 * PAIWEB - PAI DISTRITAL
 * Plantilla EPS menores
 * RIPS (Dosis únicas) 993102</t>
  </si>
  <si>
    <t>Año Vigente</t>
  </si>
  <si>
    <t>Poblacion que registra aplicación de vacuna
Año vigente
Edad a la aplicación entre 0-11 meses
estado de afiliacion (Activo) -  no necesariamente debe estar incluido en el denominador</t>
  </si>
  <si>
    <t>69.22%</t>
  </si>
  <si>
    <t>73.83%</t>
  </si>
  <si>
    <t>RPYMS273X</t>
  </si>
  <si>
    <t>Cumplimiento en aplicación de Hepatitis B (RN)</t>
  </si>
  <si>
    <t>porporcion de  niños de 0 a 11 meses con aplicación de Hepatitis B de RN durante el año vigente</t>
  </si>
  <si>
    <t>Total de afiliados que registran aplicación de Hepatitis B-Recien Nacido
Durante año actual
Edad a la fecha de aplicación entre 0-11 meses</t>
  </si>
  <si>
    <t>1- Modulo de gestión de vacunación menores
 * PAIWEB - PAI DISTRITAL
 * Plantilla EPS menores
 * RIPS (Dosis únicas)</t>
  </si>
  <si>
    <t>69.43%</t>
  </si>
  <si>
    <t>68.52%</t>
  </si>
  <si>
    <t>RPYMS274X</t>
  </si>
  <si>
    <t>Cumplimiento en aplicación de Pentavalente primera dosis</t>
  </si>
  <si>
    <t>porporcion de  niños de 0 a 11 meses con aplicación de primera dosis de pentavalente durante el año vigente</t>
  </si>
  <si>
    <t>Total de afiliados que registran aplicación de Pentavalente 1 dosis
Durante año actual
Edad a la fecha de aplicación entre 0-11 meses</t>
  </si>
  <si>
    <t>87.59%</t>
  </si>
  <si>
    <t>92.57%</t>
  </si>
  <si>
    <t>RPYMS275X</t>
  </si>
  <si>
    <t>Cumplimiento en aplicación de Polio primera dosis</t>
  </si>
  <si>
    <t>porporcion de  niños de 0 a 11 meses con aplicación de primera dosis de Polio durante el año vigente</t>
  </si>
  <si>
    <t>Total de afiliados que registran aplicación de Polio 1 dosis
Durante año actual
Edad a la fecha de aplicación entre 0-11 meses</t>
  </si>
  <si>
    <t>87.58%</t>
  </si>
  <si>
    <t>92.58%</t>
  </si>
  <si>
    <t>RPYMS276X</t>
  </si>
  <si>
    <t>Cumplimiento en aplicación de Rotavirus primera dosis</t>
  </si>
  <si>
    <t>porporcion de  niños de 0 a 11 meses con aplicación de primera dosis de Rotavirus durante el año vigente</t>
  </si>
  <si>
    <t>Total de afiliados que registran aplicación de Rotavirus 1 dosis
Durante año actual
Edad a la fecha de aplicación entre 0-11 meses</t>
  </si>
  <si>
    <t>86.66%</t>
  </si>
  <si>
    <t>91.21%</t>
  </si>
  <si>
    <t>RPYMS277X</t>
  </si>
  <si>
    <t>Cumplimiento en aplicación de Neumococo primera dosis</t>
  </si>
  <si>
    <t>porporcion de  niños de 0 a 11 meses con aplicación de primera dosis de Neumococo durante el año vigente</t>
  </si>
  <si>
    <t>Total de afiliados que registran aplicación de Neumococco 1 dosis
Durante año actual
Edad a la fecha de aplicación entre 0-11 meses</t>
  </si>
  <si>
    <t>87.93%</t>
  </si>
  <si>
    <t>89.33%</t>
  </si>
  <si>
    <t>RPYMS278X</t>
  </si>
  <si>
    <t>Cumplimiento en aplicación de Pentavalente segunda dosis</t>
  </si>
  <si>
    <t>porporcion de  niños de 0 a 11 meses con aplicación de segunda dosis de pentavalente durante el año vigente</t>
  </si>
  <si>
    <t>Total de afiliados que registran aplicación de Pentavalente 2 dosis
Durante año actual
Edad a la fecha de aplicación entre 0-11 meses</t>
  </si>
  <si>
    <t>80.36%</t>
  </si>
  <si>
    <t>94.84%</t>
  </si>
  <si>
    <t>RPYMS279X</t>
  </si>
  <si>
    <t>Cumplimiento en aplicación de Polio segunda dosis</t>
  </si>
  <si>
    <t>porporcion de  niños de 0 a 11 meses con aplicación de segunda dosis de Polio durante el año vigente</t>
  </si>
  <si>
    <t>Total de afiliados que registran aplicación de Polio 2 dosis
Durante año actual
Edad a la fecha de aplicación entre 0-11 meses</t>
  </si>
  <si>
    <t>80.37%</t>
  </si>
  <si>
    <t>94.83%</t>
  </si>
  <si>
    <t>RPYMS280X</t>
  </si>
  <si>
    <t>Cumplimiento en aplicación de Rotavirus segunda dosis</t>
  </si>
  <si>
    <t>porporcion de  niños de 0 a 11 meses con aplicación de segunda dosis de Rotavirus durante el año vigente</t>
  </si>
  <si>
    <t>Total de afiliados que registran aplicación de Rotavirus 2 dosis
Durante año actual
Edad a la fecha de aplicación entre 0-11 meses</t>
  </si>
  <si>
    <t>79.76%</t>
  </si>
  <si>
    <t>93.7%</t>
  </si>
  <si>
    <t>RPYMS281X</t>
  </si>
  <si>
    <t>Cumplimiento en aplicación de Neumococo segunda dosis</t>
  </si>
  <si>
    <t>porporcion de  niños de 0 a 11 meses con aplicación de segunda dosis de NEumococo durante el año vigente</t>
  </si>
  <si>
    <t>Total de afiliados que registran aplicación de Neumococco 2 dosis
Durante año actual
Edad a la fecha de aplicación entre 0-11 meses</t>
  </si>
  <si>
    <t>90.8%</t>
  </si>
  <si>
    <t>RPYMS282X</t>
  </si>
  <si>
    <t>Cobertura de vacunación de tercera dosis de pentavalente en niños y niñas menores de un año</t>
  </si>
  <si>
    <r>
      <rPr>
        <sz val="10"/>
        <color rgb="FF000000"/>
        <rFont val="Calibri Light"/>
        <family val="2"/>
        <scheme val="major"/>
      </rPr>
      <t xml:space="preserve">Afiliados que registran aplicación de Pentavalente tercera dosis
</t>
    </r>
    <r>
      <rPr>
        <sz val="10"/>
        <color rgb="FFFF0000"/>
        <rFont val="Calibri Light"/>
        <family val="2"/>
        <scheme val="major"/>
      </rPr>
      <t xml:space="preserve">Registrar fecha valida de aplicación de tercera dosis de pentavalente (independiente de la edad de aplicacion) </t>
    </r>
  </si>
  <si>
    <t>Total de población de 6 a 11 meses y 29 días (menores de 1 año)
Incluye todos los afiliados independiente de la fecha de afiliación</t>
  </si>
  <si>
    <t xml:space="preserve">Vacunas aplicadas de tercera dosis de pentavalente  </t>
  </si>
  <si>
    <t xml:space="preserve">Población denominador
Poblacion que registra aplicación de vacuna de tercera dosis de pentavalente (independiente de la edad de aplicacion) </t>
  </si>
  <si>
    <t>Población al mes a evaluar activos y nuevos, independiente de la fecha de afiliación
6 a 11 meses y 29 días</t>
  </si>
  <si>
    <r>
      <rPr>
        <sz val="10"/>
        <color rgb="FF000000"/>
        <rFont val="Calibri Light"/>
        <family val="2"/>
        <scheme val="major"/>
      </rPr>
      <t xml:space="preserve">INDICADOR FENIX FX-10
</t>
    </r>
    <r>
      <rPr>
        <sz val="10"/>
        <color rgb="FFFF0000"/>
        <rFont val="Calibri Light"/>
        <family val="2"/>
        <scheme val="major"/>
      </rPr>
      <t xml:space="preserve">
</t>
    </r>
    <r>
      <rPr>
        <sz val="10"/>
        <color rgb="FF000000"/>
        <rFont val="Calibri Light"/>
        <family val="2"/>
        <scheme val="major"/>
      </rPr>
      <t xml:space="preserve">Para el numerador en los indicadores de cobertura se toma la misma población del denominador (los del den que cumplan con la actividad)
</t>
    </r>
    <r>
      <rPr>
        <sz val="10"/>
        <color rgb="FFFF0000"/>
        <rFont val="Calibri Light"/>
        <family val="2"/>
        <scheme val="major"/>
      </rPr>
      <t xml:space="preserve">
</t>
    </r>
  </si>
  <si>
    <t xml:space="preserve">Cohorte Vacunación menores 6
1. Calcular edad a corte del periodo evaluar. Formula: =sifecha(FechaNacimiento;FechaCorte;"m")
2. Filtrar edad de 6 a 11 meses
3. Filtrar fechas validas de aplicación de tercera dosis de pentavalente 
</t>
  </si>
  <si>
    <t>Cohorte Vacunación menores 6
1. Calcular edad a corte del periodo evaluar. Formula: =sifecha(FechaNacimiento;FechaCorte;"m")
2. Filtrar menores de 6 a 11 meses</t>
  </si>
  <si>
    <t>86.21%</t>
  </si>
  <si>
    <t>78.79%</t>
  </si>
  <si>
    <t xml:space="preserve">20/01/2026  Se incluye indicador para descuentos por directriz de la jefe Elsa.  12/12/2025: Se ajusta definición de numerador en la definición de variables, se modifica el numerador de periodo y de población, y se dejan observaciones adicionales en el indicador. //15/10/2025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//05/03/2025 Se homologa definición con lo descrito para indicador Fenix en "definición de variables" para numerador y denominador y en "periodo" el numerador, se incluye observación del indicador y se actualiza cohorte para validar.  17/07/2024 se ajusta el nombre el indicador, se cambia de indicador de cumplimiento a indicador de cobertura y se ajusta el denominador (niño de 6 meses a 11 meses). Se hará recalculo del indicador de los meses anteriores con la nueva definición operacional </t>
  </si>
  <si>
    <t>RPYMS283X</t>
  </si>
  <si>
    <t>Cumplimiento en aplicación de Polio tercera dosis</t>
  </si>
  <si>
    <t>porporcion de  niños de 0 a 11 meses con aplicación de Tercera dosis de polio durante el año vigente</t>
  </si>
  <si>
    <t>Total de afiliados que registran aplicación de Polio 3 dosis
Durante año actual
Edad a la fecha de aplicación entre 0-11 meses</t>
  </si>
  <si>
    <t>70.83%</t>
  </si>
  <si>
    <t>94.44%</t>
  </si>
  <si>
    <t>RPYMS284X</t>
  </si>
  <si>
    <t>Cumplimiento en aplicación de Triple Viral primera dosis</t>
  </si>
  <si>
    <t>porporcion de  niños de 12 a 23 meses con aplicación de primera dosis de Triple viral durante el año vigente</t>
  </si>
  <si>
    <t>Total de afiliados que registran aplicación de Triple viral 1 dosis
Durante año actual
Edad a la fecha de aplicación entre 12-23 meses</t>
  </si>
  <si>
    <t>Total de población de 12 a 23 meses (1 año)
dividido en 12 multiplicado por el mes a evaluar</t>
  </si>
  <si>
    <t>Poblacion que registra aplicación de vacuna
Año vigente
Edad a la aplicación entre 12-23 meses
estado de afiliacion (Activo) -  no necesariamente debe estar incluido en el denominador</t>
  </si>
  <si>
    <t>Población actual al mes a evaluar activos y nuevos 
12 a 23 meses 29 días</t>
  </si>
  <si>
    <t>80.39%</t>
  </si>
  <si>
    <t>90.15%</t>
  </si>
  <si>
    <t>RPYMS285X</t>
  </si>
  <si>
    <t>Cumplimiento en aplicación de Hepatitis A</t>
  </si>
  <si>
    <t>porporcion de  niños de 12 a 23 meses con aplicación de primera dosis de Hepatitis A durante el año vigente</t>
  </si>
  <si>
    <t>Total de afiliados que registran aplicación de Hepatitis A
Durante año actual
Edad a la fecha de aplicación entre 12-23 meses</t>
  </si>
  <si>
    <t>1- Modulo de gestión de vacunación menores
 * PAIWEB - PAI DISTRITAL
 * Plantilla EPS menores
 * RIPS (Dosis únicas) 993502</t>
  </si>
  <si>
    <t>80.07%</t>
  </si>
  <si>
    <t>90.39%</t>
  </si>
  <si>
    <t>RPYMS286X</t>
  </si>
  <si>
    <t>Cumplimiento en aplicación de Varicela primera dosis</t>
  </si>
  <si>
    <t>porporcion de  niños de 12 a 23 meses con aplicación de primera dosis de Varicela durante el año vigente</t>
  </si>
  <si>
    <t>Total de afiliados que registran aplicación de Varicela 1 dosis
Durante año actual
Edad a la fecha de aplicación entre 12-23 meses</t>
  </si>
  <si>
    <t>80%</t>
  </si>
  <si>
    <t>89.3%</t>
  </si>
  <si>
    <t>RPYMS287X</t>
  </si>
  <si>
    <t>Cumplimiento en aplicación de Neumococo refuerzo</t>
  </si>
  <si>
    <t>porporcion de  niños de 12 a 23 meses con aplicación de Refuerzo de Neumococo durante el año vigente</t>
  </si>
  <si>
    <t>Total de afiliados que registran aplicación de Neumococco Refuerzo
Durante año actual
Edad a la fecha de aplicación entre 12-23 meses</t>
  </si>
  <si>
    <t>79.93%</t>
  </si>
  <si>
    <t>84.21%</t>
  </si>
  <si>
    <t>RPYMS288X</t>
  </si>
  <si>
    <t>Cumplimiento en aplicación de Fiebre Amarilla</t>
  </si>
  <si>
    <r>
      <rPr>
        <sz val="10"/>
        <color rgb="FF000000"/>
        <rFont val="Calibri Light"/>
        <family val="2"/>
      </rPr>
      <t xml:space="preserve">porporcion de  poblacion de </t>
    </r>
    <r>
      <rPr>
        <sz val="10"/>
        <color rgb="FFFF0000"/>
        <rFont val="Calibri Light"/>
        <family val="2"/>
      </rPr>
      <t>1  a 59 años, 11 meses y 29 días</t>
    </r>
    <r>
      <rPr>
        <sz val="10"/>
        <color rgb="FF000000"/>
        <rFont val="Calibri Light"/>
        <family val="2"/>
      </rPr>
      <t xml:space="preserve"> con aplicación de Fiebre amarilla durante el año vigente</t>
    </r>
  </si>
  <si>
    <t>Varios</t>
  </si>
  <si>
    <r>
      <rPr>
        <sz val="10"/>
        <color rgb="FF000000"/>
        <rFont val="Calibri Light"/>
        <family val="2"/>
        <scheme val="major"/>
      </rPr>
      <t xml:space="preserve">Afiliados que registran aplicación de Fiebre Amarilla
Durante año actual
Edad a la fecha de aplicación entre </t>
    </r>
    <r>
      <rPr>
        <sz val="10"/>
        <color rgb="FFFF0000"/>
        <rFont val="Calibri Light"/>
        <family val="2"/>
        <scheme val="major"/>
      </rPr>
      <t>01 año</t>
    </r>
    <r>
      <rPr>
        <sz val="10"/>
        <color rgb="FF000000"/>
        <rFont val="Calibri Light"/>
        <family val="2"/>
        <scheme val="major"/>
      </rPr>
      <t xml:space="preserve"> </t>
    </r>
    <r>
      <rPr>
        <sz val="10"/>
        <color rgb="FFFF0000"/>
        <rFont val="Calibri Light"/>
        <family val="2"/>
        <scheme val="major"/>
      </rPr>
      <t>- 59 años, 11 meses y 29 dias</t>
    </r>
  </si>
  <si>
    <r>
      <rPr>
        <sz val="10"/>
        <color rgb="FF000000"/>
        <rFont val="Calibri Light"/>
        <family val="2"/>
        <scheme val="major"/>
      </rPr>
      <t>Total de población de</t>
    </r>
    <r>
      <rPr>
        <sz val="10"/>
        <color rgb="FFFF0000"/>
        <rFont val="Calibri Light"/>
        <family val="2"/>
        <scheme val="major"/>
      </rPr>
      <t xml:space="preserve"> 01 año - 59 años, 11 meses y 29 dias
dividido en 12 multiplicado por el mes a evaluar</t>
    </r>
  </si>
  <si>
    <t>1- Modulo de gestión de vacunación menores
 * PAIWEB - PAI DISTRITAL
 * Plantilla EPS menores
 * RIPS (Dosis únicas) 993504</t>
  </si>
  <si>
    <r>
      <t xml:space="preserve">Poblacion que registra aplicación de vacuna
Año vigente
Edad a la aplicación entre </t>
    </r>
    <r>
      <rPr>
        <sz val="10"/>
        <color rgb="FFFF0000"/>
        <rFont val="Calibri Light"/>
        <family val="2"/>
        <scheme val="major"/>
      </rPr>
      <t>01 año - 59 años 29 dias
estado de afiliacion (Activo) -</t>
    </r>
    <r>
      <rPr>
        <sz val="10"/>
        <rFont val="Calibri Light"/>
        <family val="2"/>
        <scheme val="major"/>
      </rPr>
      <t xml:space="preserve">  no necesariamente debe estar incluido en el denominador</t>
    </r>
  </si>
  <si>
    <r>
      <t>Población actual al mes a evaluar activos y nuevos</t>
    </r>
    <r>
      <rPr>
        <sz val="10"/>
        <color rgb="FFFF0000"/>
        <rFont val="Calibri Light"/>
        <family val="2"/>
        <scheme val="major"/>
      </rPr>
      <t xml:space="preserve">
1 año - 59 años 29 dias</t>
    </r>
  </si>
  <si>
    <t> </t>
  </si>
  <si>
    <r>
      <t xml:space="preserve">Vacunación menores
</t>
    </r>
    <r>
      <rPr>
        <sz val="10"/>
        <color rgb="FFFF0000"/>
        <rFont val="Calibri Light"/>
        <family val="2"/>
        <scheme val="major"/>
      </rPr>
      <t>Vacunación general</t>
    </r>
  </si>
  <si>
    <t>66.65%</t>
  </si>
  <si>
    <t>104.22%</t>
  </si>
  <si>
    <t>12/12/2025 Se ajusta la definición operacional del indicador, se modifica la variable "curso de vida" y las definiciones de variables para el numerador y denominador, tambien se modifica la variable poblacion para numerador y denominador, finalmente se ajusta las cohortes de validación del indicador. //9/12/2024: sin modificación.</t>
  </si>
  <si>
    <t>RPYMS289X</t>
  </si>
  <si>
    <t>Cumplimiento en aplicación de Polio primer refuerzo</t>
  </si>
  <si>
    <t>porporcion de  niños de 12 a 23 meses con aplicación de Primer Refuerzo de polio durante el año vigente</t>
  </si>
  <si>
    <t>Total de afiliados que registran aplicación de Polio 1 Ref
Durante año actual
Edad a la fecha de aplicación entre 12-23 meses</t>
  </si>
  <si>
    <t>61.84%</t>
  </si>
  <si>
    <t>91.39%</t>
  </si>
  <si>
    <t>RPYMS290X</t>
  </si>
  <si>
    <t>Cumplimiento en aplicación de Pentavalente primer refuerzo</t>
  </si>
  <si>
    <t>porporcion de  niños de 12 a 23 meses con aplicación de Refuerzo de pentavalente durante el año vigente</t>
  </si>
  <si>
    <t>Total de afiliados que registran aplicación de pentavalente 1 Ref
Durante año actual
Edad a la fecha de aplicación entre 12-23 meses</t>
  </si>
  <si>
    <t>indicador ajustado a nuevo Esquema PAI</t>
  </si>
  <si>
    <t>61.94%</t>
  </si>
  <si>
    <t>90.75%</t>
  </si>
  <si>
    <t>RPYMS291X</t>
  </si>
  <si>
    <t>Cumplimiento en aplicación de Triple Viral refuerzo (Nuevo Esquema)</t>
  </si>
  <si>
    <t>porporcion de  niños de 12 a 23 meses con aplicación de Refuerzo de Triple Viral durante el año vigente</t>
  </si>
  <si>
    <t>Total de afiliados que registran aplicación de Triple Viral 1 Ref
Durante año actual
Edad a la fecha de aplicación entre 18-23 meses</t>
  </si>
  <si>
    <t>60.59%</t>
  </si>
  <si>
    <t>90.14%</t>
  </si>
  <si>
    <t>RPYMS291AX</t>
  </si>
  <si>
    <t>Cumplimiento en aplicación de Triple Viral refuerzo (2 años y mas)</t>
  </si>
  <si>
    <t>porporcion de  niños de  24 a 71 meses con aplicación de Refuerzo de Triple viral durante el año vigente
(Menores nacidos antes de Junio de 2021)</t>
  </si>
  <si>
    <t>Total de afiliados que registran aplicación de Triple Viral 1 Ref
Durante año actual
Edad a la fecha de aplicación entre 24 a 71 meses</t>
  </si>
  <si>
    <t>Total de población de 24 a 71 meses (2 a 5 años)
dividido en 12 multiplicado por el mes a evaluar
Que no registra aplicación de vacuna contra TV 1 refuerzo en años previos</t>
  </si>
  <si>
    <t xml:space="preserve">BASE DE DATOS DE AFILIACIONES (CIERRE MES)
y cruce con cohorte de vacunación menores </t>
  </si>
  <si>
    <t>Poblacion que registra aplicación de vacuna
Año vigente
Edad a la aplicación entre 60-71 meses
estado de afiliacion (Activo) -  no necesariamente debe estar incluido en el denominador</t>
  </si>
  <si>
    <t>Población actual al mes a evaluar activos y nuevos 
60 a 71 meses 29 días</t>
  </si>
  <si>
    <t>indicador ajustado a nuevo Esquema PAI para administracion de refuerzo a la población que no registra aplicación de biologico de triple viral -  se ajusta para la vigencia 2024</t>
  </si>
  <si>
    <t>18.1%</t>
  </si>
  <si>
    <t>55.86%</t>
  </si>
  <si>
    <t>12/12/2025 Sin modificación  30/04/2025 Ajuste fuente del denominador base afiliados adicionando el cruce con cohorte vacunación.  9/12/2024: sin modificación</t>
  </si>
  <si>
    <t>RPYMS292X</t>
  </si>
  <si>
    <t>Cumplimiento en aplicación de Varicela refuerzo</t>
  </si>
  <si>
    <t>porporcion de  niños de  60 a 71 meses con aplicación de Refuerzo de varicela durante el año vigente</t>
  </si>
  <si>
    <t>Total de afiliados que registran aplicación de Varicela 1 Ref
Durante año actual
Edad a la fecha de aplicación entre 60-71 meses</t>
  </si>
  <si>
    <t>Total de población de 60 a 71 meses (5 años)
dividido en 12 multiplicado por el mes a evaluar</t>
  </si>
  <si>
    <t>69.32%</t>
  </si>
  <si>
    <t>80.9%</t>
  </si>
  <si>
    <t>RPYMS293X</t>
  </si>
  <si>
    <t>Cumplimiento en aplicación de DPT segundo refuerzo</t>
  </si>
  <si>
    <t>porporcion de  niños de  60 a 71 meses con aplicación de segundo Refuerzo de DPT durante el año vigente</t>
  </si>
  <si>
    <t>Total de afiliados que registran aplicación de DPT 2 Ref
Durante año actual
Edad a la fecha de aplicación entre 60-71 meses</t>
  </si>
  <si>
    <t>69.98%</t>
  </si>
  <si>
    <t>82.23%</t>
  </si>
  <si>
    <t>RPYMS294X</t>
  </si>
  <si>
    <t>Cumplimiento en aplicación de polio segundo refuerzo</t>
  </si>
  <si>
    <t>porporcion de  niños de  60 a 71 meses con aplicación de segundo Refuerzo de Polio durante el año vigente</t>
  </si>
  <si>
    <t>Total de afiliados que registran aplicación de Polio 2 Ref
Durante año actual
Edad a la fecha de aplicación entre 60-71 meses</t>
  </si>
  <si>
    <t>82.33%</t>
  </si>
  <si>
    <t>RPYMS295X</t>
  </si>
  <si>
    <t>Cobertura de Vacunación de Fiebre amarilla en población infantil</t>
  </si>
  <si>
    <t>porporcion de  niños de 1 a 10 años con resgitro de aplicación de Fiebre amarilla</t>
  </si>
  <si>
    <t>Total de afiliados de 1 a 10 años
Registran aplicación de Fiebre Amarilla
edad a la fecha de aplicación &gt;=12 meses</t>
  </si>
  <si>
    <t>Total de población de 1 a 10 años</t>
  </si>
  <si>
    <t>1- Modulo de gestión de vacunación menores
 * PAIWEB - PAI DISTRITAL
 * Plantilla EPS menores
 * RIPS (Dosis únicas): 993504</t>
  </si>
  <si>
    <t>Población denominador
Registró de Vacunación contra Fiebre amarilla
Edad a la fecha aplciacion &gt;=12 meses</t>
  </si>
  <si>
    <t>Población actual al mes a evaluar activos y nuevos
1 a 10 años</t>
  </si>
  <si>
    <t>69.05%</t>
  </si>
  <si>
    <t>68.54%</t>
  </si>
  <si>
    <t>12/12/2025 Sin modificación  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//9/12/2024: se ajusta nombre del indicador</t>
  </si>
  <si>
    <t>RPYMS296X</t>
  </si>
  <si>
    <t>Cobertura de Vacunación de Sarampion - Rubeola</t>
  </si>
  <si>
    <t>porporcion de niños nacidos de 01-01-2010 hasta el 31-12-2019 con regsitro de aplicación de Sarampion - Rubeola a partir de abril de 2021</t>
  </si>
  <si>
    <t>Total de afiliados  nacidos de 01-01-2010 hasta el 31-12-2019
Registran aplicación de Sarampion Rubeola
A partir del 01-04-2021
Edad a la fecha de aplicación &gt;=12 meses</t>
  </si>
  <si>
    <t>total de la poblacion de niños nacidos de 01-01-2010 hasta el 31-12-2019</t>
  </si>
  <si>
    <t>1- Modulo de gestión de vacunación menores
 * PAIWEB - PAI DISTRITAL
 * Plantilla EPS menores
 * RIPS (Dosis únicas): 993520</t>
  </si>
  <si>
    <t>Todas desde el 01-04-2021</t>
  </si>
  <si>
    <t>Población denominador
Registró de Vacunación contra sarampion Rubeola desde el 12-04-2021
Edad a la fecha aplciacion &gt;=12 meses</t>
  </si>
  <si>
    <t>Población actual al mes a evaluar activos y nuevos
poblacion de niños nacidos de 01-01-2010 hasta el 31-12-2019</t>
  </si>
  <si>
    <t>51.63%</t>
  </si>
  <si>
    <t>47.07%</t>
  </si>
  <si>
    <t>RPYMS297X</t>
  </si>
  <si>
    <t>Porcentaje de Deserción Menores de 0 a 11 meses</t>
  </si>
  <si>
    <t>Proporcion de menores de 0 a 11 meses que iniciarion con esquema de vacunacion de pentavalente y que no completan esquema primario de 3 dosis</t>
  </si>
  <si>
    <t>Total de población de 0 a 11 meses 29 dias (1 año) - Denominador
Que no Registran Pentavalente 3 o registran comodin</t>
  </si>
  <si>
    <t>Total de población de 0 a 11 meses y 29 días (menores de 1 año) 
Que registran fecha valida de aplicación de: Pentavalente 1 o pentavalente 2 o Pentavalente 3</t>
  </si>
  <si>
    <t>Población denominador
que NO registra Pentavalente 3</t>
  </si>
  <si>
    <t>Población actual al mes a evaluar activos y nuevos 
0 a 11 meses 29 días
que registran cualquier dosis de pentavalente</t>
  </si>
  <si>
    <t>&lt;=5%</t>
  </si>
  <si>
    <t>&gt;5%</t>
  </si>
  <si>
    <t>41.6%</t>
  </si>
  <si>
    <t>45.94%</t>
  </si>
  <si>
    <t>RPYMS298X</t>
  </si>
  <si>
    <t xml:space="preserve">Porcentaje de Deserción Menores de 12 a 24 meses </t>
  </si>
  <si>
    <t>Proporcion de menores de 12 a23 meses que terminaronn esquema de vacunacion de 3 dosis de pentavalente y que no reciben 1 dosis de triple viral</t>
  </si>
  <si>
    <t xml:space="preserve">Total de población de 12 a 23 meses (1 año) - Denominador
Que no Registran Triple Viral 1 o registran comodin </t>
  </si>
  <si>
    <t>Total de población de 12 a 23 meses (1 año)
Que registran fecha valida de aplicación de: Pentavalente 3 o Triple Viral 1</t>
  </si>
  <si>
    <t>Población denominador
que NO registra Triple viral 1</t>
  </si>
  <si>
    <t>Población actual al mes a evaluar activos y nuevos 
12 a 23 meses 29 días
que registran dosis de pentavalente3 o Triple Viral 1</t>
  </si>
  <si>
    <t>9.23%</t>
  </si>
  <si>
    <t>10.82%</t>
  </si>
  <si>
    <t>RPYMS299X</t>
  </si>
  <si>
    <t xml:space="preserve">Porcentaje de Deserción Menores de 18 a 24 meses </t>
  </si>
  <si>
    <t>Proporcion de menores de 18 a 24 meses que iniciarion esquema de vacunacion de triple viral y que no reciben 1 refuerzo de triple viral</t>
  </si>
  <si>
    <t>Total de población de 18 a 23 meses - Denominador
Que no Registran Triple Viral Ref o registran comodin</t>
  </si>
  <si>
    <t>Total de población de 18 a 23 meses 
Que registran fecha valida de aplicación de: Triple Viral 1 o Triple Viral Ref</t>
  </si>
  <si>
    <t>Población denominador
que NO registra Triple viral 2 o Ref</t>
  </si>
  <si>
    <t>Población actual al mes a evaluar activos y nuevos 
18 a 23 meses 29 días
que registran dosis de  Triple Viral 1</t>
  </si>
  <si>
    <t>ajustado a nuevo Esquema</t>
  </si>
  <si>
    <t>17.52%</t>
  </si>
  <si>
    <t>25.68%</t>
  </si>
  <si>
    <t>RPYMS300X</t>
  </si>
  <si>
    <t>Porcentaje de Deserción Menores de 60 a 71 meses</t>
  </si>
  <si>
    <t>Proporcion de menores de 60 a 71 meses que con registro de 1 Ref DPT o 1 Ref Pentavalente y que no reciben 2 refuerzo de DPT</t>
  </si>
  <si>
    <t xml:space="preserve">Total de población de 60 a 71 meses (5 años) - Denominador
Que no Registran DPT 2 Ref o registran comodin  </t>
  </si>
  <si>
    <t>Total de población de 60 a 71 meses (5 años)
Que registran fecha valida de aplicación de: DPT 1Ref O Pentavalente 1 REF o DPT 2 Ref</t>
  </si>
  <si>
    <t>Población denominador
que NO registra DPT 2 Ref</t>
  </si>
  <si>
    <t>Población actual al mes a evaluar activos y nuevos 
60 a 71 meses 29 días
que registran dosis de DPT 1 Refo Pentavalente 1 Ref o DPT 2 Ref</t>
  </si>
  <si>
    <t>18.95%</t>
  </si>
  <si>
    <t>19.56%</t>
  </si>
  <si>
    <t>RPYMS301X</t>
  </si>
  <si>
    <t>Porcentaje de simultaneidad de vacunación en menor de 0 a 11 meses</t>
  </si>
  <si>
    <t>Proporcion de niños de 0 a 11 que reciben Biologico según su edad y que registran aplicación simultanea de todos los biologicos del esquema</t>
  </si>
  <si>
    <t xml:space="preserve">Total de población de 0 a 11 meses y 29 días (menores de 1 año), 
Que registran igual FECHA de aplicación de todos los biologicos según su edad asi:
0-1 mes: Hepatitis B- RN = BCG
2-3 meses: Pentavalente(1) = Polio(1) = Rotavirus(1) = Neumococco(1)
4-5 meses :Pentavalente(2) = Polio(2) = Rotavirus(2) = Neumococco(2)
6-11 meses: Pentavalente(3) = Polio(3) </t>
  </si>
  <si>
    <t>Total de población de 0 a 11 meses y 29 días (menores de 1 año), 
Que registran FECHA de aplicación de biologico según su edad asi:
0-1 mes: Hepatitis B- RN
2-3 meses: Pentavalente(1)
4-5 meses: Pentavalente(2)
6-11 meses: Pentavalente(3)</t>
  </si>
  <si>
    <t>1- Modulo de gestión de vacunación menores
 * PAIWEB - PAI DISTRITAL
 * Plantilla EPS menores
 * RIPS (Dosis únicas)*</t>
  </si>
  <si>
    <t>Poblacion del denominador 
Igual fecha para todos los Biologisos según su edad</t>
  </si>
  <si>
    <t>Población actual al mes a evaluar activos y nuevos 
 0 a 11 meses y 29 días (menores de 1 año), 
Que registran FECHA de aplicación de biologico según su edad</t>
  </si>
  <si>
    <t>97.91%</t>
  </si>
  <si>
    <t>96.81%</t>
  </si>
  <si>
    <t>RPYMS302X</t>
  </si>
  <si>
    <t>Porcentaje de simultaneidad de vacunación en menores de 12 a 24 meses</t>
  </si>
  <si>
    <t>Proporcion de niños de 12 a 24 que reciben Biologico según su edad y que registran aplicación simultanea de todos los biologicos del esquema</t>
  </si>
  <si>
    <t>Total de población de 12 a 23 meses (1 año)
Que registran igual  FECHA de aplicación de todos los biologicos según su edad asi:
12-17 meses: Triple Viral(1) = Hepatitis A = Varicela(1)= Neumococo(Ref)
18-23 Meses: Pentavalente(1Ref) O DPT (1 Ref) = Polio(1Ref) = Tripleviral (1REF)</t>
  </si>
  <si>
    <t>Total de población de 12 a 23 meses (1 año)
Que registran FECHA de aplicación de biologico según su edad asi:
12-17 meses: Triple Viral(1)
18-23 Meses: Polio(1Ref)</t>
  </si>
  <si>
    <t>Población actual al mes a evaluar activos y nuevos 
12 a 23 meses (1 año)
Que registran FECHA de aplicación de biologico según su edad</t>
  </si>
  <si>
    <t>93.85%</t>
  </si>
  <si>
    <t>81.07%</t>
  </si>
  <si>
    <t>RPYMS303X</t>
  </si>
  <si>
    <t>Porcentaje de simultaneidad de vacunación en menores de 60 a 71 meses</t>
  </si>
  <si>
    <t>Proporcion de niños de 60 a 71 que reciben Biologico según su edad y que registran aplicación simultanea de todos los biologicos del esquema</t>
  </si>
  <si>
    <t xml:space="preserve">Total de población de 60 a 71 meses (5 años)
Que registran igual FECHA de aplicación de todos los biologico según su edad asi:
60-71 meses: DPT(2Ref) = Polio(2Ref) = varicela (Ref) </t>
  </si>
  <si>
    <t>Total de población de 60 a 71 meses (5 años)
Que registran FECHA de aplicación de biologico según su edad asi:
60-71 meses: DPT(2Ref)</t>
  </si>
  <si>
    <t>Población actual al mes a evaluar activos y nuevos 
60 a 71 meses (5 años)
Que registran FECHA de aplicación de biologico según su edad</t>
  </si>
  <si>
    <t>91.5%</t>
  </si>
  <si>
    <t>93.35%</t>
  </si>
  <si>
    <t>RPYMS304X</t>
  </si>
  <si>
    <t>Cumplimiento en aplicación de Influenza primera dosis (menor 1 año)</t>
  </si>
  <si>
    <t>Proporcion de niños de 0 a 11 meses que reciben aplicacion de primera dosis de Influenza estacional</t>
  </si>
  <si>
    <t>Total de afiliados que registran aplicación de Influenza 1 dosis
Durante año actual
Edad a la fecha de aplicación entre 6-11 meses</t>
  </si>
  <si>
    <t>64.29%</t>
  </si>
  <si>
    <t>85.83%</t>
  </si>
  <si>
    <t>RPYMS305X</t>
  </si>
  <si>
    <t>Cumplimiento en aplicación de Influenza segunda dosis (menor 1 año)</t>
  </si>
  <si>
    <t>Proporcion de niños de 0 a 11 meses que reciben aplicacion de segunda dosis de Influenza estacional</t>
  </si>
  <si>
    <t>Total de afiliados que registran aplicación de Influenza 2 dosis
Durante año actual
Edad a la fecha de aplicación entre 6-11 meses</t>
  </si>
  <si>
    <t>44.05%</t>
  </si>
  <si>
    <t>59.34%</t>
  </si>
  <si>
    <t>RPYMS306X</t>
  </si>
  <si>
    <t>Cumplimiento en aplicación de Influenza primera dosis (1 año)</t>
  </si>
  <si>
    <t>Proporcion de niños de 12 a 23 meses que reciben aplicacion de primera dosis de Influenza estacional</t>
  </si>
  <si>
    <t>Total de afiliados que registran aplicación de Influenza 1 Dosis
Durante año actual
Edad a la fecha de aplicación entre 12-23 meses</t>
  </si>
  <si>
    <t>Total de población de 12 a 23 meses y 29 días (1 año)
Que NO registra edad a la fecha de aplicación de dosis 1  y 2 (Entre 6 y 11 meses)
Dividido en 12 multiplicado por el mes a evaluar</t>
  </si>
  <si>
    <t>29.79%</t>
  </si>
  <si>
    <t>70.42%</t>
  </si>
  <si>
    <t>RPYMS307X</t>
  </si>
  <si>
    <t>Cumplimiento en aplicación de Influenza segunda dosis (1 año)</t>
  </si>
  <si>
    <t>Proporcion de niños de 12 a 23 meses que reciben aplicacion de segunda dosis de Influenza estacional</t>
  </si>
  <si>
    <t>Total de afiliados que registran aplicación de Influenza 2 Dosis
Durante año actual
Edad a la fecha de aplicación entre 12-23 meses</t>
  </si>
  <si>
    <t>39.72%</t>
  </si>
  <si>
    <t>43.98%</t>
  </si>
  <si>
    <t>RPYMS308X</t>
  </si>
  <si>
    <t>Cumplimiento en aplicación de Influenza refuerzo</t>
  </si>
  <si>
    <t>Proporcion de niños de 12 a 23 meses que reciben aplicacion de refuerzo de Influenza estacional</t>
  </si>
  <si>
    <t>Total de afiliados que registran aplicación de Influenza Refuerzo
Durante año actual
Edad a la fecha de aplicación entre 12-23 meses</t>
  </si>
  <si>
    <t>Total de población de 12 a 23 meses y 29 días (1 año)
Que Registra edad a la fecha de aplicación de dosis 1 y 2 (Entre 6 y 11 meses)
Dividido en 12 multiplicado por el mes a evaluar</t>
  </si>
  <si>
    <t>119.09%</t>
  </si>
  <si>
    <t>120.35%</t>
  </si>
  <si>
    <t>RPYMS309X</t>
  </si>
  <si>
    <t>Cobertura de Vacunación de Influenza (Menores de 6 a 23 meses)</t>
  </si>
  <si>
    <t>Proporcion de niños de 6 a 23 meses que reciben aplicacion de alguna dosis de Influenza estacional</t>
  </si>
  <si>
    <t>Total de afiliados de 6 a 23 meses
Registran aplicación de Influenza estacional al menos 1 dosis (1  o 2 o Ref)</t>
  </si>
  <si>
    <t>Total de población de 6 a 23 meses</t>
  </si>
  <si>
    <t>Población denominador
Registró de Vacunación contra Influenza estacional 
Año Actual</t>
  </si>
  <si>
    <t>Población actual al mes a evaluar activos y nuevos
6 a 23 años</t>
  </si>
  <si>
    <t>84.85%</t>
  </si>
  <si>
    <t>77.82%</t>
  </si>
  <si>
    <t>RPYMS310X</t>
  </si>
  <si>
    <t>Cumplimiento en aplicación de Influenza (Menores de 6 a 23 meses)</t>
  </si>
  <si>
    <t>Proporcion de niños de 6 a 23 meses que reciben aplicacion de alguna dosis de Influenza estacional durante el año actual</t>
  </si>
  <si>
    <t>Total de afiliados 
Que registran edad a la fecha de aplicación de infuenza entre de 6 a 23 meses (Cualquiera de las dosis)
Registran aplicación de Influenza estacional al menos 1 dosis (1  o 2 o Ref)
Año actual</t>
  </si>
  <si>
    <t>Total de población de 6 a 23 meses
Dividido en 12 multiplicado por el mes a evaluar</t>
  </si>
  <si>
    <t>84.11%</t>
  </si>
  <si>
    <t>93.38%</t>
  </si>
  <si>
    <t>RPYMS90X</t>
  </si>
  <si>
    <t>Cobertura de vacunación contra el virus del papiloma humano (VPH) en niñas y adolescentes</t>
  </si>
  <si>
    <t>Proporción de niñas y adolescentes de 9 a 17 años que registran al menos una dosis de vacuna contra VPH</t>
  </si>
  <si>
    <t>Femenino</t>
  </si>
  <si>
    <t>Numero de niñas y adolescentes de 9 a 17 años
Aplicación de al menos una dosis de VPH
Edad a la fecha de aplicación &gt;= 9 años</t>
  </si>
  <si>
    <t xml:space="preserve">Total de niñas y adolescentes de 9 a 17 años
</t>
  </si>
  <si>
    <t>1- Modulo vacunación-Vacuna VPH (VPH_1, VPH_2, VPH_3)- Fecha válida
2- RIPS: CUPS: 993513</t>
  </si>
  <si>
    <t>Población denominador
Mujeres de 9 a 17 años
Registró de Vacunación contra VPH</t>
  </si>
  <si>
    <t>Población al mes a evaluar activos y nuevos 
Mujeres de 9 a 17 años</t>
  </si>
  <si>
    <r>
      <rPr>
        <strike/>
        <sz val="10"/>
        <color theme="1"/>
        <rFont val="Calibri Light"/>
        <family val="2"/>
        <scheme val="major"/>
      </rPr>
      <t xml:space="preserve">Todo lo que cumpla en el numerador debe estar incluido en denominador
</t>
    </r>
    <r>
      <rPr>
        <sz val="10"/>
        <color theme="1"/>
        <rFont val="Calibri Light"/>
        <family val="2"/>
        <scheme val="major"/>
      </rPr>
      <t>Son validas las justificaciones de NO VACUNACIÓN
Para el numerador en los indicadores de cobertura se toma la misma población del denominador (los del den que cumplan con la actividad)</t>
    </r>
  </si>
  <si>
    <t>Cohorte Vacunación Adultos
1. Calcular edad a corte del periodo evaluar. Formula: =sifecha(FechaNacimiento;FechaCorte;"y")
2. Filtrar sexo femenino
3. Filtrar edad de 9 a 17 años
4. Calcular edad a fecha de aplicación VPH. Formula: =sifecha(FechaNacimiento;FechaaplicaciónVPH;"y")
5. Filtrar edad de aplicación &gt;= a 9 años (al menos 1  dosis)</t>
  </si>
  <si>
    <t>Cohorte Vacunación Adultos
1. Calcular edad a corte del periodo evaluar. Formula: =sifecha(FechaNacimiento;FechaCorte;"y")
2. Filtrar sexo femenino
3. Filtrar edad de 9 a 17 años</t>
  </si>
  <si>
    <t xml:space="preserve">Vacunacion Adultos </t>
  </si>
  <si>
    <t>57.88%</t>
  </si>
  <si>
    <t>63.41%</t>
  </si>
  <si>
    <t>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//05/03/2025 Se ajusta nombre del indicador, definición operacional,definición del numerador, observación del indicador y cohorte a validar, Se ajusta puntaje.  11/02/2025 Se realiza eliminación de los 3 meses de afiliación.</t>
  </si>
  <si>
    <t>RPYMS390X</t>
  </si>
  <si>
    <t>Cumplimiento de aplicación de vacunación contra el virus del papiloma humano (VPH) en mujeres de 9 a 17 años susceptible</t>
  </si>
  <si>
    <t>Proporción de mujeres  de 9 a 17 años que registran al menos una dosis de vacuna contra VPH en el año vigente</t>
  </si>
  <si>
    <t>SNS</t>
  </si>
  <si>
    <t>Aplicación de al menos una dosis de VPH
Edad a la fecha de aplicación 9 y 17 años
Año vigente</t>
  </si>
  <si>
    <t>Total de mujeres de 9 a 17 años
Que no registran vacunas de VPH antes del año vigente
Dividido en 12 multiplicado por el mes a evaluar</t>
  </si>
  <si>
    <t>Poblacion que registra aplicación de vacuna
Año vigente
Mujeres
Edad a la aplicación entre 9 y 17  años
estado de afiliacion (Activo) -  no necesariamente debe estar incluido en el denominador</t>
  </si>
  <si>
    <t xml:space="preserve">Población actual al mes a evaluar activos y nuevos 
Mujeres de 9 a 17 años que no registran aplicación de VPH en años previos
</t>
  </si>
  <si>
    <t>Indicador solicitado por SNS, reporte Trimestral ingresa como informativo - meta MSPS</t>
  </si>
  <si>
    <t>23.07%</t>
  </si>
  <si>
    <t>26.86%</t>
  </si>
  <si>
    <t>12/12/2025 Se modifica meta del indicador.  //11/02/2025 Se realiza eliminación de los 3 meses de afiliación.</t>
  </si>
  <si>
    <t>RPYMS312X</t>
  </si>
  <si>
    <t>Cumplimiento de vacunación contra el virus del papiloma humano (VPH) en niñas</t>
  </si>
  <si>
    <t>Proporción de mujeres  de 9 años que registran aplicación de primera dosis de vacuna contra VPH en el año vigente</t>
  </si>
  <si>
    <t>Numero de niñas
Aplicación de (Primera - Segunda O Tercera) dosis de VPH
Edad a la fecha de aplicación 9 años
Año vigente</t>
  </si>
  <si>
    <t>Total de mujeres de 9 años
Dividido en 12 multiplicado por el mes a evaluar</t>
  </si>
  <si>
    <t>1- Modulo vacunación Adultos
*Vacuna VPH (VPH_1)- Fecha válida
 * PAIWEB - PAI DISTRITAL
 * Plantilla  EPS Adultos</t>
  </si>
  <si>
    <t>Poblacion que registra aplicación de vacuna
Año vigente
Edad a la aplicación entre 9 años
estado de afiliacion (Activo) -  no necesariamente debe estar incluido en el denominador</t>
  </si>
  <si>
    <t xml:space="preserve">Población actual al mes a evaluar activos y nuevos 
Mujeres de 9 años
</t>
  </si>
  <si>
    <t>46.01%</t>
  </si>
  <si>
    <t>49.04%</t>
  </si>
  <si>
    <t>RPYMS384X</t>
  </si>
  <si>
    <t>Cumplimiento de vacunación contra el virus del papiloma humano (VPH) en niños</t>
  </si>
  <si>
    <t>Proporción de niños de 9 años que registran al menos una dosis de vacuna contra VPH en el año vigente</t>
  </si>
  <si>
    <t>Masculino</t>
  </si>
  <si>
    <t>Numero de niños con:
Edad a la fecha de aplicación 9 años
Aplicación de al menos una dosis de VPH en el año vigente</t>
  </si>
  <si>
    <t>Total de niños (hombres) de 9 años
Dividido en 12 multiplicado por el mes a evaluar</t>
  </si>
  <si>
    <t>1- Modulo vacunación- Vacuna VPH (VPH_1, VPH_2, VPH_3)- Fecha válida
2- RIPS: CUPS: 993513</t>
  </si>
  <si>
    <t>Mujeres de 9 años
Registró de Vacunación contra VPH</t>
  </si>
  <si>
    <t xml:space="preserve">Población actual al mes a evaluar activos y nuevos 
Niños de 9 años
</t>
  </si>
  <si>
    <t>Nuevo esquema de vacunacion contra VPH que inicio en 2023</t>
  </si>
  <si>
    <t>40.21%</t>
  </si>
  <si>
    <t>42.16%</t>
  </si>
  <si>
    <t>RPYMS91X</t>
  </si>
  <si>
    <t>Cobertura de vacunación en mujeres en edad fértil</t>
  </si>
  <si>
    <t>Proporción de mujeres de 15 a 49 años que registran al menos una dosis de vacuna contra Tétanos</t>
  </si>
  <si>
    <t>Número de mujeres de 15 a 49 años 
Aplicación de al menos una dosis de TD o TT</t>
  </si>
  <si>
    <t>Total de mujeres de 15 a 49 años</t>
  </si>
  <si>
    <t>1- Modulo vacunación - Vacuna TD o TT o TOXOIDE TETANICO Y DIFTERICO (TD_1, TD_2, TD_3, TD_4, TD_5)- Fecha válida
2- RIPS: CUPS: 993105 -993107 - 993120</t>
  </si>
  <si>
    <t>Mujeres del denominador 
Registró de Vacunación contra TD o TT</t>
  </si>
  <si>
    <t>Población al mes a evaluar activos y nuevos
Mujeres de 15 a 49 años</t>
  </si>
  <si>
    <r>
      <rPr>
        <strike/>
        <sz val="10"/>
        <color theme="1"/>
        <rFont val="Calibri Light"/>
        <family val="2"/>
        <scheme val="major"/>
      </rPr>
      <t>Todo lo que cumpla en el numerador debe estar incluido en denominador</t>
    </r>
    <r>
      <rPr>
        <sz val="10"/>
        <color theme="1"/>
        <rFont val="Calibri Light"/>
        <family val="2"/>
        <scheme val="major"/>
      </rPr>
      <t xml:space="preserve">
Para el numerador en los indicadores de cobertura se toma la misma población del denominador (los del den que cumplan con la actividad)</t>
    </r>
  </si>
  <si>
    <t>se incrementa meta de cobertura teniendo enc uenta linea de base actual</t>
  </si>
  <si>
    <t>Cohorte Vacunación Adultos
1. Calcular edad a corte del periodo evaluar. Formula: =sifecha(FechaNacimiento;FechaCorte;"y")
2. Filtrar sexo femenino
3. Filtrar edad de 15 a 49 años
4. Sacar aplicaciones por cada una de las dosis (al menos 1 dosis)</t>
  </si>
  <si>
    <t>Cohorte Vacunación Adultos
1. Calcular edad a corte del periodo evaluar. Formula: =sifecha(FechaNacimiento;FechaCorte;"y")
2. Filtrar sexo femenino
3. Filtrar edad de 15 a 49 años</t>
  </si>
  <si>
    <t>48.22%</t>
  </si>
  <si>
    <t>55.67%</t>
  </si>
  <si>
    <t>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//05/03/2025 Se ajusta pobalcion numerador  y cohorte a validar. 11/02/2025 Se realiza eliminación de los 3 meses de afiliación.</t>
  </si>
  <si>
    <t>RPYMS92X</t>
  </si>
  <si>
    <t>Cobertura de vacunación en gestantes (TDaP)</t>
  </si>
  <si>
    <t>Proporción de gestantes de 26 semanas o mas que registran vacunacion con TDaP en los últimos 12 meses</t>
  </si>
  <si>
    <t>Número de gestantes que tienen 26 semanas o mas de gestación 
Aplicación de TDaP
Últimos 12 meses incluyendo mes evaluado</t>
  </si>
  <si>
    <t xml:space="preserve">Total de mujeres Gestantes que tienen 26 semanas o más de gestación </t>
  </si>
  <si>
    <t xml:space="preserve">1- Modulo de vacunación -  Vacuna TDaP - Fecha valida ultimo año
</t>
  </si>
  <si>
    <t xml:space="preserve">1- Res 202. 
Variable 14: Opción 1 
Variable 33: Fecha Probable de Parto: 
Edad gestacional Calculada: Fecha valida - fecha del último día del mes anterior al periodo evaluado para calcular la edad en semanas de gestación </t>
  </si>
  <si>
    <t>12 meses atrás incluyendo el mes a evaluar</t>
  </si>
  <si>
    <t>Gestacion Actual</t>
  </si>
  <si>
    <t>Población denominador
Registró de Vacunación contra TDaP en el ultimo año</t>
  </si>
  <si>
    <t>Variable:
Población actual al mes a evaluar activos y nuevos
Gestantes de 26 semanas o más</t>
  </si>
  <si>
    <t>Gestantes</t>
  </si>
  <si>
    <t>73.85%</t>
  </si>
  <si>
    <t>15/12/2025: se cambia a tablero de RPYMS, se ajusta programa, eyav // 12/12/2025 Sin modificación  6/02/2025 Se ajusta meta en calificación general y especial. 9/12/2024: Este indicador se pasa para el tablero de gestantes; sin embargo, el seguimiento de la vacunación se seguira haciendo desde la dos áreas, EYAV.</t>
  </si>
  <si>
    <t>RPYMS314X</t>
  </si>
  <si>
    <t>Cobertura en aplicación de Influenza en Gestantes</t>
  </si>
  <si>
    <t>Proporción de mujeres gestantes de 14 semanas o mas que registran vacunacion con influenza estacional en los últimos 12 meses</t>
  </si>
  <si>
    <t>Número de gestantes que tienen 14 semanas o mas de gestación 
Aplicación de Influenza Estacional
Últimos 12 meses incluyendo mes evaluado</t>
  </si>
  <si>
    <t xml:space="preserve">Total de mujeres Gestantes que tienen 14 semanas o más de gestación </t>
  </si>
  <si>
    <t>1- Modulo vacunación Adultos
* Vacuna: Influenza Estacional- Fecha válida
 * PAIWEB - PAI DISTRITAL
 *  * Plantilla  EPS Adultos
 * RIPS (Dosis únicas)</t>
  </si>
  <si>
    <t>12 meses atrás incluyendo el mes evaluado</t>
  </si>
  <si>
    <t>Gestantes de 14 semanas o más</t>
  </si>
  <si>
    <t>Población denominador
Registró de Vacunación contra Influenza en el ultimo año</t>
  </si>
  <si>
    <t>Variable:
Población actual al mes a evaluar activos y nuevos
Gestantes de 14 semanas o más</t>
  </si>
  <si>
    <t>67.32%</t>
  </si>
  <si>
    <t>78.69%</t>
  </si>
  <si>
    <t>RPYMS315X</t>
  </si>
  <si>
    <t>Cobertura vacunación COVID primera dosis en Gestantes</t>
  </si>
  <si>
    <t>Proporción de mujeres gestantes de 12 semanas o mas que registran vacunacion con alguna dosis de vacuna contra COVID 19</t>
  </si>
  <si>
    <t>Total de mujeres Gestantes que tienen 12 semanas o más de gestación con registro de primera dosis de vacunacion COVID</t>
  </si>
  <si>
    <t xml:space="preserve">Total de mujeres Gestantes que tienen 12 semanas o más de gestación </t>
  </si>
  <si>
    <t>Modulo de vacunacion general (consolidado Fuentes):
1 - PAIWEB 2.0
2 - Plantilla_vacunacion_Adultos
3 - informe_Pagos</t>
  </si>
  <si>
    <t xml:space="preserve">1- Res 202.
Variable 14: Opción 1
Variable 33: Fecha Probable de Parto:
Edad gestacional Calculada: Fecha valida - fecha del último día del mes anterior al periodo evaluado para calcular la edad en semanas de gestación </t>
  </si>
  <si>
    <t>Gestantes de 12 semanas o más</t>
  </si>
  <si>
    <t>Población denominador
Esquema de vacunación COVID primera dosis</t>
  </si>
  <si>
    <t>Población actual al mes a evaluar activos y nuevos
Gestantes EG:12 semanas y mas</t>
  </si>
  <si>
    <r>
      <t xml:space="preserve">Para el numerador en los indicadores de cobertura se toma la misma población del denominador (los del den que cumplan con la actividad)
</t>
    </r>
    <r>
      <rPr>
        <sz val="10"/>
        <color rgb="FFFF0000"/>
        <rFont val="Calibri Light"/>
        <family val="2"/>
        <scheme val="major"/>
      </rPr>
      <t xml:space="preserve">para el numerador son validas las causas de no aplicación de vacunacion (el nominal debe contener el comodin para identificar que la gestante fue gestionada) 
Ejemplo:
1805-01-01. No se realiza por una tradicion 
</t>
    </r>
  </si>
  <si>
    <t>65.11%</t>
  </si>
  <si>
    <t>70.78%</t>
  </si>
  <si>
    <t>12/12/2025  Se deja regla para el indicador en observaciones.  //15/10/2025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//9/12/2024: sin modificación.</t>
  </si>
  <si>
    <t>RPYMS316X</t>
  </si>
  <si>
    <t>Cobertura vacunación COVID en gestantes</t>
  </si>
  <si>
    <t>Proporción de mujeres gestantes de 12 semanas o mas que registran vacunacion esquema completo (2 dosis o 1 janssen) de vacunacion contra COVID 19</t>
  </si>
  <si>
    <t>Total de mujeres Gestantes que tienen 12 semanas o más de gestación con esquema completo de vacunacion COVID:
Registro aplicación 2 dosis o
Registro aplicación 1 dosis de vacuna Janssen</t>
  </si>
  <si>
    <t>Población denominador
Esquema de vacunación COVID completo</t>
  </si>
  <si>
    <t>Población al mes a evaluar activos y nuevos
Gestantes EG:12 semanas y mas</t>
  </si>
  <si>
    <t xml:space="preserve">SE CAMBIA INDICADOR A EVALUATIVO
Para el numerador en los indicadores de cobertura se toma la misma población del denominador (los del den que cumplan con la actividad)
para el numerador son validas las causas de no aplicación de vacunacion (el nominal debe contener el comodin para identificar que la gestante fue gestionada) 
Ejemplo:
1805-01-01. No se realiza por una tradicion </t>
  </si>
  <si>
    <t>Cohorte Vacunación Adultos
1. Calcular edad gestacional. Formula: =((280-(FPP-Fecha corte info))/7) (Edad gestacional Calculada: Fecha valida - fecha del último día del mes anterior al periodo evaluado para calcular la edad en semanas de gestación.)
2. Filtrar edad gestacional:  &gt;= 12 semanas
3. Filtrar de 2 dosis de COVID-19 (diferentes a Janssen) o 1 dosis de Janssen</t>
  </si>
  <si>
    <t>Cohorte Vacunación Adultos
1. Calcular edad gestacional. Formula: =((280-(FPP-Fecha corte info))/7) (Edad gestacional Calculada: Fecha valida - fecha del último día del mes anterior al periodo evaluado para calcular la edad en semanas de gestación.)
2. Filtrar edad gestacional:  &gt;= 12 semanas</t>
  </si>
  <si>
    <t>0.01%</t>
  </si>
  <si>
    <t>51.9%</t>
  </si>
  <si>
    <t>56.62%</t>
  </si>
  <si>
    <t>12/12/2025 Se ajusta meta disminuyendo del 70% al 60%.  //15/10/2025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//05/03/2025 Se ajusta indicador de medición pasa a ser Evaluativo y se ajusta puntajes con aval de la Jefe Elsa.</t>
  </si>
  <si>
    <t>RPYMS93X</t>
  </si>
  <si>
    <t>Cobertura de vacunación contra influenza estacional en adultos</t>
  </si>
  <si>
    <t>Proporción de personas de 60 años y mas que registran vacunación contra influenza en los últimos 12 meses</t>
  </si>
  <si>
    <t>Número de población afiliada de 60 años y mas
Aplicación de Influenza Estacional
Últimos 12 meses incluyendo mes evaluado</t>
  </si>
  <si>
    <t>1- Modulo de vacunación -  Vacuna Influenza - Fecha valida ultimo año
2- RIPS CUPS: 993510</t>
  </si>
  <si>
    <t>Población denominador
60 años y más
Registró de Vacunación contra Influenza estacional en el ultimo año</t>
  </si>
  <si>
    <t>Población al mes a evaluar activos y nuevos
60 años y más</t>
  </si>
  <si>
    <t>modificación del indicador del MSPS dado que solicita 1 consulta en cada grupo de edad definido para cumplir con el esquema, Nueva EPS lo define al menos 1 consulta en el grupo de edad definido.
Para el numerador en los indicadores de cobertura se toma la misma población del denominador (los del den que cumplan con la actividad)</t>
  </si>
  <si>
    <t>Se ajusta meta teniendo en cuenta disponibilidad de biologico a nivel nacional</t>
  </si>
  <si>
    <t>Cohorte Vacunameción Adultos
1. Calcular edad a corte del periodo evaluar. Formula: =sifecha(FechaNacimiento;FechaCorte;"y")
2. Filtrar edad &gt;= 60 años
3. Filtrar aplicación de influenza hasta 12 meses atrás (al menos una aplicación)</t>
  </si>
  <si>
    <t>Cohorte Vacunación Adultos
1. Calcular edad a corte del periodo evaluar. Formula: =sifecha(FechaNacimiento;FechaCorte;"y")
2. Filtrar edad &gt;= 60 años</t>
  </si>
  <si>
    <t>15.59%</t>
  </si>
  <si>
    <t>16.31%</t>
  </si>
  <si>
    <t>12/12/2025 Sin modificación  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//05/03/2025 Se ajusta nombre del indicador, poblacion denominador  y cohorte a validar, Se ajusta el puntaje.  11/02/2025 Se realiza eliminación de los 3 meses de afiliación.</t>
  </si>
  <si>
    <t>RPYMS317X</t>
  </si>
  <si>
    <t>Cobertura de aplicación de Influenza en Poblacion Priorizada</t>
  </si>
  <si>
    <t>Proporción de personas con patologias de riesgo que registran vacunación contra influenza en los últimos 12 meses</t>
  </si>
  <si>
    <t>Número de población afiliada con patologia de Riesgo
Aplicación de Influenza Estacional
Últimos 12 meses incluyendo mes evaluado</t>
  </si>
  <si>
    <t>Total de población con patologias de Riesgo:
EV01, EV02, EV03, EV07, EV08, EV09 
CIE10:
Obesidad Morbida: E66x con IMC calculado &gt;=40 (Mayores de 18 años)
Fibrosis quistica: E84x</t>
  </si>
  <si>
    <t>Usuarios con patologias de Riesgo</t>
  </si>
  <si>
    <t>Población denominador
Registró de Vacunación contra Influenza estacional en el ultimo año</t>
  </si>
  <si>
    <t xml:space="preserve">Población actual al mes a evaluar activos y nuevos
con patologias de riesgo
</t>
  </si>
  <si>
    <r>
      <rPr>
        <strike/>
        <sz val="10"/>
        <color theme="1"/>
        <rFont val="Calibri Light"/>
        <family val="2"/>
        <scheme val="major"/>
      </rPr>
      <t xml:space="preserve">Todo lo que cumpla en el numerador debe estar incluido en denominador
</t>
    </r>
    <r>
      <rPr>
        <sz val="10"/>
        <color theme="1"/>
        <rFont val="Calibri Light"/>
        <family val="2"/>
        <scheme val="major"/>
      </rPr>
      <t xml:space="preserve">
Para el numerador en los indicadores de cobertura se toma la misma población del denominador (los del den que cumplan con la actividad)</t>
    </r>
  </si>
  <si>
    <t>17.33%</t>
  </si>
  <si>
    <t>18.45%</t>
  </si>
  <si>
    <t>12/12/2025 Sin modificación  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//11/02/2025 Se realiza eliminación de los 3 meses de afiliación.</t>
  </si>
  <si>
    <t>RPYMS317AX</t>
  </si>
  <si>
    <t>Cobertura de aplicación de Influenza en Poblacion con EPOC</t>
  </si>
  <si>
    <t>Proporción de personas con EPOC que registran vacunación contra influenza en los últimos 12 meses</t>
  </si>
  <si>
    <t>Número de población afiliada con diagnostico de EPOC
Aplicación de Influenza Estacional
Últimos 12 meses incluyendo mes evaluado</t>
  </si>
  <si>
    <t xml:space="preserve">Total de población con diagnostico de EPOC
EV01
</t>
  </si>
  <si>
    <t xml:space="preserve">Total de población con diagnostico de EPOC
</t>
  </si>
  <si>
    <t>23.76%</t>
  </si>
  <si>
    <t>23.71%</t>
  </si>
  <si>
    <t>RPYMS317BX</t>
  </si>
  <si>
    <t>Cobertura de aplicación de Influenza en Poblacion con Artritis</t>
  </si>
  <si>
    <t>Proporción de personas con artritis que registran vacunación contra influenza en los últimos 12 meses</t>
  </si>
  <si>
    <t>Número de población afiliada con diagnostico de Artritis
Aplicación de Influenza Estacional
Últimos 12 meses incluyendo mes evaluado</t>
  </si>
  <si>
    <t xml:space="preserve">Total de población con diagnostico de Artritis
EV02
</t>
  </si>
  <si>
    <t xml:space="preserve">Total de población con diagnostico de Artritis
</t>
  </si>
  <si>
    <t>16.83%</t>
  </si>
  <si>
    <t>17.47%</t>
  </si>
  <si>
    <t>RPYMS317CX</t>
  </si>
  <si>
    <t>Cobertura de aplicación de Influenza en Poblacion con Cancer</t>
  </si>
  <si>
    <t>Proporción de personas con Cancer que registran vacunación contra influenza en los últimos 12 meses</t>
  </si>
  <si>
    <t>Número de población afiliada con diagnostico de Cancer
Aplicación de Influenza Estacional
Últimos 12 meses incluyendo mes evaluado</t>
  </si>
  <si>
    <t xml:space="preserve">Total de población con diagnostico de Cancer
EV03
</t>
  </si>
  <si>
    <t xml:space="preserve">Total de población con diagnostico de Cancer
</t>
  </si>
  <si>
    <t>15.07%</t>
  </si>
  <si>
    <t>15.75%</t>
  </si>
  <si>
    <t>RPYMS317DX</t>
  </si>
  <si>
    <t>Cobertura de aplicación de Influenza en Poblacion con Diabetes Mellitus</t>
  </si>
  <si>
    <t>Proporción de personas con Diabetes Mellitus que registran vacunación contra influenza en los últimos 12 meses</t>
  </si>
  <si>
    <t>Número de población afiliada con diagnostico de Diabetes Mellitus
Aplicación de Influenza Estacional
Últimos 12 meses incluyendo mes evaluado</t>
  </si>
  <si>
    <t xml:space="preserve">Total de población con diagnostico de Diabetes Mellitus
EV07
</t>
  </si>
  <si>
    <t xml:space="preserve">Total de población con diagnostico de Diabetes Mellitus
</t>
  </si>
  <si>
    <t>16.72%</t>
  </si>
  <si>
    <t>17.58%</t>
  </si>
  <si>
    <t>RPYMS317EX</t>
  </si>
  <si>
    <t>Cobertura de aplicación de Influenza en Poblacion con Enfermedad Renal Cronica</t>
  </si>
  <si>
    <t>Proporción de personas con ERC que registran vacunación contra influenza en los últimos 12 meses</t>
  </si>
  <si>
    <t>Número de población afiliada con diagnostico de ERC
Aplicación de Influenza Estacional
Últimos 12 meses incluyendo mes evaluado</t>
  </si>
  <si>
    <t xml:space="preserve">Total de población con diagnostico de Enfermedad Renal Cronica
EV08
</t>
  </si>
  <si>
    <t xml:space="preserve">Total de población con diagnostico de Enfermedad Renal Cronica
</t>
  </si>
  <si>
    <t>19.98%</t>
  </si>
  <si>
    <t>20.1%</t>
  </si>
  <si>
    <t>RPYMS317FX</t>
  </si>
  <si>
    <t>Cobertura de aplicación de Influenza en Poblacion con VIH</t>
  </si>
  <si>
    <t>Proporción de personas con VIH que registran vacunación contra influenza en los últimos 12 meses</t>
  </si>
  <si>
    <t>Número de población afiliada con diagnostico de VIH
Aplicación de Influenza Estacional
Últimos 12 meses incluyendo mes evaluado</t>
  </si>
  <si>
    <t xml:space="preserve">Total de población con diagnostico de VIH:
EV09
</t>
  </si>
  <si>
    <t xml:space="preserve">Total de población con diagnostico de VIH
</t>
  </si>
  <si>
    <t>21.34%</t>
  </si>
  <si>
    <t>36.85%</t>
  </si>
  <si>
    <t>RPYMS317GX</t>
  </si>
  <si>
    <t>Cobertura de aplicación de Influenza en Poblacion con Obesidad Morbida</t>
  </si>
  <si>
    <t>Proporción de personas con Obesidad Morbida que registran vacunación contra influenza en los últimos 12 meses</t>
  </si>
  <si>
    <t>Número de población afiliada con diagnostico de Obesidad Morbida
Últimos 12 meses incluyendo mes evaluado</t>
  </si>
  <si>
    <t xml:space="preserve">Total de población con diagnostico de Obesidad Morbida
CIE10: E66x con IMC calculado &gt;=40  (Mayores de 18 años)
</t>
  </si>
  <si>
    <t xml:space="preserve">Total de población con diagnostico de Obesidad Morbida
</t>
  </si>
  <si>
    <t>9.22%</t>
  </si>
  <si>
    <t>10.62%</t>
  </si>
  <si>
    <t>RPYMS317HX</t>
  </si>
  <si>
    <t>Cobertura de aplicación de Influenza en Poblacion con Fibrosis Quistica</t>
  </si>
  <si>
    <t>Proporción de personas con Fibrosis Quistica que registran vacunación contra influenza en los últimos 12 meses</t>
  </si>
  <si>
    <t>Número de población afiliada con diagnostico de Fibrosis Quistica
Aplicación de Influenza Estacional
Últimos 12 meses incluyendo mes evaluado</t>
  </si>
  <si>
    <t xml:space="preserve">Total de población con diagnostico de Fibrosis Quistica
CIE10: E84X
</t>
  </si>
  <si>
    <t xml:space="preserve">Total de población con diagnostico de Fibrosis Quistica
</t>
  </si>
  <si>
    <t>0%</t>
  </si>
  <si>
    <t>RPYMS317IX</t>
  </si>
  <si>
    <t>Cobertura de aplicación de Influenza en Poblacion con Hipertension Arterial</t>
  </si>
  <si>
    <t>Proporción de personas con HTA que registran vacunación contra influenza en los últimos 12 meses</t>
  </si>
  <si>
    <t>Número de población afiliada con diagnostico de Hipertension Aarterial
Aplicación de Influenza Estacional
Últimos 12 meses incluyendo mes evaluado</t>
  </si>
  <si>
    <t xml:space="preserve">Total de población con diagnostico de Hipertension Arterial
EV06
</t>
  </si>
  <si>
    <t xml:space="preserve">Total de población con diagnostico de Hipertension Arterial
</t>
  </si>
  <si>
    <t>16.14%</t>
  </si>
  <si>
    <t>17.03%</t>
  </si>
  <si>
    <t>12/12/2025 Sin modificación  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11/02/2025 Se realiza eliminación de los 3 meses de afiliación.</t>
  </si>
  <si>
    <t>RPYMS223X</t>
  </si>
  <si>
    <t>Cobertura vacunación COVID en población de 50 años y más</t>
  </si>
  <si>
    <t>Proporción de personas de 50 años y mas que registran esquema de vacunacion completa (2 Dosis ) contra COVID 19</t>
  </si>
  <si>
    <t>Número de usuarios de 50 años y más con esquema completo de vacunacion COVID
Registro aplicación 2 dosis
Registro aplicación 1 dosis de vacuna Janssen</t>
  </si>
  <si>
    <t xml:space="preserve">Total de población objeto de 50 años y más
</t>
  </si>
  <si>
    <t>Modulo de vacunacion general (consolidado Fuentes):
1 - PAIWEB 2.0
2 - Archivo Pagos 
3 - Registro de Vacunados y no Vacunados 
4 - Registro diario de vacunacion COVID* (solo aplica para estrategia de digitación)</t>
  </si>
  <si>
    <t>Población denominador
50 años y más
Esquema de vacunación COVID completo</t>
  </si>
  <si>
    <t xml:space="preserve">Población actual al mes a evaluar activos y nuevos
50 años y más
</t>
  </si>
  <si>
    <t>76.82%</t>
  </si>
  <si>
    <t>79.07%</t>
  </si>
  <si>
    <t>RPYMS224X</t>
  </si>
  <si>
    <t>Cobertura vacunación COVID en población general</t>
  </si>
  <si>
    <t>Proporción de personas de 6 meses y mas que registran esquema de vacunacion completa (2 Dosis ) contra COVID 19</t>
  </si>
  <si>
    <t>Número de usuarios de 6 meses y más con esquema completo de vacunacion COVID
Registro aplicación 2 dosis
Registro aplicación 1 dosis de vacuna Janssen</t>
  </si>
  <si>
    <t xml:space="preserve">Total de población objeto de 6 meses y más 
</t>
  </si>
  <si>
    <t>Población denominador
6 meses y más 
Esquema de vacunación COVID completo</t>
  </si>
  <si>
    <t xml:space="preserve">Población actual al mes a evaluar activos y nuevos
6 meses y más 
</t>
  </si>
  <si>
    <t>Vacunacion Adultos</t>
  </si>
  <si>
    <t>56.29%</t>
  </si>
  <si>
    <t>57.4%</t>
  </si>
  <si>
    <t>12/12/2025 Sin modificación  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//05/03/2025 Se ajusta indicador de medición pasa a ser Informativo con aval de la Jefe Elsa y se actualiza cohorte para validar. 11/02/2025 Se realiza eliminación de los 3 meses de afiliación.</t>
  </si>
  <si>
    <t>RPYMS318X</t>
  </si>
  <si>
    <t xml:space="preserve">Cobertura vacunación COVID primera dosis en poblacion general </t>
  </si>
  <si>
    <t>Proporción de personas de 6 meses y mas que registran aplicación de primera dosis contra COVID 19</t>
  </si>
  <si>
    <t>Número de usuarios de 6 meses y más con registro de primera dosis de vacunacion COVID</t>
  </si>
  <si>
    <t>Población denominador
6 meses y más 
Esquema de vacunación COVID primera dosis</t>
  </si>
  <si>
    <t>67.16%</t>
  </si>
  <si>
    <t>67.72%</t>
  </si>
  <si>
    <t>RPYMS319X</t>
  </si>
  <si>
    <t xml:space="preserve">Cobertura Refuerzo vacunación COVID en poblacion general </t>
  </si>
  <si>
    <t>Proporción de personas de 12 años y mas que registran aplicación de Refuerzo contra COVID 19</t>
  </si>
  <si>
    <t>Número de usuarios de 12 años y más
con vacunacion COVID:
Registro aplicación 2 dosis o Registro aplicación 1 dosis de vacuna Janssen
Registro aplicación 3 dosis o dosis de refuerzo</t>
  </si>
  <si>
    <t xml:space="preserve">Total de población objeto de 12 años y más
</t>
  </si>
  <si>
    <t>Población denominador
Esquema de vacunación COVID completo + Refuerzo</t>
  </si>
  <si>
    <t xml:space="preserve">Población actual al mes a evaluar activos y nuevos
12 años y más
</t>
  </si>
  <si>
    <t>24.84%</t>
  </si>
  <si>
    <t>25.18%</t>
  </si>
  <si>
    <t>RPYMS320X</t>
  </si>
  <si>
    <t>Cobertura Segundo Refuerzo vacunación COVID en poblacion general</t>
  </si>
  <si>
    <t>Proporción de personas de 12 años y mas que registran aplicación de Segundo Refuerzo contra COVID 19</t>
  </si>
  <si>
    <t>Número de usuarios de 12 años y más
Registro aplicación 2 dosis o Registro aplicación 1 dosis de vacuna Janssen
Registro aplicación 3 dosis o dosis de refuerzo
Registro aplicación 4 dosis o dosis de 2 Refuerzo de vacunacion contra COVID 19</t>
  </si>
  <si>
    <t>Población denominador
Esquema de vacunación COVID completo + Refuerzo 2</t>
  </si>
  <si>
    <t>3.06%</t>
  </si>
  <si>
    <t>3.16%</t>
  </si>
  <si>
    <t>RPYMS321X</t>
  </si>
  <si>
    <t>Cumplimiento de aplicacion de Segunda Dosis de vacunación contra COVID en poblacion general</t>
  </si>
  <si>
    <t>Proporción de personas de 3 años y mas con aplicación de primera dosis (diferente Janssen) que registran aplicación de segunda dosis contra COVID 19</t>
  </si>
  <si>
    <t>Total de población objeto de 6 meses y más 
Con reporte de aplicación de Primera dosis (Diferente a Jannsen)
Con reporte de aplicación de Segunda Dosis</t>
  </si>
  <si>
    <t xml:space="preserve">Total de población objeto de 6 meses y más 
Con reporte de aplicación de Primera dosis (Diferente a Jannsen)
</t>
  </si>
  <si>
    <t>6 meses y más 
Esquema de vacunación COVID completo</t>
  </si>
  <si>
    <t xml:space="preserve">Población actual al mes a evaluar activos y nuevos
6 meses y más 
con primera dosis diferente a Janssen
</t>
  </si>
  <si>
    <t>80.47%</t>
  </si>
  <si>
    <t>81.25%</t>
  </si>
  <si>
    <t>12/12/2025 Sin modificación 11/02/2025 Se realiza eliminación de los 3 meses de afiliación.</t>
  </si>
  <si>
    <t>RPYMS377X</t>
  </si>
  <si>
    <t>Cobertura esquema completo de Hepatitis B</t>
  </si>
  <si>
    <t>proporcion de personas de 18 años o mas, en condicion de vulnerabilidad para Hepatitis B y sin registro de prueba de hepatitis B "positiva", que registran esquema completo de vacunación contra hepatitis B</t>
  </si>
  <si>
    <t>Número de población afiliada clasificada como poblacion vulnerable o Indigena con 3 dosis de vacuna contra hepatitis B</t>
  </si>
  <si>
    <t xml:space="preserve">Total de población de 18 años y más clasificada como poblacion Vulnerable o Indigena con resultado de tamizaje de Hepatitis B: Negativo - Sin dato
</t>
  </si>
  <si>
    <t>1- Modulo vacunación Adultos
* Vacuna: Hepatitis B adultos 3 dosis- Fecha válida
 * PAIWEB - PAI DISTRITAL
 *  * Plantilla  EPS Adultos
 * RIPS (Dosis únicas)</t>
  </si>
  <si>
    <t>Base de datos de población Vulnerable o Indigena 
Resultado 202 - variable 79: 5 o 21</t>
  </si>
  <si>
    <t>Población denominador
Registró de Vacunación contra Hepatitis B Adulto esquema completo</t>
  </si>
  <si>
    <t xml:space="preserve">Población actual al mes a evaluar activos y nuevos
poblacion Vulnerable e indigena
</t>
  </si>
  <si>
    <t>Poblacion con Resultado 202 - variable 79: 4</t>
  </si>
  <si>
    <t>0.53%</t>
  </si>
  <si>
    <t>1.08%</t>
  </si>
  <si>
    <t>RPYMS378X</t>
  </si>
  <si>
    <t>Cobertura aplicación de Hepatitis B</t>
  </si>
  <si>
    <t>proporcion de personas de 18 años o mas, en condicion de vulnerabilidad para Hepatitis B y sin registro de prueba de hepatitis B "positiva", que registran esquema cal menos 1 dosis de vacunación contra hepatitis B</t>
  </si>
  <si>
    <t>Número de población afiliada clasificada como poblacion vulnerable o Indigena con al menos 1 dosis de vacuna contra hepatitis B</t>
  </si>
  <si>
    <t>1- Modulo vacunación Adultos
* Vacuna: Hepatitis B adultos- Fecha válida
 * PAIWEB - PAI DISTRITAL
 *  * Plantilla  EPS Adultos
 * RIPS (Dosis únicas)</t>
  </si>
  <si>
    <t>Población denominador
Registró de Vacunación contra Hepatitis B Adulto</t>
  </si>
  <si>
    <t>4.29%</t>
  </si>
  <si>
    <t>5.46%</t>
  </si>
  <si>
    <t>RPYMS379X</t>
  </si>
  <si>
    <t>Cumplimiento aplicación primera dosis de Hepatitis B</t>
  </si>
  <si>
    <t>proporcion de personas de 18 años o mas, en condicion de vulnerabilidad para Hepatitis B y sin registro de prueba de hepatitis B "positiva", sin dosis en años previos, que registran esquema completo de vacunación contra hepatitis B, durante el año vigente</t>
  </si>
  <si>
    <t>Número de población afiliada clasificada como poblacion vulnerable o Indigena con  1 dosis de vacuna contra hepatitis B año vigente</t>
  </si>
  <si>
    <t xml:space="preserve">Total de población de 18 años y más clasificada como poblacion Vulnerable o Indigena  con resultado de tamizaje de Hepatitis B: Negativo - Sin dato
sin registro de ninguna vacuna en años previos
</t>
  </si>
  <si>
    <t>1- Modulo vacunación Adultos
* Vacuna: Hepatitis B adultos 1 dosis- Fecha válida
 * PAIWEB - PAI DISTRITAL
 *  * Plantilla  EPS Adultos
 * RIPS (Dosis únicas)</t>
  </si>
  <si>
    <t>0.42%</t>
  </si>
  <si>
    <t>RPYMS380X</t>
  </si>
  <si>
    <t>Cumplimiento aplicación segunda dosis de Hepatitis B</t>
  </si>
  <si>
    <t>proporcion de personas de 18 años o mas, en condicion de vulnerabilidad para Hepatitis B y sin registro de prueba de hepatitis B "positiva", sin 2,3 o Refuerzo en años previos, que registran esquema completo de vacunación contra hepatitis B, durante el año vigente</t>
  </si>
  <si>
    <t>Número de población afiliada clasificada como poblacion vulnerable o Indigena con  2 dosis de vacuna contra hepatitis B año vigente</t>
  </si>
  <si>
    <t xml:space="preserve">Total de población de 18 años y más clasificada como poblacion Vulnerable o Indigena con resultado de tamizaje de Hepatitis B: Negativo - Sin dato
Sin registro de 2 o 3 dosis o ref en años previos
</t>
  </si>
  <si>
    <t>1- Modulo vacunación Adultos
* Vacuna: Hepatitis B adultos 2 dosis- Fecha válida
 * PAIWEB - PAI DISTRITAL
 *  * Plantilla  EPS Adultos
 * RIPS (Dosis únicas)</t>
  </si>
  <si>
    <t>1.62%</t>
  </si>
  <si>
    <t>3.41%</t>
  </si>
  <si>
    <t>12/12/2025 Sin modificación  11/02/2025 Se realiza eliminación de los 3 meses de afiliación.</t>
  </si>
  <si>
    <t>RPYMS381X</t>
  </si>
  <si>
    <t>Cumplimiento aplicación tercera dosis de Hepatitis B</t>
  </si>
  <si>
    <t>proporcion de personas de 18 años o mas, en condicion de vulnerabilidad para Hepatitis B y sin registro de prueba de hepatitis B "positiva", sin 3 o Refuerzo en años previos, que registran esquema completo de vacunación contra hepatitis B, durante el año vigente</t>
  </si>
  <si>
    <t>Número de población afiliada clasificada como poblacion vulnerable o Indigena con  3 dosis de vacuna contra hepatitis B año vigente</t>
  </si>
  <si>
    <t xml:space="preserve">Total de población de 18 años y más clasificada como poblacion Vulnerable o Indigena con resultado de tamizaje de Hepatitis B: Negativo - Sin dato
Sin registro de 3 dosis o ref en años previos
</t>
  </si>
  <si>
    <t>1- Modulo vacunación Adultos
* Vacuna: Hepatitis B adultos 3dosis- Fecha válida
 * PAIWEB - PAI DISTRITAL
 *  * Plantilla  EPS Adultos
 * RIPS (Dosis únicas)</t>
  </si>
  <si>
    <t>2.01%</t>
  </si>
  <si>
    <t>2.88%</t>
  </si>
  <si>
    <t>RPYMS382X</t>
  </si>
  <si>
    <t>Cumplimiento aplicación Refuerzo de Hepatitis B</t>
  </si>
  <si>
    <t>proporcion de personas de 18 años o mas, en condicion de vulnerabilidad para Hepatitis B y sin registro de prueba de hepatitis B "positiva", sin Refuerzo en años previos, que registran esquema completo de vacunación contra hepatitis B, durante el año vigente</t>
  </si>
  <si>
    <t>Número de población afiliada clasificada como poblacion vulnerable o Indigena con refuerzo de vacuna contra hepatitis B año vigente</t>
  </si>
  <si>
    <t xml:space="preserve">Total de población de 18 años y más clasificada como poblacion Vulnerable o Indigena con resultado de tamizaje de Hepatitis B: Negativo - Sin dato
Sin registro de dosis de refuerzo en años previos
</t>
  </si>
  <si>
    <t>1- Modulo vacunación Adultos
* Vacuna: Hepatitis B adultos refuerzo- Fecha válida
 * PAIWEB - PAI DISTRITAL
 *  * Plantilla  EPS Adultos
 * RIPS (Dosis únicas)</t>
  </si>
  <si>
    <t>RPYMS12X</t>
  </si>
  <si>
    <t>Cobertura de consulta para la promoción y apoyo de la lactancia materna en niños menores de 2 meses de edad</t>
  </si>
  <si>
    <t>Proporción de Niños de 0 a 2 meses que registran asesoría de lactancia materna antes de los 2 meses</t>
  </si>
  <si>
    <t>Lactancia Materna</t>
  </si>
  <si>
    <t>Asesoría Lactancia materna</t>
  </si>
  <si>
    <t xml:space="preserve">Número de niños y niñas que recibieron consulta para la promoción y apoyo de la lactancia materna entre 0 a 2 meses de nacido.
Edad a la asesoría: entre 0 a 1 meses
Edad a la fecha de corte: 0 a 2 meses </t>
  </si>
  <si>
    <t>Total de población de 0 a 2 meses  de edad</t>
  </si>
  <si>
    <t xml:space="preserve">1- Res 202 - Variable 51: Fecha valida </t>
  </si>
  <si>
    <t>3 meses atrás incluyendo el mes a evaluar</t>
  </si>
  <si>
    <t xml:space="preserve">Población denominador
Edad a la consulta de 0 a 1 meses </t>
  </si>
  <si>
    <t xml:space="preserve">Población actual al mes a evaluar activos y nuevos 
 Edad: 0 a 2 meses </t>
  </si>
  <si>
    <t xml:space="preserve">De acuerdo a los indicadores de la RPYMS, se debe validar las asesorías en lactancia materna en los menores de 2 meses (0 a 1 mes), sin embargo teniendo en cuenta los periodos de corte y reporte de la información el denominador se calcula a niños de 0 a 2 meses, según la información reportada por Res202; Nota: No se tienen en cuenta la edad a la fecha de afiliación, por % de la meta </t>
  </si>
  <si>
    <t>Cohorte Primera Infancia
1. Calcular edad a corte del periodo evaluar. Formula: =sifecha(FechaNacimiento;FechaCorte;"m")
2. Filtrar edad de 0 a 2 meses
3. Calcular edad a la fecha de asesoria de LM. Formula: =sifecha(FechaNacimiento;FechaasesoriaLM;"m")
4. Filtrar edad a la asesoria LM 0-1 meses</t>
  </si>
  <si>
    <t>Cohorte Primera Infancia
1. Calcular edad a corte del periodo evaluar. Formula: =sifecha(FechaNacimiento;FechaCorte;"m")
2. Filtrar edad de 0 a 2 meses</t>
  </si>
  <si>
    <t>35.18%</t>
  </si>
  <si>
    <t>25.23%</t>
  </si>
  <si>
    <t>12/12/2025 Sin modificación  31/12/2024 De acuerdo al anexo 3 de la Resolucion 02717 del 2024 Ajuste UPC - la meta para ese indicador es del 7,37% y NEPS esta en el 30% según cumplimiento año 2024, se deja.</t>
  </si>
  <si>
    <t>RPYMS64X</t>
  </si>
  <si>
    <t>Cobertura de consulta para la promoción y apoyo de la lactancia materna en niños menores de 6 meses de edad</t>
  </si>
  <si>
    <t>Proporción de Niños de 0 a 7 meses que registran asesoría de lactancia materna hasta los 6 meses</t>
  </si>
  <si>
    <t xml:space="preserve">Número de niños y niñas que recibieron consulta para la promoción y apoyo de la lactancia materna entre 0 a 6 meses de nacido
Edad a la asesoría: entre 0 a 6 meses
Edad a la fecha de corte: 0 a 7 meses </t>
  </si>
  <si>
    <t>Total de población de 0 a 7 meses  de edad</t>
  </si>
  <si>
    <t>7 meses atrás incluyendo el mes a evaluar</t>
  </si>
  <si>
    <t xml:space="preserve">Población denominador
Edad a la consulta de 0 a 6 meses </t>
  </si>
  <si>
    <t xml:space="preserve">Población actual al mes a evaluar activos y nuevos 
 Edad: 0 a 7 meses </t>
  </si>
  <si>
    <t xml:space="preserve">Nota: No se tienen en cuenta la edad a la fecha de afiliación, por % de la meta </t>
  </si>
  <si>
    <t>53.37%</t>
  </si>
  <si>
    <t>50.78%</t>
  </si>
  <si>
    <t>12/12/2025 Sin modificación  31/12/2024 De acuerdo al anexo 3 de la Resolucion 02717 del 2024 Ajuste UPC - la meta para ese indicador es del 7,37% y NEPS esta en el 50% según cumplimiento año 2024, se deja.</t>
  </si>
  <si>
    <t>RPYMS71X</t>
  </si>
  <si>
    <t>Cobertura de lactancia materna exclusiva hasta los 6 meses</t>
  </si>
  <si>
    <t>Proporción de niños de 6 a 7 meses que registran lactancia materna exclusiva hasta los 5  meses</t>
  </si>
  <si>
    <t>Lactancia materna</t>
  </si>
  <si>
    <t xml:space="preserve">Número de niños y niñas que recibieron lactancia materna exclusiva de 5 a 6 meses.
Edad lactancia materna exclusiva: entre 5 a 6 meses
Edad a la fecha de corte: 6 a 7 meses </t>
  </si>
  <si>
    <t>Total de población de 6 a 7 meses  de edad</t>
  </si>
  <si>
    <t xml:space="preserve"> 1_Datos adicionales:  EDAD_LACTANCIA_EXC</t>
  </si>
  <si>
    <t xml:space="preserve">Población denominador
Edad de lactancia materna Exclusiva de 5 a 6 meses </t>
  </si>
  <si>
    <t xml:space="preserve">Población actual al mes a evaluar activos y nuevos 
 Edad: 6 a 7 meses </t>
  </si>
  <si>
    <t>RPYMS3X</t>
  </si>
  <si>
    <t>Proporción de niñas y niños menores de un año con valoración antropométrica</t>
  </si>
  <si>
    <t>Proporción de personas menores de 1 año que registran valoración nutricional (peso y talla) según esquema de atención definido</t>
  </si>
  <si>
    <t>Salud Nutricional</t>
  </si>
  <si>
    <t>Peso - Talla</t>
  </si>
  <si>
    <t>Número de niñas y niños menores de 1 año (de 0 a 11 meses), a los que se les realizó valoración antropométrica (peso, talla). En su subgrupo de edad  actual de consulta o en el  subgrupo inmediatamente anterior. A continuación se describen los subgrupos: 
Edad corte: 0 a 1 mes - Edad P/T: 0 a 1 mes
Edad corte: 2 a 3 meses - Edad P/T: 0 a 3 meses
Edad corte: 4 a 5 meses - Edad P/T: 2 a 5 meses
Edad corte: 6 a 8 meses - Edad P/T: 4 a 8 meses
Edad corte: 9 a 11 meses - Edad P/T: 6 a 11 meses</t>
  </si>
  <si>
    <t>Total de población de 0 a 11 meses (menor a 1 año).</t>
  </si>
  <si>
    <t>1- Res 202. 
Peso: Variable 29: fecha valida + variable 30: dato obtenido
Talla: Variable 31: fecha valida + variable 32: dato obtenido 
Edad se calcula a la Fecha del peso</t>
  </si>
  <si>
    <t>población del denominador
toma de Peso y talla en su subgrupo o en subgrupo anterior.</t>
  </si>
  <si>
    <t>Se debe cumplir con la edad al momento de la consulta y la edad al momento del periodo a evaluar</t>
  </si>
  <si>
    <t>1. Insertar una columna para calcular la edad en meses y al lado de la variable Fecha_Peso, insertar columna y calcular la "edad a la fecha del peso" en la cohorte de primera infancia o cohorte de población actual que tambien tiene el dato.
2. En la variable fecha_peso, realizar retrospectivo de 12 meses atrás incluyendo el mes a evaluar 
3. Hacer el filtro de la edad por rango de edades segun la descripción que esta en la definición del numerador por los esquemas y luego tomar la edad a la fecha del peso, eje: 0 a 1 mes y luego ver edad al peso (actividad) que debe ser entre 0 y 1 mes .... y así hacer uno a uno por cada subgrupo. La actividad debe estar en el rango de edad.
Como sugerencia al final de la base de validación, agregar la variable denominada "numerador" e ir marcado todos los casos en entrarían para la medición segun la edad.</t>
  </si>
  <si>
    <t>1. De la cohorte de primera infancia o base de población actual, filtrar por edad de 0 a 11 meses
Como sugerencia al final de la base de validación, agregar la variable "denominador" e ir marcado todos los casos en entrarían en la medición.</t>
  </si>
  <si>
    <t>Cohorte poblacion actual o Primera Infancia</t>
  </si>
  <si>
    <t>64.03%</t>
  </si>
  <si>
    <t>68.37%</t>
  </si>
  <si>
    <t>15/12/2025: se modifiCa meta y puntaje, eyav // 12/12/2025 Sin modificación  9/12/2024: sin modificación</t>
  </si>
  <si>
    <t>RPYMS4X</t>
  </si>
  <si>
    <t>Proporción de niñas y niños en primera infancia con valoración antropométrica</t>
  </si>
  <si>
    <t>Proporción de personas de 1 a 5 años que registran valoración nutricional (peso y talla) según esquema de atención definido</t>
  </si>
  <si>
    <t>Número de niñas y niños de 1 a 5 años, a los que se les realizó valoración antropométrica (peso, talla), en su subgrupo de edad  actual de consulta o en el  subgrupo inmediatamente anterior. A continuación se describen los subgrupos: 
Edad corte: 12 a 17 meses - Edad P/T: 9 a 17 meses
Edad corte: 18 a 23 meses - Edad P/T: 12 a 23 meses
Edad corte: 24 a 29 meses - Edad P/T: 18 a 29 meses
Edad corte: 30 a 35 meses - Edad P/T: 24 a 35 meses
Edad corte: 36 a 47 meses (3 años) - Edad P/T: 30 a 47 meses
Edad corte: 48 a 59 meses (4 años) - Edad P/T: 36 a 59 meses
Edad corte: 60 a 71 meses (5 años) - Edad P/T: 48 a 71 meses</t>
  </si>
  <si>
    <t xml:space="preserve">Total de población de 1 a 5 años
</t>
  </si>
  <si>
    <t>1- Res 202. 
Peso: Variable 29: fecha valida  + variable 30: dato obtenido
Talla: Variable 31: fecha valida  + variable 32: dato obtenido 
Edad se calcula a la Fecha del peso</t>
  </si>
  <si>
    <r>
      <t xml:space="preserve">1. Insertar una columna para calcular la edad en meses y al lado de la variable Fecha de Peso, insertar columna y calcular la edad a la fecha del peso en meses en la cohorte de primera infancia o cohorte de población actual que tambien tiene el dato.
2. Hacer el filtro de la edad por rango de edades segun la descripción que esta en la definición del numerador por los esquemas y luego tomar la edad a la fecha del peso </t>
    </r>
    <r>
      <rPr>
        <b/>
        <sz val="10"/>
        <color theme="1"/>
        <rFont val="Calibri Light"/>
        <family val="2"/>
        <scheme val="major"/>
      </rPr>
      <t>que se calcula entre la fecha de nacimiento y la fecha del registro del  peso</t>
    </r>
    <r>
      <rPr>
        <sz val="10"/>
        <color theme="1"/>
        <rFont val="Calibri Light"/>
        <family val="2"/>
        <scheme val="major"/>
      </rPr>
      <t>, eje: 12 a 17 mes y luego ver edad al peso (actividad) que debe ser entre  9 y 17 meses.... 
3. Y así hacer uno a uno los filtros del punto 2 por cada subgrupo de edad, teniendo en cuenta que siempre la actividad debe estar en el rango de edad.
Como sugerencia al final de la base de validación, agregar la variable "numerador" e ir marcado todos los casos en entrarían para la medición.</t>
    </r>
  </si>
  <si>
    <t>1. De la cohorte de primera infancia o base de población actual, filtrar por edad de 1 a 5 años
Como sugerencia al final de la base de validación, agregar la variable denominador e ir marcado todos los casos en entrarían</t>
  </si>
  <si>
    <t>80.01%</t>
  </si>
  <si>
    <t>80.25%</t>
  </si>
  <si>
    <t>15/12/2025: se ajusta puntaje, eyav//  07/02/2025 Se realiza eliminación de los 3 meses de afiliación.</t>
  </si>
  <si>
    <t>RPYMS5X</t>
  </si>
  <si>
    <t>Proporción de niñas y niños en infancia con valoración antropométrica</t>
  </si>
  <si>
    <t>Proporción de personas de 6 a 11 años que registran valoración nutricional (peso y talla) según esquema de atención definido</t>
  </si>
  <si>
    <t>Número de niñas y niños de 6 a 11 años, 
P/T: 6 a 11 años, 
Que se les realizó valoración antropométrica (peso, talla) en los últimos 12 meses</t>
  </si>
  <si>
    <t xml:space="preserve">Total de población de 6 a 11 años
</t>
  </si>
  <si>
    <t>Población denominador
Consulta 12 meses atrás
Fecha al Peso/Talla de 6 a 11 años</t>
  </si>
  <si>
    <t>Se debe cumplir con la edad al momento de la consulta y la edad al momento del periodo a evaluar. Generar la edad al corte; luego generar la edad a la fecha de la consulta y los que cumplan van al numerador</t>
  </si>
  <si>
    <t>1. Poblacion del denominador
2. Revisar que la variable fecha del peso, sea en los ultimos 12 meses atrás incluyendo el mes a evaluar 
3. Hacer el filtro de la edad entre 6 y 11 años y filtrar la edad al peso (actividad) que debe ser entre 6 a 11 años.
Como sugerencia al final de la base de validación, agregar la variable "numerador "e ir marcado todos los casos en entrarían para la medición.</t>
  </si>
  <si>
    <t>1. De la cohorte de infancia o base de población actual, filtrar por edad de 6 a 11 años
Como sugerencia al final de la base de validación, agregar la variable denominador e ir marcado todos los casos en entrarían</t>
  </si>
  <si>
    <t>Cohorte poblacion actual o Infancia</t>
  </si>
  <si>
    <t>50.02%</t>
  </si>
  <si>
    <t>48.8%</t>
  </si>
  <si>
    <t>15/12/2025: Se ajusta meta y puntaje, eyav // 12/12/2025 Sin modificación  07/02/2025 Se realiza eliminación de los 3 meses de afiliación.</t>
  </si>
  <si>
    <t>RPYMS6X</t>
  </si>
  <si>
    <t>Proporción de adolescentes con valoración antropométrica</t>
  </si>
  <si>
    <t>Proporción de personas de 12 a 17 años que registran valoración nutricional (peso y talla) según esquema de atención definido</t>
  </si>
  <si>
    <t>Número de adolescentes de 12 a 17 años
P/T: 12 a 17 años,
Que se les realizó valoración antropométrica (peso, talla) en los últimos 12 meses</t>
  </si>
  <si>
    <t xml:space="preserve">Total de población de 12 a 17 años
</t>
  </si>
  <si>
    <t>Población denominador
Consulta 12 meses atrás
Fecha al Peso/Talla de 12 a 17 años</t>
  </si>
  <si>
    <t xml:space="preserve">Total de población de 12 a 17 años
</t>
  </si>
  <si>
    <t>1. Poblacion del denominador
2. Revisar que la variable fecha del peso, sea en los ultimos 12 meses atrás incluyendo el mes a evaluar 
3. Hacer el filtro de la edad entre 12  y 17 años y filtrar la edad al peso (actividad) que debe ser entre 12 a 17 años.
Como sugerencia al final de la base de validación, agregar la variable "numerador "e ir marcado todos los casos en entrarían para la medición.</t>
  </si>
  <si>
    <t>1. De la cohorte de adolescencia o base de población actual, filtrar por edad de 12 a 17 años
Como sugerencia al final de la base de validación, agregar la variable denominador e ir marcado todos los casos en entrarían</t>
  </si>
  <si>
    <t>Cohorte poblacion actual o Adolescencia</t>
  </si>
  <si>
    <t>49.47%</t>
  </si>
  <si>
    <t>12/12/2025 Sin modificación  07/02/2025 Se realiza eliminación de los 3 meses de afiliación. 19/12/2024: Se cambia a informativo</t>
  </si>
  <si>
    <t>RPYMS7X</t>
  </si>
  <si>
    <t>Proporción de jóvenes con valoración antropométrica</t>
  </si>
  <si>
    <t>Proporción de personas de 18 a 28 años que registran valoración nutricional (peso y talla) según esquema de atención definido</t>
  </si>
  <si>
    <t>Número de jóvenes de 18 a 28 años, a los que se les realizó valoración antropométrica (peso, talla), al menos una vez en el periodo, así:
Edad corte: 18 a 23 años - Edad P/T: 18 a 23 años
Edad corte: 24 a 28 años - Edad P/T: 24 a 28 años
Nota: Se evalúa valoración antropométrica en el subgrupo en el que se encuentre el usuario</t>
  </si>
  <si>
    <t xml:space="preserve">Total de población de 18 a 28 años
</t>
  </si>
  <si>
    <t>Población denominador
Edad 18 a 23 años  y Fecha al Peso/Talla de 18 a 23 años
Edad 24 a 28 años  y Fecha al Peso/Talla de 24 a 28 años</t>
  </si>
  <si>
    <t>Se realiza validación de frecuencias de toma de peso y talla 1 vez durante el rango de edad en que se encuentre el usuario:
1. 18 a 23 años: 1 vez 
2. 24 a 28 años: 1 vez
Se debe cumplir con la edad al momento de la consulta y la edad al momento del periodo a evaluar. Generar la edad al corte; luego generar la edad a la fecha de la consulta y los que cumplan van al numerador</t>
  </si>
  <si>
    <t>1. Poblacion del denominador
2. Hacer el filtro de la edad primero entre 18 y 23 años, al lado de la variable Fecha_Peso, insertar columna para calcular la edad a la fecha del peso en AÑOS y filtrar la edad al peso (actividad) que debe estar tambien entre 18 y 23 años e ir marcando estos casos para el numerador
3. Luego, hacer el filtro de la edad primero entre 24 y 28 años y filtrar la edad al peso (actividad) que debe estar tambien entre 24 y 28 años e ir marcando estos casos para el numerador
Como sugerencia al final de la base de validación, agregar la variable "numerador "e ir marcado todos los casos en entrarían para la medición.</t>
  </si>
  <si>
    <t>1. De la cohorte de juventud o base de población actual, filtrar por edad de 18 a 28 años
Como sugerencia al final de la base de validación, agregar la variable "denominador" e ir marcado todos los casos en entrarían para la medición.</t>
  </si>
  <si>
    <t>Cohorte poblacion actual o Juventud</t>
  </si>
  <si>
    <t>58.17%</t>
  </si>
  <si>
    <t>58.01%</t>
  </si>
  <si>
    <t>15/12/2025: se modifica meta y puntaje, eyav //  07/02/2025 Se realiza eliminación de los 3 meses de afiliación.</t>
  </si>
  <si>
    <t>RPYMS8X</t>
  </si>
  <si>
    <t>Proporción de adultos con valoración antropométrica</t>
  </si>
  <si>
    <t>Proporción de personas de 29 a 59 años que registran valoración nutricional (peso y talla) según esquema de atención definido</t>
  </si>
  <si>
    <t>Número de adultos de 29 a 59 años, a los que se les realizó al menos una valoración antropométrica (peso, talla), en su subgrupo de edad actual o en el subgrupo inmediatamente anterior, así:
Edad corte: 29 a 34 años - Edad P/T: 29 a 34 años
Edad corte: 35 a 39 años - Edad P/T: 29 a 39 años
Edad corte: 40 a 44 años - Edad P/T: 35 a 44 años
Edad corte: 45 a 49 años - Edad P/T: 40 a 49 años
Edad corte: 50 a 52 años - Edad P/T: 45 a 52 años
Edad corte: 53 a 55 años - Edad P/T: 50 a 55 años
Edad corte: 56 a 59 años - Edad P/T: 53 a 59 años</t>
  </si>
  <si>
    <t xml:space="preserve">Total de población de 29 a 59 años
</t>
  </si>
  <si>
    <t>población del denominador toma de Peso y talla en su subgrupo o en subgrupo anterior.</t>
  </si>
  <si>
    <t>Total de población de 29 a 59 años</t>
  </si>
  <si>
    <t>1. Población del denominador
2. Insertar una columna al lado de la variable Fecha_Peso, que se denomine "edad a la fecha del peso EN AÑOS" en la cohorte de primera de adultez o en la cohorte de población actual que tambien tiene el dato.
3. Hacer el filtro de la edad por rango de edades segun la descripción que esta en la definición del numerador por los esquemas: Ejemplo: tomar la edad a la fecha del peso de 29 a 34 años y luego ver edad al peso (actividad) que debe ser entre 29 y 34 años .... y así hacer uno a uno por cada subgrupo. La actividad debe estar en el rango de edad.
Como sugerencia al final de la base de validación, agregar la variable denominada "numerador" e ir marcado todos los casos en entrarían para la medición.</t>
  </si>
  <si>
    <t>1. De la cohorte de adultez o base de población actual, filtrar por edad de 29 a 59 años
Como sugerencia al final de la base de validación, agregar la variable denominador e ir marcado todos los casos en entrarían</t>
  </si>
  <si>
    <t>Cohorte poblacion actual o Adultez</t>
  </si>
  <si>
    <t>70.53%</t>
  </si>
  <si>
    <t>72.32%</t>
  </si>
  <si>
    <t>15/12/2025: se aumenta puntaje, eyav //  07/02/2025 Se realiza eliminación de los 3 meses de afiliación.</t>
  </si>
  <si>
    <t>RPYMS9X</t>
  </si>
  <si>
    <t>Proporción de personas en la vejez con valoración antropométrica</t>
  </si>
  <si>
    <t>Proporción de personas de 60 años y mas que registran valoración nutricional (peso y talla) según esquema de atención definido</t>
  </si>
  <si>
    <t>Número de adultos de 60 años y más, a los que se les realizó al menos una valoración antropométrica (peso, talla), en su subgrupo de edad actual o en el subgrupo inmediatamente anterior, así:
Edad corte: 60 a 62 años - Edad P/T: 60 a 62 años
Edad corte: 63 a 65 años - Edad P/T: 60 a 65 años
Edad corte: 66 a 68 años - Edad P/T: 63 a 68 años
Edad corte: 69 a 71 años - Edad P/T: 66 a 71 años
Edad corte: 72 a 74 años - Edad P/T: 69 a 74 años
Edad corte: 75 a 77 años - Edad P/T: 72 a 77 años
Edad corte: 78 a 80 años - Edad P/T: 75 a 80 años
Edad corte: 81 años y más - Edad P/T: 78 años y más</t>
  </si>
  <si>
    <t xml:space="preserve">Total de población de 60 años y más.
</t>
  </si>
  <si>
    <t>1. Población del denominador
2. Insertar una columna al lado de la variable Fecha_Peso, que se denomine "edad a la fecha del peso EN AÑOS" en la cohorte de adultez o en la cohorte de población actual que tambien tiene el dato.
3. Hacer el filtro de la edad por rango de edades segun la descripción que esta en la definición del numerador por los esquemas: Ejemplo: tomar la edad a la fecha del peso de 60 a 62 años y luego ver edad al peso (actividad) que debe ser entre 60 y 62 años .... y así hacer uno a uno por cada subgrupo. La actividad debe estar en el rango de edad.
Como sugerencia al final de la base de validación, agregar la variable denominada "numerador" e ir marcado todos los casos en entrarían para la medición.</t>
  </si>
  <si>
    <t>1. De la cohorte de vejez o base de población actual, filtrar por edad de 60 años y más
Como sugerencia al final de la base de validación, agregar la variable denominador e ir marcado todos los casos en entrarían</t>
  </si>
  <si>
    <t>Cohorte poblacion actual o Vejez</t>
  </si>
  <si>
    <t>81.51%</t>
  </si>
  <si>
    <t>82.49%</t>
  </si>
  <si>
    <t>15/12/2025: se ajusta meta y puntaje, eyav //   07/02/2025 Se realiza eliminación de los 3 meses de afiliación.</t>
  </si>
  <si>
    <t>RPYMS113X</t>
  </si>
  <si>
    <t>Cumplimiento en la  valoración antropométrica en todos los ciclos vitales durante el año</t>
  </si>
  <si>
    <t>Proporción de personas que registran valoración nutricional (peso y talla) en el año</t>
  </si>
  <si>
    <t>Total de la población, a los que se les realizó valoración antropométrica (peso, talla).
año vigente.</t>
  </si>
  <si>
    <t xml:space="preserve">Total de población todos los ciclos vitales
Dividido en 12 y multiplicado por mes a evaluar.
</t>
  </si>
  <si>
    <t>Población denominador
Registro de consultas según esquema
Año vigente</t>
  </si>
  <si>
    <r>
      <t>1. Población del denominador
2. Seleccionar toda la población que tenga marcación de Fecha_Peso y Fecha_Talla (</t>
    </r>
    <r>
      <rPr>
        <i/>
        <sz val="10"/>
        <color theme="1"/>
        <rFont val="Calibri Light"/>
        <family val="2"/>
        <scheme val="major"/>
      </rPr>
      <t>que debería ser la misma</t>
    </r>
    <r>
      <rPr>
        <sz val="10"/>
        <color theme="1"/>
        <rFont val="Calibri Light"/>
        <family val="2"/>
        <scheme val="major"/>
      </rPr>
      <t xml:space="preserve">) en año vigente
Como sugerencia al final de la base de validación, agregar la variable denominada "numerador" e ir marcado todos los casos en entrarían para la medición.
</t>
    </r>
  </si>
  <si>
    <t>1. De la base de población actual, tomar toda la población activa, dividirla en 12 meses y multiplicarla por el mes a evaluar
Como sugerencia al final de la base de validación, agregar la variable "denominador" e ir marcado todos los casos en entrarían en la medición</t>
  </si>
  <si>
    <t>Cohorte poblacion actual o Todos los cursos de vida</t>
  </si>
  <si>
    <t>61.83%</t>
  </si>
  <si>
    <t>60.04%</t>
  </si>
  <si>
    <t>12/12/2025 Sin modificación  07/02/2025 Se realiza eliminación de los 3 meses de afiliación.</t>
  </si>
  <si>
    <t>RPYMS113AX</t>
  </si>
  <si>
    <t>Cobertura de valoración antropometrica</t>
  </si>
  <si>
    <t>Proporción de personas que registran valoración antropometrica</t>
  </si>
  <si>
    <t>Total de la población, a los que se les realizó valoración antropométrica (peso, talla).</t>
  </si>
  <si>
    <t>Total de población todos los ciclos vitales</t>
  </si>
  <si>
    <t>Población denominador
Registro de valoraciones de peso y talla</t>
  </si>
  <si>
    <t xml:space="preserve">Total de población todos los ciclos vitales
</t>
  </si>
  <si>
    <t>Se excluye para no tener en cuenta en el numerador: 
Menores de 18 años: Mediciones superiores a 5 años
18 años o mas: Mediciones superirores a 10 años</t>
  </si>
  <si>
    <r>
      <t>1. Población del denominador
2. Seleccionar toda la población que tenga marcación de Fecha_Peso y Fecha_Talla (</t>
    </r>
    <r>
      <rPr>
        <i/>
        <sz val="10"/>
        <color theme="1"/>
        <rFont val="Calibri Light"/>
        <family val="2"/>
        <scheme val="major"/>
      </rPr>
      <t>que debería ser la misma</t>
    </r>
    <r>
      <rPr>
        <sz val="10"/>
        <color theme="1"/>
        <rFont val="Calibri Light"/>
        <family val="2"/>
        <scheme val="major"/>
      </rPr>
      <t xml:space="preserve">)
Como sugerencia al final de la base de validación, agregar la variable denominada "numerador" e ir marcado todos los casos en entrarían para la medición.
</t>
    </r>
  </si>
  <si>
    <t>1. De la base de población actual, tomar el total de la población
Como sugerencia al final de la base de validación, agregar la variable denominador e ir marcado todos los casos en entrarían</t>
  </si>
  <si>
    <t>76.84%</t>
  </si>
  <si>
    <t>78.83%</t>
  </si>
  <si>
    <t>RPYMS109X</t>
  </si>
  <si>
    <t>Proporción de niños de 6 a 23 meses con suministro de micronutrientes en polvo</t>
  </si>
  <si>
    <t>Proporción de menores de 6 a 23 meses que registran suministro de micronutrientes en Polvo</t>
  </si>
  <si>
    <t>Medicamentos</t>
  </si>
  <si>
    <t>Micronutrientes</t>
  </si>
  <si>
    <t xml:space="preserve">Número de niños con suministro de MICRONUTRIENTES EN POLVO
Edad al suministro: 6 a 24 meses
Edad al corte: 6 a 24 meses
Validez suministro: Ultimos 6 meses
</t>
  </si>
  <si>
    <t xml:space="preserve">Total de niños y niñas de 6 a 24 meses
</t>
  </si>
  <si>
    <t>1- RIPS: AM: MD008978, V06DX y A&amp;A: 60788
Fecha Dispensación: Corresponde a la fecha y  hora en la cual se dispensó o administró el medicamento al paciente.
Cantidad Medicamento: Cantidad de unidades mínimas del medicamento dispensadas o administradas.
2-  Medicamentos cargado por datos adicionales: MICRONUTRIENTES_POLVO</t>
  </si>
  <si>
    <t>6 meses atrás incluyendo el mes a evaluar</t>
  </si>
  <si>
    <t>Población denominador
con suministro de micronutrientes en polvo en los ultimos 6 meses
Edad a la entrega entre 6 y 24 meses</t>
  </si>
  <si>
    <r>
      <t xml:space="preserve">En el indicador se evaluará que el menor reciba el suministro en los ultimos 6 meses, al tratarse de indicador de cobertura se mide sobre la poblacion objeto total
Fecha anterior 3 de suministro micronutrientes en polvo: solo se diligencia si tiene 6 a 11 meses al suminsitro del medicamento
Fecha anterior 2 de suministro micronutrientes en polvo: solo se diligencia si tiene 12 a 17 meses al suminsitro del medicamento
Fecha anterior 1 de suministro micronutrientes en polvo: solo se diligencia si tiene 18 a 23 meses al suminsitro del medicamento
Fecha más reciente de suministro de micronutrientes en polvo: solo se diligencia si tiene 24 meses al suminsitro del medicamento
</t>
    </r>
    <r>
      <rPr>
        <b/>
        <sz val="10"/>
        <color theme="1"/>
        <rFont val="Calibri Light"/>
        <family val="2"/>
        <scheme val="major"/>
      </rPr>
      <t>Si el niño tiene mas de 24 meses ya no entra en la medición del numerador de acuerdo a la regla anterior</t>
    </r>
    <r>
      <rPr>
        <sz val="10"/>
        <color theme="1"/>
        <rFont val="Calibri Light"/>
        <family val="2"/>
        <scheme val="major"/>
      </rPr>
      <t>.</t>
    </r>
  </si>
  <si>
    <t>Definida en resolucion 2364 de 2023</t>
  </si>
  <si>
    <r>
      <t xml:space="preserve">1. De la población del denominador, insertar 4 variables nuevas para </t>
    </r>
    <r>
      <rPr>
        <b/>
        <sz val="10"/>
        <color theme="1"/>
        <rFont val="Calibri Light"/>
        <family val="2"/>
        <scheme val="major"/>
      </rPr>
      <t>el calculo de la validez del suministro</t>
    </r>
    <r>
      <rPr>
        <sz val="10"/>
        <color theme="1"/>
        <rFont val="Calibri Light"/>
        <family val="2"/>
        <scheme val="major"/>
      </rPr>
      <t xml:space="preserve"> en cada una de las variables "Fecha anterior xxxx de suministro micronutrientes en polvo", pueden marcarlas así : edad al suminstro 1, edad al suminstro 2, edad al suminstro 3 y edad al suminstro más reciente.
2. Luego en cada variable de edad al suministro hacer la formula de calculo en meses entre la fecha de nacimiento y la fecha del suministro 3, 2, 1 y reciente.
3. Teniendo en cuenta la siguiente regla:
Fecha anterior 3 de suministro micronutrientes en polvo: solo se diligencia si tiene 6 a 11 meses al suminsitro del medicamento
Fecha anterior 2 de suministro micronutrientes en polvo: solo se diligencia si tiene 12 a 17 meses al suminsitro del medicamento
Fecha anterior 1 de suministro micronutrientes en polvo: solo se diligencia si tiene 18 a 23 meses al suminsitro del medicamento
Fecha más reciente de suministro de micronutrientes en polvo: solo se diligencia si tiene 24 meses al suminsitro del medicamento
Si el niño tiene mas de 24 meses ya no entra en la medición del numerador.
4. De acuerdo a los rangos de edad del suministro, tener en cuenta que en las fechas de suministro en cada rango de edad, solo entraran los 6 últimos meses en el conteo incluyendo el mes al evaluar, los que coincidan se irán marcando para el numerador, independiente del numero de suministros que tenga cada menor, con que solo tenga una fecha correcta para la edad del suministro</t>
    </r>
    <r>
      <rPr>
        <b/>
        <sz val="10"/>
        <color theme="1"/>
        <rFont val="Calibri Light"/>
        <family val="2"/>
        <scheme val="major"/>
      </rPr>
      <t>, ya cumple para el numerador.</t>
    </r>
    <r>
      <rPr>
        <sz val="10"/>
        <color theme="1"/>
        <rFont val="Calibri Light"/>
        <family val="2"/>
        <scheme val="major"/>
      </rPr>
      <t xml:space="preserve">
</t>
    </r>
  </si>
  <si>
    <t>1. De la cohorte de primera infancia, incluir una variable que calcule  la "edad en meses",  de esta variable hacer el filtro de la poblacion de 6 meses a 24 meses.
Como sugerencia al final de la base de validación, agregar la variable "denominador" e ir marcado todos los casos en entrarían para la medición.</t>
  </si>
  <si>
    <t>12.87%</t>
  </si>
  <si>
    <t>15/12/2025: se ajusta meta y puntaje; deberiamos tener todos los menores recibiendo MCNT en polvo; hay que trabajar la formulación por parte de la primaria, se mejora el puntaje para aportar a la reducción de morta infantil//   12/09/2025 Se incluye regla en la observación del indicador, ya que se aplicaba en Sigires pero no estaba descrita en FT. 05/03/2025 Se ajusta puntaje.  07/02/2025 Se realiza eliminación de los 3 meses de afiliación.</t>
  </si>
  <si>
    <t>RPYMS10X</t>
  </si>
  <si>
    <t>Proporción de niños entre 30 y 60 meses con suplementación con sulfato ferroso</t>
  </si>
  <si>
    <t>Proporción de menores de 30 a 60 meses que registran suministro de sufaro ferroso</t>
  </si>
  <si>
    <t>Número de niños que reciben suplementación con SULFATO FERROSO
Edad al suministro: 30 a 60 meses
Edad al corte: 30 a 60 meses
Validez suministro: Ultimos 6 meses</t>
  </si>
  <si>
    <t xml:space="preserve">Total de población de 30 a 60 meses  
</t>
  </si>
  <si>
    <t>1- RIPS: AM y los ATC B03AA07 (Sulfato ferroso) y B03AA02 (Fumarato ferroso), CUMS 19963969-01 y 19963970-01
Fecha Dispensación: Corresponde a la fecha y  hora en la cual se dispensó o administró el medicamento al paciente.
Cantidad Medicamento: Cantidad de unidades mínimas del medicamento dispensadas o administradas.
2- Archivo medicamentos cargado por datos adicionales: SULFATO_FERROSO</t>
  </si>
  <si>
    <t>Población denominador
con suministro de sulfato ferroso en los ultimos 6 meses
Edad a la entrega entre 30 y 60 meses</t>
  </si>
  <si>
    <t xml:space="preserve">Total de población de 30 a 60 meses. 
</t>
  </si>
  <si>
    <t>Se ajusta indicador y evaluará que el menor reciba el suministro en los ultimos 6 meses, al tratarse de indicador de cobertura se mide sobre la poblacion objeto total</t>
  </si>
  <si>
    <r>
      <t xml:space="preserve">1. De la población del denominador, insertar 2 variables nuevas para </t>
    </r>
    <r>
      <rPr>
        <b/>
        <sz val="10"/>
        <color theme="1"/>
        <rFont val="Calibri Light"/>
        <family val="2"/>
        <scheme val="major"/>
      </rPr>
      <t>el calculo de la validez del suministro</t>
    </r>
    <r>
      <rPr>
        <sz val="10"/>
        <color theme="1"/>
        <rFont val="Calibri Light"/>
        <family val="2"/>
        <scheme val="major"/>
      </rPr>
      <t xml:space="preserve"> en cada una de las variables "Fecha xxxxx de suministro de Sulfato ferroso", pueden marcarlas así : edad ferroso anterior y edad ferroso reciente.
2. Luego en cada variable de "edad ferroso xxxx" , hacer la formula de calculo en meses entre la fecha de nacimiento y la Fecha anterior o reciente de suministro de Sulfato ferroso.
3. De acuerdo a los rangos de edad del suministro, tener en cuenta que en las fechas de suministro, solo entraran los 6 últimos meses en el conteo incluyendo el mes al evaluar, los que coincidan de suministro anterior o de suministro reciente se irán marcando para el numerador.
</t>
    </r>
  </si>
  <si>
    <t>1. De la cohorte de primera infancia, incluir una variable que calcule  la "edad en meses",  de esta variable hacer el filtro de la poblacion de 30 meses a 60 meses.
Como sugerencia al final de la base de validación, agregar la variable "denominador" e ir marcado todos los casos en entrarían para la medición.</t>
  </si>
  <si>
    <t>25.25%</t>
  </si>
  <si>
    <t>24.59%</t>
  </si>
  <si>
    <t>15/12/2025: se ajusta meta y puntaje como estrategia para aportar en el indicador de mortalidad infantil., eyav//  12/12/2025 Sin modificación  30/04/2025 Se ajusta definición operacional.  5/03/2025 Se ajusta puntale.  07/02/2025 Se realiza eliminación de los 3 meses de afiliación.</t>
  </si>
  <si>
    <t>RPYMS11X</t>
  </si>
  <si>
    <t xml:space="preserve">Proporción de niños entre 30 y 60 meses con suministro de vitamina A </t>
  </si>
  <si>
    <t>Proporción de menores de 30 a 60 meses que registran suministro Vitamina A</t>
  </si>
  <si>
    <t>Número de niños que reciben suplementación con VITAMINA A
Edad al suministro: 30 a 60 meses
Edad al corte: 30 a 60 meses
Validez suministro: Ultimos 6 meses</t>
  </si>
  <si>
    <t>1- RIPS: AM, ATC A11CA01 (Retinol-Vitamina A) 19904368-03
Fecha Dispensación: Corresponde a la fecha y  hora en la cual se dispensó o administró el medicamento al paciente.
Cantidad Medicamento: Cantidad de unidades mínimas del medicamento dispensadas o administradas.
2- Archivo medicamentos cargado por datos adicionales: VITAMINA_A</t>
  </si>
  <si>
    <t>Población denominador
con suministro de Vitamina A en los ultimos 6 meses
Edad a la entrega entre 30 y 60 meses</t>
  </si>
  <si>
    <t xml:space="preserve">Total de población de 30 a 60 meses
</t>
  </si>
  <si>
    <r>
      <t xml:space="preserve">1. De la población del denominador, insertar 2 variables nuevas para </t>
    </r>
    <r>
      <rPr>
        <b/>
        <sz val="10"/>
        <color theme="1"/>
        <rFont val="Calibri Light"/>
        <family val="2"/>
        <scheme val="major"/>
      </rPr>
      <t>el calculo de la validez del suministro</t>
    </r>
    <r>
      <rPr>
        <sz val="10"/>
        <color theme="1"/>
        <rFont val="Calibri Light"/>
        <family val="2"/>
        <scheme val="major"/>
      </rPr>
      <t xml:space="preserve"> en cada una de las variables "Fecha xxxxx de suministro de Vitamina A", pueden marcarlas así : edad Vit A anterior y edad Vit A reciente.
2. Luego en cada variable de "edad Vit A xxxx" , hacer la formula de calculo en meses entre la fecha de nacimiento y la Fecha anterior o reciente de suministro de Vitamina A.
3. De acuerdo a los rangos de edad del suministro, tener en cuenta que en las fechas de suministro, solo entraran los 6 últimos meses en el conteo incluyendo el mes al evaluar, los que coincidan de suministro anterior o de suministro reciente se irán marcando para el numerador.
</t>
    </r>
  </si>
  <si>
    <t>29.26%</t>
  </si>
  <si>
    <t>27.78%</t>
  </si>
  <si>
    <t>15/12/2025: Se ajusta meta y  puntaje para fortalecer curso de vida de primera infancia, eyav// 12/12/2025 Sin modificación  5/03/2025 Se ajusta puntaje.  07/02/2025 Se realiza eliminación de los 3 meses de afiliación.</t>
  </si>
  <si>
    <t>RPYMS13X</t>
  </si>
  <si>
    <t>Cumplimiento de desparasitación antihelmíntica en los ultimos 6 meses; en niños de 1 a 5 años</t>
  </si>
  <si>
    <t>Proporción de niños de 1 a 5 años que registran suministro desparasitante</t>
  </si>
  <si>
    <t>Desparasitante</t>
  </si>
  <si>
    <t>Número de niños que reciben suplementación con ANTIPARASITARIO
Edad al suministro: mayor a 1 año
Edad al corte: 1 a 5 años
Validez suministro: Ultimos 6 meses</t>
  </si>
  <si>
    <t xml:space="preserve">Total de población de 1 a 5 años
</t>
  </si>
  <si>
    <r>
      <t>1- RIPS: AM: Albendazol:  ATC-P02CA03 y Mebendazol: ATC-P02CA01,</t>
    </r>
    <r>
      <rPr>
        <b/>
        <sz val="10"/>
        <color theme="1"/>
        <rFont val="Calibri Light"/>
        <family val="2"/>
        <scheme val="major"/>
      </rPr>
      <t xml:space="preserve"> 
Fecha Dispensación: Corresponde a la fecha y  hora en la cual se dispensó o administró el medicamento al paciente.
Cantidad Medicamento: Cantidad de unidades mínimas del medicamento dispensadas o administradas.</t>
    </r>
    <r>
      <rPr>
        <sz val="10"/>
        <color theme="1"/>
        <rFont val="Calibri Light"/>
        <family val="2"/>
        <scheme val="major"/>
      </rPr>
      <t xml:space="preserve">
2-  Medicamentos cargado por datos adicionales: ANTIPARASITARIO</t>
    </r>
  </si>
  <si>
    <t>Base de datos afiliaciones (cierre mes)</t>
  </si>
  <si>
    <t>Población denominador
con suministro de antiparasitario en los ultimos 6 meses
Edad a la entrega mayor a 1 año</t>
  </si>
  <si>
    <r>
      <t xml:space="preserve">1. De la población del denominador, insertar 2 variables nuevas para </t>
    </r>
    <r>
      <rPr>
        <b/>
        <sz val="10"/>
        <color theme="1"/>
        <rFont val="Calibri Light"/>
        <family val="2"/>
        <scheme val="major"/>
      </rPr>
      <t>el calculo de la validez del suministro</t>
    </r>
    <r>
      <rPr>
        <sz val="10"/>
        <color theme="1"/>
        <rFont val="Calibri Light"/>
        <family val="2"/>
        <scheme val="major"/>
      </rPr>
      <t xml:space="preserve"> en cada una de las variables "Fecha xxxxxx de suministro de desparasitación antihelmíntica", pueden marcarlas así : edad desparasitación anterior y edad desparasitación reciente.
2. Luego en cada variable de "edad desparasitación xxxx" , hacer la formula de calculo en meses entre la fecha de nacimiento y la Fecha anterior o reciente de suministro de desparasitación antihelmíntica.
3. De acuerdo a los rangos de edad del suministro, tener en cuenta que en las fechas de suministro, solo entraran los 6 últimos meses en el conteo incluyendo el mes al evaluar, los que coincidan de suministro anterior o de suministro reciente se irán marcando para el numerador.
</t>
    </r>
  </si>
  <si>
    <t>1. De la cohorte de primera infancia, hacer el filtro de la poblacion de 1 a 5 años.
Como sugerencia al final de la base de validación, agregar la variable "denominador" e ir marcado todos los casos en entrarían para la medición.</t>
  </si>
  <si>
    <t>22.53%</t>
  </si>
  <si>
    <t>16.99%</t>
  </si>
  <si>
    <t>15/12/2025: se modifica nombre del indicador, pasa a informativo y se modfica meta, eyav//   5/03/2025 Se ajusta puntuaje.  07/02/2025 Se realiza eliminación de los 3 meses de afiliación.</t>
  </si>
  <si>
    <t>Cumplimiento en la desparasitación antihelmíntica en niños de 1 a 5 años, en el año</t>
  </si>
  <si>
    <t>Proporción de niños de 1 a 5 años que registran suministro desparasitante en el año</t>
  </si>
  <si>
    <t>Nuevo</t>
  </si>
  <si>
    <r>
      <t>1- RIPS: AM: Albendazol:  ATC-P02CA03 y Mebendazol: ATC-P02CA01,</t>
    </r>
    <r>
      <rPr>
        <b/>
        <sz val="10"/>
        <rFont val="Calibri Light"/>
        <family val="2"/>
        <scheme val="major"/>
      </rPr>
      <t xml:space="preserve"> 
Fecha Dispensación: Corresponde a la fecha y  hora en la cual se dispensó o administró el medicamento al paciente.
Cantidad Medicamento: Cantidad de unidades mínimas del medicamento dispensadas o administradas.</t>
    </r>
    <r>
      <rPr>
        <sz val="10"/>
        <rFont val="Calibri Light"/>
        <family val="2"/>
        <scheme val="major"/>
      </rPr>
      <t xml:space="preserve">
2-  Medicamentos cargado por datos adicionales: ANTIPARASITARIO</t>
    </r>
  </si>
  <si>
    <t>Población denominador
con suministro de antiparasitario en el año vigente
Edad a la entrega mayor a 1 año</t>
  </si>
  <si>
    <t>15/12/2025: Se emite este indicador para generar el tema porcentaje que se lleva a nota tecnica en año vigente</t>
  </si>
  <si>
    <t>pendiente</t>
  </si>
  <si>
    <t>RPYMS232X</t>
  </si>
  <si>
    <t>Cumplimiento en la desparasitación antihelmíntica en niños de 6 a 14 años</t>
  </si>
  <si>
    <t>Proporción de menores de 6 a 14 años que registran suministro desparasitante</t>
  </si>
  <si>
    <t>Número de niños que reciben suplementación con ANTIPARASITARIO
Edad al corte: 6 a 14 años
Validez suministro: Ultimos 12 meses</t>
  </si>
  <si>
    <t>Total de población de 6 a 14 años</t>
  </si>
  <si>
    <t>Población denominador
1 entrega de desparasitación antihelmíntica, en los ultimos 12 meses</t>
  </si>
  <si>
    <t xml:space="preserve">Total de población de 6 a 14 años
</t>
  </si>
  <si>
    <t>Se realiza validación de 1 entrega durante los últimos 12 meses</t>
  </si>
  <si>
    <r>
      <t xml:space="preserve">1. De la población del denominador, insertar 2 variables nuevas para </t>
    </r>
    <r>
      <rPr>
        <b/>
        <sz val="10"/>
        <color theme="1"/>
        <rFont val="Calibri Light"/>
        <family val="2"/>
        <scheme val="major"/>
      </rPr>
      <t>el calculo de la validez del suministro</t>
    </r>
    <r>
      <rPr>
        <sz val="10"/>
        <color theme="1"/>
        <rFont val="Calibri Light"/>
        <family val="2"/>
        <scheme val="major"/>
      </rPr>
      <t xml:space="preserve"> en cada una de las variables "Fecha xxxxxx de suministro de desparasitación antihelmíntica", pueden marcarlas así : edad desparasitación anterior y edad desparasitación reciente.
2. Luego en cada variable de "edad desparasitación xxxx" , hacer la formula de calculo en meses entre la fecha de nacimiento y la Fecha anterior o reciente de suministro de desparasitación antihelmíntica.
3. De acuerdo a los rangos de edad del suministro, tener en cuenta que en las fechas de suministro, solo entraran los 12 últimos meses en el conteo incluyendo el mes al evaluar, los que coincidan de suministro anterior o de suministro reciente se irán marcando para el numerador.
</t>
    </r>
  </si>
  <si>
    <t>1. De las cohortes de infancia y adolesncia, hacer el filtro de la poblacion de 6 a 14 años.
Como sugerencia al final de la base de validación, agregar la variable "denominador" e ir marcado todos los casos en entrarían para la medición.</t>
  </si>
  <si>
    <t>Infancia 
Adolescencia</t>
  </si>
  <si>
    <t>13.78%</t>
  </si>
  <si>
    <t>11.25%</t>
  </si>
  <si>
    <t>15/12/2025 Se pasa a evaluativo; se ajusta meta y puntaje, eyav //  11/02/2025 Se realiza eliminación de los 3 meses de afiliación.</t>
  </si>
  <si>
    <t>RPYMS86X</t>
  </si>
  <si>
    <t>Proporción de mujeres de 10 a 13 años a quienes se realizó tamizaje de hemoglobina y/o hematocrito</t>
  </si>
  <si>
    <t>Proporción de mujeres de 10 a 13 años con registro de hemoglobina y/o hematocrito en el curso del ciclo de vida</t>
  </si>
  <si>
    <t>Laboratorios</t>
  </si>
  <si>
    <t>Hemoglobina</t>
  </si>
  <si>
    <t>Número de mujeres de 10 a 13 años
Registro de hemoglobina y/o hematocrito
Edad al procedimiento de 10 a 13 años</t>
  </si>
  <si>
    <t xml:space="preserve">Total de mujeres de 10 a 13 años
</t>
  </si>
  <si>
    <t>1- Res 202. 
  Hemoglobina  Variable 103 - fecha valida  y  Variable 104: Resultado  
2- Formato Adicionales.
  Hematocrito fecha valida y resultado
Debe cumplir con la edad de 10 a 13 años al momento del procedimiento</t>
  </si>
  <si>
    <t>Mujeres de 10 a 13 años
Registró de hemoglobina en la edad de 10 a 13 años</t>
  </si>
  <si>
    <t>Población actual al mes a evaluar activos y nuevos
Mujeres de 10 a 13 años</t>
  </si>
  <si>
    <t>Infancia
Adolescencia</t>
  </si>
  <si>
    <t>33.06%</t>
  </si>
  <si>
    <t>34.31%</t>
  </si>
  <si>
    <t>15/12/2025: se ajusta meta, eyav // 12/12/2025 Sin modificación  31/03/2025 Se realiza ajuste en el nombre del indicador, se adiciona hematocrito en definición operacional, definición del numerador y fuente del numerador.  07/02/2025 Se realiza eliminación de los 3 meses de afiliación. 19/12/2024: Se cambia a informativo</t>
  </si>
  <si>
    <t>RPYMS262X</t>
  </si>
  <si>
    <t>Proporción de mujeres de 10 a 13 años a quienes se realizó tamizaje de hemoglobina y/o hematocrito en el año</t>
  </si>
  <si>
    <t>Proporción de mujeres de 10 a 13 años con registro de hemoglobina y/o hematocrito durante el año</t>
  </si>
  <si>
    <t>Mujeres 
Registro de hemoglobina y/o hematocrito
Edad al procedimiento de 10 a 13 años
Año vigente</t>
  </si>
  <si>
    <t>Total de mujeres de 10 a 13 años 
Dividido en 12 multiplicado por mes a evaluar</t>
  </si>
  <si>
    <t>Registró de hemoglobina en la edad de 10 a 13 años
año vigente</t>
  </si>
  <si>
    <t>Población actual al mes a evaluar activos y nuevos
Mujeres de 10 a 13 años
Dividido en 12 multiplicado por mes a evaluar</t>
  </si>
  <si>
    <t>26.15%</t>
  </si>
  <si>
    <t>23.02%</t>
  </si>
  <si>
    <t>15/12/2025: Se ajusta puntaje y meta; la prevalencia de anemia esta al rededor del 30%, y deberiamos tener toda la población del curso de vida ya tamizada, apenas vamos en el 34%, por lo que debemos aumentar tamizajes en el año para dar cubrimiento al curso de vida, eyav//  31/03/2025 Se realiza ajuste en el nombre del indicador, se adiciona hematocrito en definición operacional, definición del numerador y fuente del numerador.  05/03/2025 Se ajusta puntaje.  19/12/2024: se ajusta la meta y los puntos, eyav.</t>
  </si>
  <si>
    <t>RPYMS83X</t>
  </si>
  <si>
    <t>Proporción de mujeres de 14 a 17 años a quienes se realizó tamizaje de hemoglobina y/o hematocrito</t>
  </si>
  <si>
    <t>Proporción de mujeres de 14 a 17 años con registro de hemoglobina y/o hematocrito en el curso del ciclo de vida</t>
  </si>
  <si>
    <t>Número de mujeres de 14 a 17 años
Registro de hemoglobina y/o hematocrito
Edad al procedimiento de 14 a 17 años</t>
  </si>
  <si>
    <t xml:space="preserve">Total de mujeres de 14 a 17 años 
</t>
  </si>
  <si>
    <t>1- Res 202. 
   Variable 103 - fecha valida  y Variable 104: Resultado  
2- Formato Adicionales.
  Hematocrito fecha valida y resultado
Debe cumplir con la edad de 14 a 17 años al momento del procedimiento</t>
  </si>
  <si>
    <t>Mujeres de 14 a 17 años
Registró de hemoglobina en la edad de 14 a 17 años</t>
  </si>
  <si>
    <t xml:space="preserve">Población actual al mes a evaluar activos y nuevos
Mujeres de 14 a 17 años
</t>
  </si>
  <si>
    <t xml:space="preserve">1. De la población del denominador
2. Incluir a un lado de la fecha de Hemogloblina, una variable denominada "EDAD FECHA HBL 14-17" y calcular la edad en años para la fecha de la toma de hemoglobina,  seleccionar toda la población que tiene toma de hemoglobina que sería el dato para el numerador, corroborando que este el dato de toma entre los 14 y 17 años.  
Como sugerencia al final de la base de validación, agregar la variable denominada "numerador" e ir marcado todos los casos en entrarían para la medición.
</t>
  </si>
  <si>
    <t>1. De la cohorte de adolescencia, hacer el filtro de la poblacion de 14 a 17 años y de genero femenino . 
Como sugerencia al final de la base de validación, agregar la variable "denominador" e ir marcado todos los casos en entrarían para la medición.</t>
  </si>
  <si>
    <t>39.85%</t>
  </si>
  <si>
    <t>42.07%</t>
  </si>
  <si>
    <t>15/12/2025: Se incrementa meta al 60% // 12/12/2025 Sin modificación  31/03/2025 Se realiza ajuste en el nombre del indicador, se adiciona hematocrito en definición operacional, definición del numerador y fuente del numerador.  07/02/2025 Se realiza eliminación de los 3 meses de afiliación. 19/12/2024: Se cambia a informativo</t>
  </si>
  <si>
    <t>RPYMS114X</t>
  </si>
  <si>
    <t>Proporción de mujeres de 14 a 17 años a quienes se realizó tamizaje de hemoglobina y/o hematocrito en el año</t>
  </si>
  <si>
    <t>Mujeres 
Registro de hemoglobina y/o hematocrito
Edad al procedimiento de 14 a 17 años
Año vigente</t>
  </si>
  <si>
    <t>Total de mujeres de 14 a 17 años 
Dividido en 12 multiplicado por mes a evaluar</t>
  </si>
  <si>
    <t>Registró de hemoglobina en la edad de 14 a 17 años
año vigente</t>
  </si>
  <si>
    <t>Población actual al mes a evaluar activos y nuevos
Mujeres de 14  a 17 años
Dividido en 12 multiplicado por mes a evaluar</t>
  </si>
  <si>
    <t>se requiere cumplimiento de 25% anual para lograra cobertura del 100% de la poblacion en 4 años</t>
  </si>
  <si>
    <t xml:space="preserve">1. De la población del denominador
2. Incluir a un lado de la fecha de Hemogloblina, una variable denominada "EDAD FECHA HBL 14-17" y calcular la edad en años para la fecha de la toma de hemoglobina,  seleccionar toda la población que tiene toma de hemoglobina en el año vigente que sería el dato para el numerador, corroborando que este el dato de toma entre los 14 y 17 años.  
Como sugerencia al final de la base de validación, agregar la variable denominada "numerador" e ir marcado todos los casos en entrarían para la medición.
</t>
  </si>
  <si>
    <t>1. De la cohorte de adolescencia, hacer el filtro de la poblacion de 14 a 17 años y de genero femenino . Tener en cuenta que al ser indicador de cumplimiento se debe dividir la población entre 12 meses y se multiplica por el mes a evaluar que ese dato será el que se tenga para el denominador. 
Como sugerencia al final de la base de validación, agregar la variable "denominador" e ir marcado todos los casos en entrarían para la medición.</t>
  </si>
  <si>
    <t>29.3%</t>
  </si>
  <si>
    <t>27.47%</t>
  </si>
  <si>
    <t>15/12/2025: se ajusta meta, puntaje; la prevalencia de anemia esta entre 20 y 30% en colombia; se deja meta de tamizaje de 30 en el año para alcanzar el cubrimiento del 100%, debera ser 25% cada año, pero solo tenemos tamizado el 42% de la población del curso de vida , eyav //  12/12/2025 Sin modificación  31/03/2025 Se realiza ajuste en el nombre del indicador, se adiciona hematocrito en definición operacional, definición del numerador y fuente del numerador.  5/03/2025 Se ajusta puntaje.  19/12/2024: se ajusta la meta y los puntos, eyav.</t>
  </si>
  <si>
    <t>RPYMS75X</t>
  </si>
  <si>
    <t>Proporción de menores de 5 años con Peso Adecuado para la Talla</t>
  </si>
  <si>
    <t>Proporción de personas de 0 a 5 años con registro de índice de  P/T adecuado para la edad</t>
  </si>
  <si>
    <t>Número de niños de 0 a 5 años
Z-score P/T: mayor o igual a -1DE y menor o igual a  +1 DE</t>
  </si>
  <si>
    <t>Total de niños de 0 a 5 años afiliados a EPS
Con registro de peso y talla valido</t>
  </si>
  <si>
    <t>1 - Resolución 202. 
Peso y talla: Variable 29, 30, 31 y 31
* Se calcula el estado nutricional a la edad de la toma del peso</t>
  </si>
  <si>
    <t>1- Res 202. 
Peso: Variable 29: fecha valida  + variable 30: dato obtenido
Talla: Variable 31: fecha valida  + variable 32: dato obtenido 
el rango se calcula a la Fecha del peso</t>
  </si>
  <si>
    <t>Menores de 5 años reportados con peso y talla validos y que se encuentran en la población objeto para el mes a evaluar</t>
  </si>
  <si>
    <t>Total de niños de 0 a 5 años afiliados a EPS
con registro de peso y talla</t>
  </si>
  <si>
    <t>La fuente del indicador por el momento continua siendo 202 mientras el MSPS genera lineamientos de RIPS modificado</t>
  </si>
  <si>
    <t>Línea de base Nueva EPS(se realiza verificación de indicadores de estados nutricionales y se evidencia que el 2,6% de la población menor de 5 años atendida presenta alguna alteración nutricional)Según ENSIN 2015 la meta establecida de DNT aguda o indicador de peso para la talla es del 5%</t>
  </si>
  <si>
    <t>Primera infancia</t>
  </si>
  <si>
    <t>60%</t>
  </si>
  <si>
    <t>59.53%</t>
  </si>
  <si>
    <t>RPYMS76X</t>
  </si>
  <si>
    <t>Proporción de menores de 5 años con Talla Adecuada para la Edad</t>
  </si>
  <si>
    <t>Proporción de personas de 0 a 5 años con registro de índice de  T/E adecuado para la edad</t>
  </si>
  <si>
    <t>Talla</t>
  </si>
  <si>
    <t>Número de niños de 0 a 5 años
Z-score T/E: mayor o igual a -1DE</t>
  </si>
  <si>
    <t>Total de niños de 0 a 5 años afiliados a EPS
Con registro de talla valido</t>
  </si>
  <si>
    <t>1 - Resolución 202. 
Peso y talla: Variable 31 y 32
* Se calcula el estado nutricional a la edad de la toma de la talla</t>
  </si>
  <si>
    <t>1- Res 202. 
Talla: Variable 31: fecha valida  + variable 32: dato obtenido 
el rango se calcula a la Fecha de la talla</t>
  </si>
  <si>
    <t>Menores de 5 años reportados con registro de talla validos y que se encuentran en la población objeto para el mes a evaluar</t>
  </si>
  <si>
    <t>Total de niños de 0 a 5 años afiliados a EPS
con registro de talla</t>
  </si>
  <si>
    <t>Según la ENSIN 2015 el 10,8% de los niños menores de 5 años presentan talla baja para la edad, se espera que el 80% de los niños atendidos tengan talla adecuada para la edad</t>
  </si>
  <si>
    <t>62.89%</t>
  </si>
  <si>
    <t>61.33%</t>
  </si>
  <si>
    <t>RPYMS248X</t>
  </si>
  <si>
    <t>Proporción de personas en infancia y adolescencia con IMC Adecuado para la edad</t>
  </si>
  <si>
    <t>Proporción de personas de 6 a 17 años con calculo de  IMC Adecuado para la edad</t>
  </si>
  <si>
    <t>IMC</t>
  </si>
  <si>
    <t>Número de personas entre 6 y 17 años con peso y talla valido (ultimos 12 meses)
Z-score IMC/E: &gt;= -1DE y &lt;=+1DE</t>
  </si>
  <si>
    <t>Total de personas entre 6 y 17 años 
Que registran peso y talla validos en los ultimos 12 meses
Edad al Peso &gt;=6 años</t>
  </si>
  <si>
    <t>1- Res 202. 
Peso: Variable 29: fecha valida  + variable 30: dato obtenido
Talla: Variable 31: fecha valida  + variable 32: dato obtenido</t>
  </si>
  <si>
    <t>5 años atrás incluyendo el mes a evaluar</t>
  </si>
  <si>
    <t>Poblacion con IMC adecuado/normal</t>
  </si>
  <si>
    <t>edad objeto a mes a evaluar que cumplan con criterios de Peso y talla valido (peso ultimos 12 meses)</t>
  </si>
  <si>
    <t>para la definicion de la poblacion con datos validos se tiene en cuenta la fecha del peso, reportado</t>
  </si>
  <si>
    <t>De acuerdo al ENSiN 2015 aprox el 25% de la poblacion presdenta altecacion nutricional se define la meta en el 80%</t>
  </si>
  <si>
    <t>infancia - adolescencia</t>
  </si>
  <si>
    <t>58.44%</t>
  </si>
  <si>
    <t>58.97%</t>
  </si>
  <si>
    <t>RPYMS249X</t>
  </si>
  <si>
    <t>Proporción de personas jóvenes y adultas con IMC normal</t>
  </si>
  <si>
    <t>Proporción de personas de 18 a 59 años con calculo de  IMC normal</t>
  </si>
  <si>
    <t>Número de personas entre 18 y 59 años con peso y talla valido (ultimos 5 años)
IMC: Normal: ≥ 18,5 a &lt; 25
Formula IMC= Peso kg/(Talla (mt)*Talla (mt))
Reporte de talla en 202 en cm, se debe convertir a metros (mt) para el calculo del IMC</t>
  </si>
  <si>
    <t>Total de personas entre 18 y 59 años 
Que registran peso y talla validos en los ultimos 5 años</t>
  </si>
  <si>
    <t>edad objeto a mes a evaluar que cumplan con criterios de Peso y talla valido (peso ultimos 5 años )</t>
  </si>
  <si>
    <t>De acuerdo al ENSiN 2015 aprox el 50% de la poblacion presenta altecacion nutricional se define la meta en el 60%</t>
  </si>
  <si>
    <t>Juventud - Adultez</t>
  </si>
  <si>
    <t>40.36%</t>
  </si>
  <si>
    <t>39.44%</t>
  </si>
  <si>
    <t>RPYMS250X</t>
  </si>
  <si>
    <t>Proporción de personas en vejez con IMC normal</t>
  </si>
  <si>
    <t>Proporción de personas de 60 años y mas con calculo de  IMC normal</t>
  </si>
  <si>
    <t>Número de personas de 60 años y más con peso y talla valido (ultimos 5 años)
IMC: Normal: ≥ 18,5 a &lt; 25
Formula IMC= Peso kg/(Talla (mt)*Talla (mt))
Reporte de talla en 202 en cm, se debe convertir a metros (mt) para el calculo del IMC</t>
  </si>
  <si>
    <t>Total de personas de 60 años y más
Que registran peso y talla validos en los ultimos 5 años</t>
  </si>
  <si>
    <t>40.11%</t>
  </si>
  <si>
    <t>39.51%</t>
  </si>
  <si>
    <t>RPYMS351X</t>
  </si>
  <si>
    <t>Proporción de menores de 0 a 4 años desnutrición aguda</t>
  </si>
  <si>
    <t>Es la proporción de menores de 0 a 4 años con desnutrición aguda (bajo peso para la talla; Resulta de una pérdida de peso asociada con periodos recientes de hambruna o enfermedad que se desarrolla muy rápidamente y es limitada en el tiempo)</t>
  </si>
  <si>
    <t>Salud pública</t>
  </si>
  <si>
    <t>Desnutrición Aguda</t>
  </si>
  <si>
    <t>Número de niñas y niños de 0 a 59 meses
Con diagnostico de desnutrición aguda confirmada reportado en SIVIGILA: (Evento 113:
Fecha de consulta  ("fec_con_"): año vigente
"Ajuste_": 0 y 7
Edad a la Fecha de la consulta</t>
  </si>
  <si>
    <t xml:space="preserve">Menores de 0 a 4 años </t>
  </si>
  <si>
    <t>SIVIGILA: 
Evento 113:
Fecha de consulta  (fec_con_): año vigente
"Ajuste_": 0 y 7</t>
  </si>
  <si>
    <t>Total población de 0 a 4 años con diagnostico</t>
  </si>
  <si>
    <t>Total población de 0 a 4 años</t>
  </si>
  <si>
    <t>"Ajuste_" Excepto: 6 o D o R</t>
  </si>
  <si>
    <t>primera infancia</t>
  </si>
  <si>
    <t>&lt;=1%</t>
  </si>
  <si>
    <t>&gt;1%</t>
  </si>
  <si>
    <t>0.72%</t>
  </si>
  <si>
    <t>0.6%</t>
  </si>
  <si>
    <t>12/12/2025 Se avala por jefe Elsa para cambio de tablero se pasa del tablero de RPYMS al de Salud Públcia.  9/12/2024: sin modificación</t>
  </si>
  <si>
    <t>RPYMS352X</t>
  </si>
  <si>
    <t>Proporción de menores de 0 a 4 años desnutrición crónica</t>
  </si>
  <si>
    <t>Es la proporción de menores de 0 a 4 años con desnutrición crónica</t>
  </si>
  <si>
    <t>Desnutrición Cronica</t>
  </si>
  <si>
    <t>talla mas reciente: edad a la talla de 0 a 4 años
Z-score T/E: menor a -2DE</t>
  </si>
  <si>
    <t>1 - Resolución 202. 
Peso y talla: Variable 31 y 32
peso y talla mas reciente
* Se calcula el estado nutricional a la edad de la toma de la talla</t>
  </si>
  <si>
    <t>Se considera que hay retraso en talla cuando la talla se encuentra por debajo de menos 2 desviaciones estándar de la mediana del grupo de referencia. Los patrones de referencia utilizados para establecer cuales niños presentan una antropometría localizada en menos 2 DE, corresponden a los publicados por la OMS en el 2006 y adoptados por el país mediante Resolución 2465 de 2016, la que la modifique o sustituya.</t>
  </si>
  <si>
    <t>12.95%</t>
  </si>
  <si>
    <t>12.51%</t>
  </si>
  <si>
    <t>RPYMS261X</t>
  </si>
  <si>
    <t>Proporción de personas con alteracion nutricional que reciben valoración por nutrición</t>
  </si>
  <si>
    <t>Proporción de personas con alteraciones nutricionales por déficit o exceso (DNT/Delgadez - Obesidad) que reciben valoración por nutrición</t>
  </si>
  <si>
    <t>Valoracion por Nutrición</t>
  </si>
  <si>
    <t>Número de personas con DNT-Delgadez u Obesidad
Que registra valoración por Nutrición en los ultimos 12 meses
Fecha de consulta de Nutrición debe ser mayor o igual a la fecha de peso</t>
  </si>
  <si>
    <t>Número de niños de 0 a 5 años
Z-score P/T: &lt;= -2DE y &gt;=+3DE
Número de personas entre 6 y 17 años con peso y talla valido (ultimos 12 meses)
Z-score IMC/E: &lt;= -2DE y &gt;=+2DE
Número de personas de 18 años y más con peso y talla valido (ultimos 5 años)
IMC: Normal: &lt; 18,5 a &gt;= 30
Que registran peso y talla validos en los ultimos 5 años</t>
  </si>
  <si>
    <t>RIPS AC
890106 -  ATENCION [VISITA] DOMICILIARIA POR NUTRICION Y DIETETICA
890206 -  CONSULTA DE PRIMERA VEZ POR NUTRICION Y DIETETICA
890306 - CONSULTA DE CONTROL O DE SEGUIMIENTO POR NUTRICION Y DIETETICA
890406 - INTERCONSULTA POR NUTRICION Y DIETÉTICA</t>
  </si>
  <si>
    <t>1- Res 202. 
Peso: Variable 29: fecha valida  + variable 30: dato obtenido
Talla: Variable 31: fecha valida  + variable 32: dato obtenido 
el rango se calcula a la Fecha del peso
DNT-Delgadez u Obesidad</t>
  </si>
  <si>
    <t>* 5 años atrás incluyendo el mes a evaluar para mayores de 18 años
* Medición unica en población de 0 a 5 años y
* últimos 12 meses incluyendo el mes a evaluar en población de 6 a 17 años</t>
  </si>
  <si>
    <t>poblacion con DNT-Delgadez u Obesidad con valoracion por Nutrición</t>
  </si>
  <si>
    <t>edad objeto a mes a evaluar que cumplan con criterios de Peso y talla valido (peso ultimos 5 años), con estado nutricional de DNT-Delgadez u Obesidad</t>
  </si>
  <si>
    <t>De la población del denominador, verificar que todos los usuarios tengan Clasificacion Nutricional,posteriormente ir a la variables "fecha Consulta Nutrición" y solo marcar los ultimos 12 meses incluyendo el mes a evaluar", finalmente crear una variable donde van a validar que la fecha de la consulta DEBE ser mayor o igual a la fecha de peso, haciendo este filtro se tiene el dato apra el numerador.</t>
  </si>
  <si>
    <t>De la base de salud nutricional para la marcación del denominador se debe desagregar el denominador por edades asi: 0 a 5, 6 a 17 y 18 y más años; teniendo en cuenta las siguientes condiciones de filtros:
*0 a 5 validar el Z-score P/T: &lt;= -2DE y &gt;=+3DE,  es decir que este por debajo o igual de menos 2 ó mayor o igual a 3 y adicional fecha de peso valida
*6 a 17 validar el Z-score IMC/E: &lt;= -2DE y &gt;=+2DE, es decir que este por debajo de menos 2 ó mayor a 2 y tengan fecha y talla valida en los ultimos 12 meses
*18 y más años validar el IMC: Normal: &lt; 18,5 a &gt;= 30, es decir que sea menor de 18,5 ó igual o mayor de 30 y que tengan peso y talla valido en los ultimos 5 años
Una vez estos filtros se realiza la sumatoria de los 3 rangos de edades para obtener el denominador.</t>
  </si>
  <si>
    <r>
      <t xml:space="preserve">Cohorte Salud Nutricional
</t>
    </r>
    <r>
      <rPr>
        <strike/>
        <sz val="10"/>
        <color theme="1"/>
        <rFont val="Calibri Light"/>
        <family val="2"/>
        <scheme val="major"/>
      </rPr>
      <t>Todas</t>
    </r>
  </si>
  <si>
    <t>4.06%</t>
  </si>
  <si>
    <t>15/12/2025: se ajusta puntaje, eyav // 12/12/2025 Sin modificación 12/09/2025  Se aclara definición del numerador, condiciones del denominador en la variable periodo y se actualiza la cohorte para validación del dato. 9/12/2024: sin modificación</t>
  </si>
  <si>
    <t>RPYMS334X</t>
  </si>
  <si>
    <t>Proporción de niños y niñas de 6 a 59 meses con anemia nutricional</t>
  </si>
  <si>
    <t>Es la proporción de personas de 6 a 59 meses con anemia nutricional</t>
  </si>
  <si>
    <t>Anemia</t>
  </si>
  <si>
    <t>Número de niños y niñas de 6 a 59 meses con anemia nutricional en diagnóstico principal y diagnóstico relacionados en todos los servicios del último año
Fecha a la consulta de 6 a 59 meses</t>
  </si>
  <si>
    <t>niños de 6 a 59 meses
Con Valoración por medicina o enfermeria
año Vigente
Fecha a la consulta de 6 a 59 meses</t>
  </si>
  <si>
    <t>1_RIPS CIE 10: 
D508, D509, D513, D518, D519, D520, D538, D539
consulta año vigente</t>
  </si>
  <si>
    <t>1- RIPS. 
* CUPS: MEDICINA 
89.0.2.01 (consulta de primera vez por medicina general)
89.0.3.01 (Consulta de control o seguimiento por medicina general)
89.0.2.63 (consulta de primera vez por especialista en medicina familiar)
89.0.3.63 (Consulta de control o seguimiento por especialista en medicina familiar).
89.0.2.83 (consulta de primera vez por especialista en pediatría)
89.0.3.83 (Consulta de control o seguimiento por especialista en pediatría)
* CUPS: ENFERMERIA
89.0.2.05 (Consulta de primera vez por enfermería)
89.0.3.05 (Consulta de control o de seguimiento por enfermería)</t>
  </si>
  <si>
    <t>Poblacion de 6 a 59 meses con atencion en los servicios de salud con el diagnostico de anemia asociado</t>
  </si>
  <si>
    <t>Poblacion de 6 a 59 meses con atencion en los servicios de salud</t>
  </si>
  <si>
    <t>Prevalencia (24,7% - Encuesta Nacional de Salud Nutricional (ENSIN) 2015</t>
  </si>
  <si>
    <t>&lt;=20%</t>
  </si>
  <si>
    <t>&gt;20%</t>
  </si>
  <si>
    <t>1.03%</t>
  </si>
  <si>
    <t>0.97%</t>
  </si>
  <si>
    <t>RPYMS251X</t>
  </si>
  <si>
    <t>Porcentaje  de mujeres de 10 a 17 años que registran anemia</t>
  </si>
  <si>
    <t>Proporción de mujeres de 10 a 17 años a quienes se realizó tamizaje de hemoglobina y se detectó anemia</t>
  </si>
  <si>
    <t>Número de mujeres de 10 a 17 años con resgistro de toma de Hemoglobina en año vigente con resultados asi:
Edad a la toma del laboratorio: 10 a 14 años -  Resultado: &lt;12 g/dL
Edad a la toma del laboratorio: 15 a 17 años -  Resultado: &lt;13 g/dL</t>
  </si>
  <si>
    <t>Total de mujeres de 10 a 17 años 
con registro de toma de hemoglobina y resultado
Año vigente</t>
  </si>
  <si>
    <t>1- Res 202. 
   Variable 103 - fecha valida  y Variable 104: Resultado</t>
  </si>
  <si>
    <t>Mujeres de 10 a 17 años con registro de resultado de hemoglobina anormal</t>
  </si>
  <si>
    <t>Mujeres de 10 a 17 años con registro de toma de hemoglobina</t>
  </si>
  <si>
    <t>De acuerdo con los resultados deindciadores de los Cubos sispro nueva EPS para el año 2020 tiene un reporte de mujeres de 10 a 13 años con anemia para el RC 0,74 % de y para RS de 2,17% por lo tanto se deja como meta un resultado &lt; a 3%
CAPO 2022 - cubos BDUA : 2020</t>
  </si>
  <si>
    <t>&lt;=3%</t>
  </si>
  <si>
    <t>&lt;=30%</t>
  </si>
  <si>
    <t>&gt;3%</t>
  </si>
  <si>
    <t>24.81%</t>
  </si>
  <si>
    <t>23.26%</t>
  </si>
  <si>
    <t>15/12/2025: Modificación del nombre del indicador, medición igual, eyav// 12/12/2025 Sin modificación  9/12/2024: sin modificación</t>
  </si>
  <si>
    <t>RPYMS15X</t>
  </si>
  <si>
    <t>Proporción de personas con tamizaje para riesgo cardiovascular y metabólico</t>
  </si>
  <si>
    <t>Proporción de personas  de 18 años y mas con toma de paquete completo de laboratorios de tamizaje cardiovascular según esquema</t>
  </si>
  <si>
    <t>Cardiometabolico</t>
  </si>
  <si>
    <t>Tamizaje cardiometabolico</t>
  </si>
  <si>
    <t>Número de personas tamizadas para riesgo cardiovascular y metabólico, en juventud, adultez y vejez, con fecha valida de: 90.7.1.06 (uroanálisis) ,90.3.8.41 (glucosa en suero u otro fluido diferente a orina), 90.3.8.95 (creatinina en suero u otros fluidos), 90.3.8.68 (triglicéridos), 90.3.8.18 (colesterol total), 90.3.8.15 (colesterol de alta densidad), 90.3.8.16 (colesterol de baja densidad semiautomatizado), Nota: Contar el número de personas con resultados en todos los CUPS
Diferencia no mayor de 1 mes entre las pruebas
Últimos 5 años incluyendo mes evaluado
Juventud:
Edad corte: 18  años - Laboratorios: Últimos 12 meses
Edad corte: 18 a 28 años - Laboratorios: 18 a 28 años
Adultez:
Edad corte: 29  años - Laboratorios: Últimos 12 meses
Edad corte: 29 a 59 años - Laboratorios: 29 a 59 años 
Vejez:
Edad corte: 60 años - Laboratorios: Últimos 12 meses
Edad corte: 60 años y más - Laboratorios: 60 años y más
NOTA: Se verificara que la fecha del laboratorio mas antigua se encuentre en los últimos 12 meses
y se verificara que cumpla con la dad al corte y a la fecha de laboratorio</t>
  </si>
  <si>
    <t xml:space="preserve">Total de población de 18 años y más
</t>
  </si>
  <si>
    <t>1- RIPS, Fecha válida de los siguientes CUPS:
90.7.1.06 (uroanálisis)
90.3.8.41 (glucosa en suero u otro fluido diferente a orina)
90.3.8.95 (creatinina en suero u otros fluidos)
90.3.8.25 (creatinina en suero u otros fluidos)
90.3.8.68 (triglicéridos)
90.3.8.18 (colesterol total)
90.3.8.15 (colesterol de alta densidad)
90.3.8.16 (colesterol de baja densidad semiautomatizado)
90.3.8.17 (colesterol de baja densidad LDL automatizado)
Contar el número de personas con resultados en todos los CUPS
2- Res 202 - variables con fecha válida:
Variable 72 - Fecha LDL
Variable 105 - Fecha glicemia
Variable 106 - Fecha Creatinina
Variable 111 - Fecha HDL
Variable 118 - Fecha Triglicéridos
(no se validará resultado, dado que RIPS no se tiene la opción)</t>
  </si>
  <si>
    <t>5 años incluyendo mes evaluado
No debe superar mas de un mes entre los laboratorios</t>
  </si>
  <si>
    <t>18 años y mas
Registro de laboratorios según rango de edad</t>
  </si>
  <si>
    <t>Se excluyen del numerador los usuarios con: HTA, diabetes, ERC</t>
  </si>
  <si>
    <t>Se excluyen del denominador los usuarios con: HTA, diabetes, ERC</t>
  </si>
  <si>
    <t xml:space="preserve">1. Calcular edad a la fecha de corte y filtrar usuarios de 18  y mas años.
2. Filtrar usuarios de 18 y mas años  que no tengan HTA, Diabetes, ERC.  
3..Calcular edad a la fecha del ultimo paquete cardiometabolico y filtrar usuarios de 18 y mas años 
4.  Filtrar en ultimo paquete cardiometabolico  y validar de acuerdo a cada subgrupo o en los últimos 12 meses, según esquema descrito en la definición de variables del numerador 
5. Tener en cuenta últimos 5 años incluyendo mes evaluado y que la diferencia entre las pruebas de laboratorio no sea  mayor de 1 mes. 
</t>
  </si>
  <si>
    <t xml:space="preserve">1. Filtrar población de 18 y mas años activos y nuevos.
2. Filtrar usuarios de 18  y mas años que no tengan HTA, Diabetes, ERC.
</t>
  </si>
  <si>
    <t>32.05%</t>
  </si>
  <si>
    <t>35.87%</t>
  </si>
  <si>
    <t>11/02/2025 Se realiza eliminación de los 3 meses de afiliación. 17/07/2024 Se ajusta la cohorte para validar, se cambia de cada curso de vida a la cohorte cadiometabolica</t>
  </si>
  <si>
    <t>RPYMS16X</t>
  </si>
  <si>
    <t>Proporción de personas con tamizaje para riesgo cardiovascular y metabólico en la juventud</t>
  </si>
  <si>
    <t>Proporción de personas  de 18 a 28 años con toma de paquete completo de laboratorios de tamizaje cardiovascular según esquema</t>
  </si>
  <si>
    <t>Número de personas tamizadas para riesgo cardiovascular y metabólico, en juventud, con fecha valida de: 90.7.1.06 (uroanálisis) ,90.3.8.41 (glucosa en suero u otro fluido diferente a orina), 90.3.8.95 (creatinina en suero u otros fluidos), 90.3.8.68 (triglicéridos), 90.3.8.18 (colesterol total), 90.3.8.15 (colesterol de alta densidad), 90.3.8.16 (colesterol de baja densidad semiautomatizado), Nota: Contar el número de personas con resultados en todos los CUPS
Diferencia no mayor de 1 mes entre las pruebas
Últimos 5 años incluyendo mes evaluado
Subgrupos:
Edad corte: 18 años - Laboratorios: Últimos 12 meses
Edad corte: 18 a 23 años - Laboratorios: 18 a 23 años
Edad corte: 24 años - Laboratorios: Últimos 12 meses
Edad corte: 24 a 28 años - Laboratorios: 24 a 28 años
NOTA: Se verificara que la fecha del laboratorio mas antigua se encuentre en los últimos 12 meses - y se verificara que cumpla con la dad al corte y a la fecha de laboratorio</t>
  </si>
  <si>
    <t xml:space="preserve">Total de población de 18 a 28 años
</t>
  </si>
  <si>
    <t>1- RIPS, Fecha válida de los siguientes CUPS:
90.7.1.06 (uroanálisis)
90.3.8.41 (glucosa en suero u otro fluido diferente a orina)
90.3.8.95 (creatinina en suero u otros fluidos)
90.3.8.25 (creatinina en suero u otros fluidos)
90.3.8.68 (triglicéridos)
90.3.8.18 (colesterol total)
90.3.8.15 (colesterol de alta densidad)
90.3.8.16 (colesterol de baja densidad semiautomatizado)
90.3.8.17 (colesterol de baja densidad LDL automatizado)
Contar el número de personas con resultados en todos los 
2- Res 202 - variables con fecha válida:
Variable 72 - Fecha LDL
Variable 105 - Fecha glicemia
Variable 106 - Fecha Creatinina
Variable 111 - Fecha HDL
Variable 118 - Fecha Triglicéridos
(no se validará resultado, dado que RIPS no se tiene la opción)</t>
  </si>
  <si>
    <t>18 a 28 años
Registro de laboratorios según rango de edad</t>
  </si>
  <si>
    <t xml:space="preserve">1. Calcular edad a la fecha de corte y filtrar usuarios de 18 a 28 años 
2. Filtrar usuarios de 18 a 28 años  que no tengan HTA, Diabetes, ERC.  
3..Calcular edad a la fecha del ultimo paquete cardiometabolico y filtrar usuarios de 18 a 28 años.  
4.  Filtrar en ultimo paquete cardiometabolico  y validar de acuerdo a cada subgrupo o en los últimos 12 meses, según esquema descrito en la definición de variables del numerador 
5. Tener en cuenta últimos 5 años incluyendo mes evaluado y que la diferencia entre las pruebas de laboratorio no sea  mayor de 1 mes. 
</t>
  </si>
  <si>
    <t xml:space="preserve">1. Calcular edad a la fecha de corte.
.1. Filtrar población de 18 a 28  años activos y nuevos.
2. Filtrar usuarios de 18  a 28 años que no tengan HTA, Diabetes, ERC.
</t>
  </si>
  <si>
    <t>Cohorte Cardiometabolico
Variables:
Hipertensión - Diabetes - Enfermedad Renal Crónica</t>
  </si>
  <si>
    <t>18.94%</t>
  </si>
  <si>
    <t>20.94%</t>
  </si>
  <si>
    <t>RPYMS115X</t>
  </si>
  <si>
    <t>Cumplimiento tamizaje para riesgo cardiovascular y metabólico en la juventud durante el año vigente</t>
  </si>
  <si>
    <t>Personas  de 18 a 28 años con toma de paquete completo de laboratorios de tamizaje cardiovascular en el año vigente</t>
  </si>
  <si>
    <t>Número de personas tamizadas para riesgo cardiovascular y metabólico, en juventud, con fecha valida de: 90.7.1.06 (uroanálisis) ,90.3.8.41 (glucosa en suero u otro fluido diferente a orina), 90.3.8.95 (creatinina en suero u otros fluidos), 90.3.8.68 (triglicéridos), 90.3.8.18 (colesterol total), 90.3.8.15 (colesterol de alta densidad), 90.3.8.16 (colesterol de baja densidad semiautomatizado), Nota: Contar el número de personas con resultados en todos los CUPS
Diferencia no mayor de 1 mes entre las pruebas
Edad laboratorio: 18 a 28 años - Laboratorios: Año vigente
NOTA: Se verificara que la edad a la toma del laboratorio sea mayor o igual a 18 años</t>
  </si>
  <si>
    <t>Total de población de 18 a 28 años 
Dividido en 12 y multiplicado por mes a evaluar</t>
  </si>
  <si>
    <t>Población del denominador
Registro de consultas según esquema
Año vigente</t>
  </si>
  <si>
    <t>Población al mes a evaluar activos y nuevos
18 a 28 años
Dividido en 12 y multiplicado por mes a evaluar</t>
  </si>
  <si>
    <t xml:space="preserve">1. Calcular edad a la fecha de corte y filtrar de usuarios de 18 a 28 años  
2.Calcular edad a la fecha del ultimo paquete cardiometabolico y filtrar usuarios de 18 a 28 años 
3. Filtrar de 18 a 28 años que no tengan HTA, Diabetes, ERC.
4.  Filtrar en ultimo paquete cardiometabolico los que tengan laboratorios en el año vigente y que la diferencia entre los laboratorios no sea mayor a un mes.   
</t>
  </si>
  <si>
    <t>1. Filtrar población de 18 a 28 años mas activos y nuevos.
2. Filtrar usuarios de 18 a 28 años  que no tengan HTA, Diabetes, ERC.
3. Dividir en 12 y multiplicar  por mes a evaluar en el año vigente</t>
  </si>
  <si>
    <t>11.62%</t>
  </si>
  <si>
    <t>10.87%</t>
  </si>
  <si>
    <t>15/12/2025: se cambia a informativo, dado que es segun riesgo, eyav //05/03/2025 Se ajusta nombre del indicador, definición operacional, población numerador y denominador, se aclara cohorte para validar.  11/02/2025 Se realiza eliminación de los 3 meses de afiliación. 17/07/2024 Se ajusta la cohorte para validar, se cambia de cada curso de vida a la cohorte cadiometabolica</t>
  </si>
  <si>
    <t>RPYMS17X</t>
  </si>
  <si>
    <t>Proporción de personas con tamizaje para riesgo cardiovascular y metabólico en la adultez</t>
  </si>
  <si>
    <t>Proporción de personas  de 29 a 59 años con toma de paquete completo de laboratorios de tamizaje cardiovascular según esquema</t>
  </si>
  <si>
    <t>Número de personas tamizadas para riesgo cardiovascular y metabólico, en adultez, con fecha valida de: 90.7.1.06 (uroanálisis) ,90.3.8.41 (glucosa en suero u otro fluido diferente a orina), 90.3.8.95 (creatinina en suero u otros fluidos), 90.3.8.68 (triglicéridos), 90.3.8.18 (colesterol total), 90.3.8.15 (colesterol de alta densidad), 90.3.8.16 (colesterol de baja densidad semiautomatizado), Nota: Contar el número de personas con resultados en todos los CUPS
Diferencia no mayor de 1 mes entre las pruebas
Últimos 5 años incluyendo mes evaluado
Subgrupos:
Edad corte: 29  años - Laboratorios: Últimos 12 meses
Edad corte: 29 a 34 años - Laboratorios: 29 a 34 años
Edad corte: 35  años - Laboratorios: Últimos 12 meses
Edad corte: 35 a 39 años - Laboratorios: 35 a 39 años
Edad corte: 40  años - Laboratorios: Últimos 12 meses
Edad corte: 40 a 44 años - Laboratorios: 40 a 44 años
Edad corte: 45  años - Laboratorios: Últimos 12 meses
Edad corte: 45 a 49 años - Laboratorios: 45 a 49 años
Edad corte: 50  años - Laboratorios: Últimos 12 meses
Edad corte: 50 a 54 años - Laboratorios: 50 a 54 años
Edad corte: 55  años - Laboratorios: Últimos 12 meses
Edad corte: 55 a 59 años - Laboratorios: 55 a 59 años
NOTA: Se verificara que se cumpla con la edad al corte y la edad al laboratorio o validez del mismo - y se verificara que cumpla con la dad al corte y a la fecha de laboratorio</t>
  </si>
  <si>
    <t xml:space="preserve">Total de población de 29 a 59 años
</t>
  </si>
  <si>
    <t>29 a 59 años
Registro de laboratorios según rango de edad</t>
  </si>
  <si>
    <t xml:space="preserve">1. Calcular edad a la fecha de corte y filtrar usuarios de 29 a 59 años 
2. Filtrar usuarios de 29 a 59 años  que no tengan HTA, Diabetes, ERC.  
3..Calcular edad a la fecha del ultimo paquete cardiometabolico y filtrar usuarios de 29 a 59 años.  
4.  Filtrar en ultimo paquete cardiometabolico  y validar de acuerdo a cada subgrupo o en los últimos 12 meses, según esquema descrito en la definición de variables del numerador 
5. Tener en cuenta últimos 5 años incluyendo mes evaluado y que la diferencia entre las pruebas de laboratorio no sea  mayor de 1 mes. 
</t>
  </si>
  <si>
    <t xml:space="preserve">1. Calcular edad a la fecha de corte.
.1. Filtrar población de 29 a 59  años activos y nuevos.
2. Filtrar usuarios de 29 a 59 años que no tengan HTA, Diabetes, ERC.
</t>
  </si>
  <si>
    <t>28.29%</t>
  </si>
  <si>
    <t>29.58%</t>
  </si>
  <si>
    <t>15/12/2025: se cambia a evaluativo, (la idea es dejar cobertura con 10 puntos y cumplimiento con 30); 11/02/2025 Se realiza eliminación de los 3 meses de afiliación. 17/07/2024 Se ajusta la cohorte para validar, se cambia de cada curso de vida a la cohorte cadiometabolica</t>
  </si>
  <si>
    <t>RPYMS116X</t>
  </si>
  <si>
    <t>Cumplimiento tamizaje para riesgo cardiovascular y metabólico en la adultez durante el año vigente</t>
  </si>
  <si>
    <t>Personas  de 29 a 59 años con toma de paquete completo de laboratorios de tamizaje cardiovascular en el año vigente</t>
  </si>
  <si>
    <t>Número de personas tamizadas para riesgo cardiovascular y metabólico, en adultez, con fecha valida de: 90.7.1.06 (uroanálisis) ,90.3.8.41 (glucosa en suero u otro fluido diferente a orina), 90.3.8.95 (creatinina en suero u otros fluidos), 90.3.8.68 (triglicéridos), 90.3.8.18 (colesterol total), 90.3.8.15 (colesterol de alta densidad), 90.3.8.16 (colesterol de baja densidad semiautomatizado), Nota: Contar el número de personas con resultados en todos los CUPS
Diferencia no mayor de 1 mes entre las pruebas
Año vigente incluyendo mes evaluado
Subgrupos:
Edad laboratorio: 29 a 59 años - Laboratorios: Año vigente
NOTA: Se verificara que se cumpla con la edad a la  toma del laboratorio</t>
  </si>
  <si>
    <t>Población al mes a evaluar activos y nuevos
29 a 59 años 
Dividido en 12 y multiplicado por mes a evaluar</t>
  </si>
  <si>
    <t xml:space="preserve">1. Calcular edad a la fecha de corte y filtrar de usuarios de 29 a 59 años  
2.Calcular edad a la fecha del ultimo paquete cardiometabolico y filtrar usuarios de 29 a 59 años 
3. Filtrar de 29 a 59 años que no tengan HTA, Diabetes, ERC.
4.  Filtrar en ultimo paquete cardiometabolico los que tengan laboratorios en el año vigente y que la diferencia entre los laboratorios no sea mayor a un mes.   
</t>
  </si>
  <si>
    <t>1. Filtrar población de 29 a 59 años mas activos y nuevos.
2. Filtrar usuarios de 29 a 59 años que no tengan HTA, Diabetes, ERC.
3. Dividir en 12 y multiplicar  por mes a evaluar en el año vigente</t>
  </si>
  <si>
    <t>903815
903816
903818
903895
903841
903868
907106</t>
  </si>
  <si>
    <t>16.21%</t>
  </si>
  <si>
    <t>15.37%</t>
  </si>
  <si>
    <t>05/03/2025 Se ajusta nombre del indicador, definición operacional, población numerador y denominador, se aclara cohorte para validar.  11/02/2025 Se realiza eliminación de los 3 meses de afiliación. 17/07/2024 Se ajusta la cohorte para validar, se cambia de cada curso de vida a la cohorte cadiometabolica</t>
  </si>
  <si>
    <t>RPYMS18X</t>
  </si>
  <si>
    <t>Proporción de personas con tamizaje para riesgo cardiovascular y metabólico en la vejez</t>
  </si>
  <si>
    <t>Proporción de personas  de 60 años y mas con toma de paquete completo de laboratorios de tamizaje cardiovascular según esquema</t>
  </si>
  <si>
    <t>Número de personas tamizadas para riesgo cardiovascular y metabólico, en vejez, con fecha valida de: 90.7.1.06 (uroanálisis) ,90.3.8.41 (glucosa en suero u otro fluido diferente a orina), 90.3.8.95 (creatinina en suero u otros fluidos), 90.3.8.68 (triglicéridos), 90.3.8.18 (colesterol total), 90.3.8.15 (colesterol de alta densidad), 90.3.8.16 (colesterol de baja densidad semiautomatizado), Nota: Contar el número de personas con resultados en todos los CUPS
Diferencia no mayor de 1 mes entre las pruebas
Últimos 5 años incluyendo mes evaluado
Subgrupos:
Edad corte: 60 años - Laboratorios: Últimos 12 meses
Edad corte: 60 a 64 años - Laboratorios: 60 a 64 años
Edad corte: 65 años - Laboratorios: Últimos 12 meses
Edad corte: 65 a 69 años - Laboratorios: 65 a 69 años
Edad corte: 70 años - Laboratorios: Últimos 12 meses
Edad corte: 70 a 74 años - Laboratorios: 70 a 74 años
Edad corte: 75 años - Laboratorios: Últimos 12 meses
Edad corte: 75 a 79 años - Laboratorios: 75 a 79 años
Edad corte: 80 años - Laboratorios: Últimos 12 meses
Edad corte: 80 años y más- Laboratorios: 80 años y más
NOTA: Se verificara que se cumpla con la edad al corte y la edad al laboratorio o validez del mismo</t>
  </si>
  <si>
    <t>60 años y mas
Registro de laboratorios según rango de edad</t>
  </si>
  <si>
    <t xml:space="preserve">1. Calcular edad a la fecha de corte y filtrar usuarios de 60 y mas años 
2. Filtrar usuarios de 60 y mas años que no tengan HTA, Diabetes, ERC.  
3..Calcular edad a la fecha del ultimo paquete cardiometabolico y filtrar usuarios de 60 y mas años.  
4.  Filtrar en ultimo paquete cardiometabolico  y validar de acuerdo a cada subgrupo o en los últimos 12 meses, según esquema descrito en la definición de variables del numerador 
5. Tener en cuenta últimos 5 años incluyendo mes evaluado y que la diferencia entre las pruebas de laboratorio no sea  mayor de 1 mes. 
</t>
  </si>
  <si>
    <t xml:space="preserve">1. Calcular edad a la fecha de corte.
.1. Filtrar población de 60 y mas  años activos y nuevos.
2. Filtrar usuarios de 60 y mas años que no tengan HTA, Diabetes, ERC.
</t>
  </si>
  <si>
    <t>35.63%</t>
  </si>
  <si>
    <t>36.37%</t>
  </si>
  <si>
    <t>15/12/2025: se cambia a evaluativo, la idea es evaluar siempre cobertura y cumplimiento, para la recuperación de actividades de años anteriores y las actuales, eyav //11/02/2025 Se realiza eliminación de los 3 meses de afiliación. 17/07/2024 Se ajusta la cohorte para validar, se cambia de cada curso de vida a la cohorte cadiometabolica</t>
  </si>
  <si>
    <t>RPYMS117X</t>
  </si>
  <si>
    <t>Cumplimiento tamizaje para riesgo cardiovascular y metabólico en la vejez durante el año vigente</t>
  </si>
  <si>
    <t>Personas  de 60 años y mas con toma de paquete completo de laboratorios de tamizaje cardiovascular en el año vigente</t>
  </si>
  <si>
    <t>Número de personas tamizadas para riesgo cardiovascular y metabólico, en vejez, con fecha valida de: 90.7.1.06 (uroanálisis) ,90.3.8.41 (glucosa en suero u otro fluido diferente a orina), 90.3.8.95 (creatinina en suero u otros fluidos), 90.3.8.68 (triglicéridos), 90.3.8.18 (colesterol total), 90.3.8.15 (colesterol de alta densidad), 90.3.8.16 (colesterol de baja densidad semiautomatizado), Nota: Contar el número de personas con resultados en todos los CUPS
Diferencia no mayor de 1 mes entre las pruebas
Año vigente incluyendo mes evaluado
Subgrupos:
Edad laboratorio: 60 años  y más- Laboratorios: Año vigente 
NOTA: Se verificara que se cumpla con la edad a la  toma del laboratorio</t>
  </si>
  <si>
    <t>Total de población de 60 años y mas
Dividido en 12 y multiplicado por mes a evaluar</t>
  </si>
  <si>
    <t>Población al mes a evaluar activos y nuevos
60 años y mas
Dividido en 12 y multiplicado por mes a evaluar</t>
  </si>
  <si>
    <t xml:space="preserve">1. Calcular edad a la fecha de corte y filtrar de usuarios de 60 años y mas.  
2.Calcular edad a la fecha del ultimo paquete cardiometabolico y filtrar usuarios de 60 años y mas.  
3. Filtrar de 60 años y mas que no tengan HTA, Diabetes, ERC.
4.  Filtrar en ultimo paquete cardiometabolico los que tengan laboratorios en el año vigente y que la diferencia entre los laboratorios no sea mayor a un mes.   
</t>
  </si>
  <si>
    <t>1. Filtrar población de 60 años y  mas activos y nuevos.
2. Filtrar usuarios de 60 años y mas  que no tengan HTA, Diabetes, ERC.
3. Dividir en 12 y multiplicar  por mes a evaluar en el año vigente</t>
  </si>
  <si>
    <t>20.46%</t>
  </si>
  <si>
    <t>19.59%</t>
  </si>
  <si>
    <t>15/12/2025: : se ajusta puntaje// 31/03/2025 Se ajusta curso de vida en la definición del numerador.  05/03/2025 Se ajusta nombre del indicador, definición operacional, población numerador y denominador, se aclara cohorte para validar.   11/02/2025 Se realiza eliminación de los 3 meses de afiliación. 17/07/2024 Se ajusta la cohorte para validar, se cambia de cada curso de vida a la cohorte cadiometabolica</t>
  </si>
  <si>
    <t>RPYMS221X</t>
  </si>
  <si>
    <t>Proporción de personas con clasificación de riesgo cardiovascular o metabólico</t>
  </si>
  <si>
    <t>Personas que tengan al menos una clasificación de riesgo cardiovascular o metabólico en su curso de vida o últimos 5 años (Findrisk o Framingham)</t>
  </si>
  <si>
    <t>Escalas de riesgo cardiovascular y metabólico</t>
  </si>
  <si>
    <t>Número de personas con clasificación de riesgo cardiovascular o riesgo metabólico
Juventud:
Edad corte: 18 a 28 años - Edad Clasificación: 18 a 28 años
Adultez:
Edad corte: 29  años - Edad Clasificación:  Últimos 12 meses
Edad corte: 29 a 59 años - Edad Clasificación:  29 a 59 años 
Vejez:
Edad corte: 60 años - Edad Clasificación:  Últimos 12 meses
Edad corte: 60 años y más - Edad Clasificación:  60 años y más
NOTA: Se verificara que tenga al menos 1 de las clasificaciones de riesgo y que no supere 5 años en cada subgrupo
y se verificara que cumpla con la dad al corte y a la fecha de laboratorio</t>
  </si>
  <si>
    <t>1- Res 202 - variables con fecha válida:
Variable 114 -  opciones 4, 5 y 6
Variable 117 - opciones 4, 5 y 6
2- Datos adicionales:
TEST_FINNISH_RISK_(METABOLICO): 4, 5 o 6
TEST_FRAMINGHAN_(CARDIOVASCULAR): 4, 5 o 6</t>
  </si>
  <si>
    <t>18 años y mas
Registro de clasificación según rango de edad</t>
  </si>
  <si>
    <t xml:space="preserve">1. Calcular edad a la fecha de corte y filtrar de usuarios de 18 años y mas.  
2. Filtrar usuarios de 18 años y mas que no tengan HTA, Diabetes, ERC.
3.Calcular edad a la fecha de clasificación de riesgo cardiovascular y metabólico para filtrar usuarios de 18 años y mas.  
4. Filtrar en Fecha mas Reciente de Clasificación Riesgo Cardiovascular o metabólico 
5.  Filtrar en resultado de clasificación de riesgo cardiovascular o metabólico  los que tengan clasificación 4 alto, 5 bajo y 6 moderado 
</t>
  </si>
  <si>
    <t xml:space="preserve">1. Filtrar población de 18 años y  mas activos y nuevos.
2. Filtrar usuarios de 18 años y mas  que no tengan HTA, Diabetes, ERC.
</t>
  </si>
  <si>
    <t>36.39%</t>
  </si>
  <si>
    <t>43.38%</t>
  </si>
  <si>
    <t>RPYMS118X</t>
  </si>
  <si>
    <t>Cumplimiento en la clasificación de Riesgo Cardiovascular o Metabólico en el año</t>
  </si>
  <si>
    <t>Personas que tengan al menos una clasificación de riesgo cardiovascular o metabólico en su curso de vida en el año vigente  (Findrisk o Framingham)</t>
  </si>
  <si>
    <t>Número de personas con clasificación de riesgo cardiovascular o riesgo metabólico (Findrisk o Framingham)
Edad Clasificación: 18 años o mas - año vigente</t>
  </si>
  <si>
    <t>Total de población de 18 años y más
Dividido en 12 y multiplicado por mes a evaluar</t>
  </si>
  <si>
    <t>1- Res 202 - variables con fecha válida: (AÑO VIGENTE)
Variable 114 -  opciones 4, 5 y 6
Variable 117 - opciones 4, 5 y 6
2- Datos adicionales:
TEST_FINNISH_RISK_(METABOLICO): 4, 5 o 6
TEST_FRAMINGHAN_(CARDIOVASCULAR): 4, 5 o 6</t>
  </si>
  <si>
    <t>Población del denominador
Registro de clasificación según rango de edad
año vigente</t>
  </si>
  <si>
    <t>Variable:
Población al mes a evaluar activos y nuevos
18 años y más</t>
  </si>
  <si>
    <t xml:space="preserve">1. Calcular edad a la fecha de corte y filtrar de usuarios de 18 años y mas.  
2. Filtrar usuarios de 18 años y mas que no tengan HTA, Diabetes, ERC.
3.Calcular edad a la fecha de clasificación de riesgo cardiovascular y filtrar usuarios de 18 años y mas.  
4. Filtrar en Fecha mas Reciente de Clasificación Riesgo Cardiovascular los que registren año vigente
4.  Filtrar en resultado de clasificación de riesgo cardiovascular los que tengan clasificación 4 alto, 5 bajo y 6 moderado 
</t>
  </si>
  <si>
    <t>1. Filtrar población de 18 años y  mas activos y nuevos.
2. Filtrar usuarios de 18 años y mas  que no tengan HTA, Diabetes, ERC.
3. Dividir en 12 y multiplicar  por mes a evaluar en el año vigente</t>
  </si>
  <si>
    <t>Cohorte Cardiometabólico</t>
  </si>
  <si>
    <t>26.26%</t>
  </si>
  <si>
    <t>27.03%</t>
  </si>
  <si>
    <t>05/03/2025 Se ajusta definición del numerador, población del numerador y denominador, se aclara cohorte para validar.  11/02/2025 Se realiza eliminación de los 3 meses de afiliación.</t>
  </si>
  <si>
    <t>RPYMS119X</t>
  </si>
  <si>
    <t>Proporción de personas clasificadas según riesgo cardiovascular bajo</t>
  </si>
  <si>
    <t>Proporción de personas  de 18 años y mas con clasificación de riesgo cardiovascular Bajo, (TEST_FRAMINGHAN)</t>
  </si>
  <si>
    <t>Riesgo cardiovascular</t>
  </si>
  <si>
    <t>Número de personas clasificadas con riesgo cardiovascular bajo
filtrar por edad: juventud, adultez y vejez, luego, filtrar por la variable "Clasificación Riesgo Cardiovascular", tomar la opción: "5. bajo", contar el número de personas que cumplan con estos criterios</t>
  </si>
  <si>
    <t>Total de población de 18 años  que tengan clasificación de riesgo cardiovascular en los ultimos 5 años</t>
  </si>
  <si>
    <t>1- Res 202 - variables con fecha válida:
Variable 114 -  opciones  5 
2- Datos adicionales:
TEST_FRAMINGHAN_(CARDIOVASCULAR): 5</t>
  </si>
  <si>
    <t>Resolución 202- variables: 114 con resultado de respuesta en opciones 4 - 5 - 6 o datos adicionales TEST FRAMINGHAN con respuesta 4 - 5 - 6</t>
  </si>
  <si>
    <t>18 años y mas
con registro de resultado test cardiovascular</t>
  </si>
  <si>
    <t>Población de 18 años o mas, activa a fecha de corte:
con registro de toma de test cardiovascular en los ultimos 5 años</t>
  </si>
  <si>
    <t>1. Calcular edad a la fecha de corte y filtrar de usuarios de 18 años y mas.  
2. Filtrar por edad de 18 y mas años 
 3. Filtrar por la variable "Clasificación Riesgo Cardiovascular", tomar la opción: "5. bajo", contar el número de personas que cumplan con estos criterios</t>
  </si>
  <si>
    <t xml:space="preserve">1. Calcular edad a la fecha de corte.
.1. Filtrar población de 18  y mas  años activos y nuevos con registro de clasificación de riesgo cardiovascular (opciones 4,5,y 6) en los últimos cinco años incluyendo mes a evaluar. 
</t>
  </si>
  <si>
    <r>
      <rPr>
        <strike/>
        <sz val="10"/>
        <color theme="1"/>
        <rFont val="Calibri Light"/>
        <family val="2"/>
        <scheme val="major"/>
      </rPr>
      <t>Juventud
Adultez
Vejez</t>
    </r>
    <r>
      <rPr>
        <sz val="10"/>
        <color theme="1"/>
        <rFont val="Calibri Light"/>
        <family val="2"/>
        <scheme val="major"/>
      </rPr>
      <t>, Cohorte Cardiometabólico</t>
    </r>
  </si>
  <si>
    <t>56.89%</t>
  </si>
  <si>
    <t>58.88%</t>
  </si>
  <si>
    <t>12/09/2025 Se actualiza cohorte para validar el indicador. 9/12/2024: sin modificación</t>
  </si>
  <si>
    <t>RPYMS120X</t>
  </si>
  <si>
    <t>Proporción de personas clasificadas según riesgo cardiovascular moderado</t>
  </si>
  <si>
    <t>Proporción de personas  de 18 años y mas con clasificación de riesgo cardiovascular Moderado, (TEST_FRAMINGHAN)</t>
  </si>
  <si>
    <t>Número de personas clasificadas con riesgo cardiovascular moderado
filtrar por edad: juventud, adultez y vejez, luego, filtrar por la variable "Clasificación Riesgo Cardiovascular", tomar la opción: "6. moderado", contar el número de personas que cumplan con estos criterios</t>
  </si>
  <si>
    <t>1- Res 202 - variables con fecha válida:
Variable 114 -  opciones  6
2- Datos adicionales:
TEST_FRAMINGHAN_(CARDIOVASCULAR): 6</t>
  </si>
  <si>
    <t>1. Calcular edad a la fecha de corte y filtrar de usuarios de 18 años y mas.  
2. Filtrar por edad de 18 y mas años 
 3. Filtrar por la variable "Clasificación Riesgo Cardiovascular, tomar la opción (6 Moderado) y contar el número de personas que cumplan con estos criterios</t>
  </si>
  <si>
    <t>15.46%</t>
  </si>
  <si>
    <t>17.23%</t>
  </si>
  <si>
    <t>RPYMS121X</t>
  </si>
  <si>
    <t>Proporción de personas clasificadas según riesgo cardiovascular alto</t>
  </si>
  <si>
    <t>Proporción de personas  de 18 años y mas con clasificación de riesgo cardiovascular Alto (TEST_FRAMINGHAN)</t>
  </si>
  <si>
    <t>Número de personas clasificadas con riesgo cardiovascular alto
filtrar por edad: juventud, adultez y vejez, luego, filtrar por la variable "Clasificación Riesgo Cardiovascular", tomar la opción: "4. alto", contar el número de personas que cumplan con estos criterios</t>
  </si>
  <si>
    <t>1- Res 202 - variables con fecha válida:
Variable 114 -  opciones  4
2- Datos adicionales:
TEST_FRAMINGHAN_(CARDIOVASCULAR): 4</t>
  </si>
  <si>
    <t>1. Calcular edad a la fecha de corte y filtrar de usuarios de 18 años y mas.  
2. Filtrar por edad de 18 y mas años 
 3. Filtrar por la variable "Clasificación Riesgo Cardiovascular, tomar la opción (4 Alto ) y contar el número de personas que cumplan con estos criterios</t>
  </si>
  <si>
    <t>27.63%</t>
  </si>
  <si>
    <t>23.87%</t>
  </si>
  <si>
    <t>RPYMS122X</t>
  </si>
  <si>
    <t>Proporción de personas clasificadas según riesgo metabólico bajo</t>
  </si>
  <si>
    <t>Proporción de personas  de 18 años y mas con clasificación de riesgo metabólico Bajo (TEST_FINNISH_RICK)</t>
  </si>
  <si>
    <t>Riesgo metabólico</t>
  </si>
  <si>
    <t>Número de personas clasificadas con riesgo metabólico bajo
Filtrar por edad: juventud, adultez y vejez, luego, filtrar por la variable "Clasificación Riesgo metabólico", tomar la opción: "5. bajo", contar el número de personas que cumplan con estos criterios</t>
  </si>
  <si>
    <t>Total de población de 18 años  que tengan clasificación de riesgo metabólico en los ultimos 5 años</t>
  </si>
  <si>
    <t>1- Res 202 - variables con fecha válida:
Variable 117 -  opciones  5 
2- Datos adicionales:
TEST_FINNISH_RICK: 5</t>
  </si>
  <si>
    <t>Resolución 202- variables: 117 con resultado de respuesta en opciones 4 - 5 - 6 o datos adicionales TEST FINNISH RISK con respuesta 4 - 5 - 6</t>
  </si>
  <si>
    <t>18 años y mas
con registro de resultado test metabólico</t>
  </si>
  <si>
    <t>Población de 18 años o mas, activa a fecha de corte:
con registro de toma de test metabólico en los ultimos 5 años</t>
  </si>
  <si>
    <t>1. Calcular edad a la fecha de corte y filtrar de usuarios de 18 años y mas.  
2. Filtrar por edad de 18 y mas años 
 3. Filtrar por la variable "Clasificación Riesgo metabólico tomar la opción: "5. bajo", contar el número de personas que cumplan con estos criterios</t>
  </si>
  <si>
    <t xml:space="preserve">1. Calcular edad a la fecha de corte.
.1. Filtrar población de 18  y mas  años activos y nuevos con registro de clasificación de riesgo metabólico  (opciones 4,5,y 6) en los últimos cinco años incluyendo mes a evaluar. 
</t>
  </si>
  <si>
    <t>62.07%</t>
  </si>
  <si>
    <t>61.14%</t>
  </si>
  <si>
    <t>RPYMS123X</t>
  </si>
  <si>
    <t>Proporción de personas clasificadas según riesgo metabólico Moderado</t>
  </si>
  <si>
    <t>Proporción de personas  de 18 años y mas con clasificación de riesgo metabólico Moderado (TEST_FINNISH_RICK)</t>
  </si>
  <si>
    <t>Número de personas clasificadas con riesgo metabólico moderado
Filtrar por edad: juventud, adultez y vejez, luego, filtrar por la variable "Clasificación Riesgo metabólico", tomar la opción: "6. moderado", contar el número de personas que cumplan con estos criterios</t>
  </si>
  <si>
    <t>1- Res 202 - variables con fecha válida:
Variable 117 -  opciones  6
2- Datos adicionales:
TEST_FINNISH_RICK: 6</t>
  </si>
  <si>
    <t>1. Calcular edad a la fecha de corte y filtrar de usuarios de 18 años y mas.  
2. Filtrar por edad de 18 y mas años 
 3. Filtrar por la variable "Clasificación Riesgo metabólico tomar la opción: (6 Moderado), contar el número de personas que cumplan con estos criterios</t>
  </si>
  <si>
    <t>24.12%</t>
  </si>
  <si>
    <t>24.87%</t>
  </si>
  <si>
    <t>RPYMS124X</t>
  </si>
  <si>
    <t>Proporción de personas clasificadas según riesgo Metabólico alto</t>
  </si>
  <si>
    <t>Proporción de personas  de 18 años y mas con clasificación de riesgo metabólico Alto (TEST_FINNISH_RICK)</t>
  </si>
  <si>
    <t>Número de personas clasificadas con riesgo metabólico alto
Filtrar por edad: juventud, adultez y vejez, luego, filtrar por la variable "Clasificación Riesgo metabólico", tomar la opción: "4. alto", contar el número de personas que cumplan con estos criterios</t>
  </si>
  <si>
    <t>1- Res 202 - variables con fecha válida:
Variable 117 -  opciones  4
2- Datos adicionales:
TEST_FINNISH_RICK: 4</t>
  </si>
  <si>
    <t>1. Calcular edad a la fecha de corte y filtrar de usuarios de 18 años y mas.  
2. Filtrar por edad de 18 y mas años 
 3. Filtrar por la variable "Clasificación Riesgo metabólico tomar la opción: (4 Alto), contar el número de personas que cumplan con estos criterios</t>
  </si>
  <si>
    <t xml:space="preserve">1. Calcular edad a la fecha de corte.
2. Filtrar población de 18  y mas  años activos y nuevos con registro de clasificación de riesgo metabólico  (opciones 4,5,y 6) en los últimos cinco años incluyendo mes a evaluar. 
</t>
  </si>
  <si>
    <t>13.8%</t>
  </si>
  <si>
    <t>13.97%</t>
  </si>
  <si>
    <t>RPYMS263X</t>
  </si>
  <si>
    <t>Proporción de personas de 12 o más años atendidos en consulta de valoración integral y registre valoración IPA</t>
  </si>
  <si>
    <t>Proporción de personas de 12 o más años atendidos en consulta de valoración integral durante el ultimo año, a quienes registran valoración IPA</t>
  </si>
  <si>
    <t>Consumo Tabaco</t>
  </si>
  <si>
    <t>Personas de 12 años o mas con consulta de valoración integral en el ultimo año a quienes se les realizó medición IPA</t>
  </si>
  <si>
    <t>Total de personas de 12 o más años con consulta de valoración integral
Edad a la consulta:12 años y más</t>
  </si>
  <si>
    <t>1- Resolución 202
Variable 19 "Consumo de tabaco"
opciones: entre 0 a 95, 96, 97</t>
  </si>
  <si>
    <r>
      <t xml:space="preserve">1- RIPS. 
CUPS 89.0.2.01 (Consulta de primera vez por medicina general), 89.0.3.01 (Consulta de control o de seguimiento por medicina general), 89.0.2.63 (Consulta de primera vez por especialista en medicina familiar), 89.0.3.63 (Consulta de control o de seguimiento por especialista en medicina familiar), 89.0.2.05 (Consulta de primera vez por enfermería) y 89.0.3.05 (Consulta de control o de seguimiento por enfermería). </t>
    </r>
    <r>
      <rPr>
        <strike/>
        <sz val="10"/>
        <color theme="1"/>
        <rFont val="Calibri Light"/>
        <family val="2"/>
        <scheme val="major"/>
      </rPr>
      <t xml:space="preserve"> Luego filtrar por la variable edad: mayores de 12 años.</t>
    </r>
  </si>
  <si>
    <t>Edad al mes evaluado</t>
  </si>
  <si>
    <t>Población del denominador se les realizó medición IPA en el ultimo año</t>
  </si>
  <si>
    <t>Total de personas mayores de 12 o más años con consulta de valoración integral</t>
  </si>
  <si>
    <t>Se retira opcion 98, teniendo en cuenta los lineamientos de la Resolucion 202 DE 2021, para el reporte de la variable de IPA, el cual fue informado a las IPS y zonales en Mayo de 2022</t>
  </si>
  <si>
    <t xml:space="preserve">En cohorte de tabaquismo generada por Procex 
1.. Filtrar usuarios de 12 años y mas en edad a la fecha de consulta.  
2. Filtrar en Fecha  de reporte de IPA un año atrás incluyendo mes a evaluar. 
4.  Filtrar en variable Consumo_ Tabaco opciones: entre 0 a 95, 96, 97 
</t>
  </si>
  <si>
    <t xml:space="preserve">En cohorte de tabaquismo generada por Procex 
1.  Calcular edad a la fecha de
consulta.
2. Filtrar en edad a la fecha de consulta personas de 12 años y que registren código CUPS en variable  Codigo_Consulta </t>
  </si>
  <si>
    <r>
      <rPr>
        <strike/>
        <sz val="10"/>
        <color theme="1"/>
        <rFont val="Calibri Light"/>
        <family val="2"/>
        <scheme val="major"/>
      </rPr>
      <t xml:space="preserve">cohortes:Adolescencia, juventud, adultez y vejez </t>
    </r>
    <r>
      <rPr>
        <sz val="10"/>
        <color theme="1"/>
        <rFont val="Calibri Light"/>
        <family val="2"/>
        <scheme val="major"/>
      </rPr>
      <t xml:space="preserve">
*Numerador: Cohorte provisional Consumo Tabaco  Procex entregada a la Nacional
</t>
    </r>
  </si>
  <si>
    <t>46.32%</t>
  </si>
  <si>
    <t>40.23%</t>
  </si>
  <si>
    <t>12/09/2025 Se actualiza cohorte para validar indicador. 11/03/2025 Se ajusta la edad en todo el indicador para que se tome de 12 o más años.  5/03/2025 Se ajusta nombre del indicador, definición operacional, definición de numerador y denominador, fuente del numerador y denominador, periodo del numerador y denominador, población del numerador y denominador y se aclara la cohorte para validar.</t>
  </si>
  <si>
    <t>RPYMS126X</t>
  </si>
  <si>
    <t>Proporción de personas mayores de 12 años atendidos en consulta que consumen tabaco</t>
  </si>
  <si>
    <t>Es la proporción de personas mayores de 12 años, atendidos en consulta, que consumen tabaco</t>
  </si>
  <si>
    <t>Número de personas mayores de 12 años, atendidos, que consumen tabaco</t>
  </si>
  <si>
    <t>Total de personas mayores de 12 años que consultaron a los servicios de salud. 
Edad a la consulta:12 años y más</t>
  </si>
  <si>
    <r>
      <t xml:space="preserve">1- Resolución 202- Variable 19 opciones: entre </t>
    </r>
    <r>
      <rPr>
        <b/>
        <sz val="10"/>
        <color theme="1"/>
        <rFont val="Calibri Light"/>
        <family val="2"/>
        <scheme val="major"/>
      </rPr>
      <t>1</t>
    </r>
    <r>
      <rPr>
        <sz val="10"/>
        <color theme="1"/>
        <rFont val="Calibri Light"/>
        <family val="2"/>
        <scheme val="major"/>
      </rPr>
      <t xml:space="preserve"> a</t>
    </r>
    <r>
      <rPr>
        <b/>
        <sz val="10"/>
        <color theme="1"/>
        <rFont val="Calibri Light"/>
        <family val="2"/>
        <scheme val="major"/>
      </rPr>
      <t xml:space="preserve"> 96</t>
    </r>
    <r>
      <rPr>
        <sz val="10"/>
        <color theme="1"/>
        <rFont val="Calibri Light"/>
        <family val="2"/>
        <scheme val="major"/>
      </rPr>
      <t xml:space="preserve">
2. Fuentes adicionales consumo de Tabaco. Opción "si"
3. Visita preventiva de salud consumo de TabacoOpción "si"</t>
    </r>
  </si>
  <si>
    <t>1- CUPS 89.0.2.01 (Consulta de primera vez por medicina general), 89.0.3.01 (Consulta de control o de seguimiento por medicina general), 89.0.2.63 (Consulta de primera vez por especialista en medicina familiar), 89.0.3.63 (Consulta de control o de seguimiento por especialista en medicina familiar), 89.0.2.05 (Consulta de primera vez por enfermería) y 89.0.3.05 (Consulta de control o de seguimiento por enfermería).  Luego filtrar por la variable edad: mayores de 12 años.</t>
  </si>
  <si>
    <t>Edad mayor a 12 años al momento de la valoración</t>
  </si>
  <si>
    <t>Total de personas mayores de 12 años que consultaron a los servicios de salud con resultado de consumo de tabaco</t>
  </si>
  <si>
    <t xml:space="preserve">Total de personas mayores de 12 años que consultaron a los servicios de salud. </t>
  </si>
  <si>
    <t>Se ajustan las fuentes del indicador, dado que ficha original tiene como fuente RIPS modificado.</t>
  </si>
  <si>
    <t>Bogotá, 13 de octubre de 2020- La Encuesta Nacional de Consumo de Sustancias Psicoactivas en su versión 2019 reveló que durante los últimos seis años Colombia consolidó la disminución del consumo de tabaco al pasar del 12,9 % en 2013 a  9,8 % en 2019. La prevalencia de consumo de cigarrillo actual en adultos colombianos entre 18 y 69 años de edad es de 12,8%, siendo mayor en los hombres que en las mujeres. Hombres Mujeres Ambos sexos 19.5% 7.4% 12.8% respectivamente</t>
  </si>
  <si>
    <t xml:space="preserve">En cohorte de tabaquismo generada por Procex 
1.. Filtrar población del denominador de 12 años y mas 
2. Filtrar en Fecha  de reporte de IPA un año atrás incluyendo mes a evaluar. 
3.  Filtrar en variable Consumo_ Tabaco opciones: entre 1 a 96
</t>
  </si>
  <si>
    <t xml:space="preserve">En cohorte de tabaquismo generada por Procex 
1.  Calcular edad a la fecha del corte 
2. Calcular edad a la fecha de la consulta  de 12 años y mas. 
3. Filtrar en edad a la fecha de consulta personas de 12 años y  mas que registren código CUPS en variable  Codigo_Consulta </t>
  </si>
  <si>
    <r>
      <rPr>
        <strike/>
        <sz val="10"/>
        <color theme="1"/>
        <rFont val="Calibri Light"/>
        <family val="2"/>
        <scheme val="major"/>
      </rPr>
      <t>cohortes:Adolescencia, juventud, adultez y vejez</t>
    </r>
    <r>
      <rPr>
        <sz val="10"/>
        <color theme="1"/>
        <rFont val="Calibri Light"/>
        <family val="2"/>
        <scheme val="major"/>
      </rPr>
      <t xml:space="preserve">
*Numerador: Cohorte provisional Consumo Tabaco  Procex entregada a la Nacional</t>
    </r>
  </si>
  <si>
    <t>&lt;=12%</t>
  </si>
  <si>
    <t>&gt;12%</t>
  </si>
  <si>
    <t>4.51%</t>
  </si>
  <si>
    <t>5.32%</t>
  </si>
  <si>
    <t>12/12/2025 Sin modificación 12/09/2025 Se actualiza cohorte para validar indicador. 9/12/2024: sin modificación</t>
  </si>
  <si>
    <t>RPYMS125X</t>
  </si>
  <si>
    <t>Proporción de personas mayores de 12 años que consumen tabaco</t>
  </si>
  <si>
    <t>Proporción de personas que han consumido tabaco en algun momento de su vida</t>
  </si>
  <si>
    <t>Total de la población de 12 años o mas reportados con consumo de tabaco en algún momento de la vida</t>
  </si>
  <si>
    <t>Total de Población de 12 años o mas</t>
  </si>
  <si>
    <r>
      <t xml:space="preserve">1- Resolución 202- Variable 19 opciones: entre 1 a </t>
    </r>
    <r>
      <rPr>
        <b/>
        <sz val="10"/>
        <color theme="1"/>
        <rFont val="Calibri Light"/>
        <family val="2"/>
        <scheme val="major"/>
      </rPr>
      <t>97</t>
    </r>
    <r>
      <rPr>
        <sz val="10"/>
        <color theme="1"/>
        <rFont val="Calibri Light"/>
        <family val="2"/>
        <scheme val="major"/>
      </rPr>
      <t xml:space="preserve">
2. Fuentes adicionales consumo de Tabaco. Opción "si"
3. Visita preventiva de salud consumo de Tabaco Opción "si"</t>
    </r>
  </si>
  <si>
    <t>Total de Población atendida Mayor de 12 años con registro de consumo de tabaco (incluye exfumadores)</t>
  </si>
  <si>
    <t xml:space="preserve">En cohorte de tabaquismo generada por Procex 
1.. Filtrar población del denominador de 12 años y mas 
2.  Filtrar en variable Consumo_ Tabaco opciones: entre 1 a 97
</t>
  </si>
  <si>
    <t>En cohorte de tabaquismo generada por Procex 
1.  Calcular edad a la fecha del corte 
2.  Filtrar población de 12  y mas  años activos y nuevos</t>
  </si>
  <si>
    <r>
      <rPr>
        <strike/>
        <sz val="10"/>
        <color theme="1"/>
        <rFont val="Calibri Light"/>
        <family val="2"/>
        <scheme val="major"/>
      </rPr>
      <t xml:space="preserve">cohortes:Adolescencia, juventud, adultez y vejez </t>
    </r>
    <r>
      <rPr>
        <sz val="10"/>
        <color theme="1"/>
        <rFont val="Calibri Light"/>
        <family val="2"/>
        <scheme val="major"/>
      </rPr>
      <t xml:space="preserve">
*Numerador: Cohorte provisional Consumo Tabaco  Procex entregada a la Nacional
*Denominador Base de poblacion actual 
</t>
    </r>
  </si>
  <si>
    <t>&lt;=10%</t>
  </si>
  <si>
    <t>&gt;10%</t>
  </si>
  <si>
    <t>5.86%</t>
  </si>
  <si>
    <t>6.72%</t>
  </si>
  <si>
    <t>12/09/2025 Se actualiza cohorte para validar indicador. 9/12/2024: sin modificación</t>
  </si>
  <si>
    <t>RPYMS125AX</t>
  </si>
  <si>
    <t>Proporción de mujeres mayores de 12 años que consumen tabaco</t>
  </si>
  <si>
    <t>Proporción de mujeres que han consumido tabaco en algun momento de su vida</t>
  </si>
  <si>
    <t>Total de mujeres de 12 años o mas reportados con consumo de tabaco en algún momento de la vida</t>
  </si>
  <si>
    <t>Total de mujeres de 12 años o mas</t>
  </si>
  <si>
    <t xml:space="preserve">En cohorte de tabaquismo generada por Procex 
1.. Filtrar población del denominador mujeres de  12 años y mas 
2.  Filtrar en variable Consumo_ Tabaco opciones: entre 1 a 97
</t>
  </si>
  <si>
    <t>En cohorte de tabaquismo generada por Procex 
1.  Calcular edad a la fecha del corte 
2.  Filtrar población de  mujeres de 12  y mas  años activas y nuevas</t>
  </si>
  <si>
    <t>&lt;=7%</t>
  </si>
  <si>
    <t>&gt;7%</t>
  </si>
  <si>
    <t>5.59%</t>
  </si>
  <si>
    <t>6.48%</t>
  </si>
  <si>
    <t>RPYMS125BX</t>
  </si>
  <si>
    <t>Proporción de hombres mayores de 12 años que consumen tabaco</t>
  </si>
  <si>
    <t>Proporción de hombres que han consumido tabaco en algun momento de su vida</t>
  </si>
  <si>
    <t>Total de hombres de 12 años o mas reportados con consumo de tabaco en algún momento de la vida</t>
  </si>
  <si>
    <t>Total de hombres de 12 años o mas</t>
  </si>
  <si>
    <r>
      <t xml:space="preserve">1- Resolución 202- Variable 19 opciones: entre 1 A </t>
    </r>
    <r>
      <rPr>
        <b/>
        <sz val="10"/>
        <color theme="1"/>
        <rFont val="Calibri Light"/>
        <family val="2"/>
        <scheme val="major"/>
      </rPr>
      <t>97</t>
    </r>
    <r>
      <rPr>
        <sz val="10"/>
        <color theme="1"/>
        <rFont val="Calibri Light"/>
        <family val="2"/>
        <scheme val="major"/>
      </rPr>
      <t xml:space="preserve">
2. Fuentes adicionales consumo de Tabaco. Opción "si"
3. Visita preventiva de salud consumo de Tabaco Opción "si"</t>
    </r>
  </si>
  <si>
    <t xml:space="preserve">En cohorte de tabaquismo generada por Procex 
1.. Filtrar población del denominador  Hombres de  12 años y mas 
2.  Filtrar en variable Consumo_ Tabaco opciones: entre 1 a 97
</t>
  </si>
  <si>
    <t>En cohorte de tabaquismo generada por Procex 
1.  Calcular edad a la fecha del corte 
2.  Filtrar población de Hombres de 12  y mas  años activos y nuevos</t>
  </si>
  <si>
    <t>&lt;=19%</t>
  </si>
  <si>
    <t>&gt;19%</t>
  </si>
  <si>
    <t>6.14%</t>
  </si>
  <si>
    <t>6.96%</t>
  </si>
  <si>
    <t>RPYMS22X</t>
  </si>
  <si>
    <t>Cobertura de personas con valoración de la salud bucal de acuerdo al esquema definido  en la primera infancia, infancia y adolescencia</t>
  </si>
  <si>
    <t>Proporción de personas de 6 meses a 17 años que registran valoración de salud bucal según esquema definido</t>
  </si>
  <si>
    <t>Salud Oral</t>
  </si>
  <si>
    <t>Consulta Salud Oral</t>
  </si>
  <si>
    <t>Consulta de odontología (Primera vez o control)
Edad Corte: 6 meses a 17 años
Edad al Consulta: 6 meses a 17 años
Validez Consulta: últimos 12 meses incluyendo mes evaluado</t>
  </si>
  <si>
    <t xml:space="preserve">Total de población de 6 meses a 17 años.
</t>
  </si>
  <si>
    <t>1- RIPS: CUPS: 890203 y 890303
2- Res 202 Variable 76: Fecha Valida</t>
  </si>
  <si>
    <t xml:space="preserve">
Consulta de odontología 
Edad a la consulta en el mismo rango de edad
Validez 12 meses incluido el mes a evaluar</t>
  </si>
  <si>
    <t>Total de población de 6 meses a 17 años.
al mes evaluado.</t>
  </si>
  <si>
    <t>se debe garantizar la atencion del 100% en un año, se incrementa meta teniendo en cuenta linea de base</t>
  </si>
  <si>
    <t>Salud Oral IPS Odontológica</t>
  </si>
  <si>
    <t>42.56%</t>
  </si>
  <si>
    <t>44.12%</t>
  </si>
  <si>
    <t>12/12/2025 Se ajusta meta. 9/12/2024: Se cambia a informativo.</t>
  </si>
  <si>
    <t>RPYMS26X</t>
  </si>
  <si>
    <t>Cobertura de personas con valoración de la salud bucal de acuerdo al esquema definido  en la juventud, adultez y vejez</t>
  </si>
  <si>
    <t>Proporción de personas mayores de 18 años que registran valoración de salud bucal según esquema definido</t>
  </si>
  <si>
    <t>Consulta de odontología (Primera vez o control)
Edad Corte: 18 años y más
Edad al Consulta: 18 años y más
Validez Consulta: últimos 24 meses incluyendo mes evaluado</t>
  </si>
  <si>
    <t xml:space="preserve">Total de población de 18 años y más.
</t>
  </si>
  <si>
    <t>24 meses atrás incluyendo el mes evaluado</t>
  </si>
  <si>
    <t xml:space="preserve">
Consulta de odontología 
Edad a la consulta en el mismo rango de edad
Validez 24 meses incluido el mes a evaluar}</t>
  </si>
  <si>
    <t>Total de población de 18 años y más.</t>
  </si>
  <si>
    <t>Se debe garantizar la atencion del 50% en un año para lograr las cobertura del 100% en 2 años, se incrementa meta teniendo en cuenta linea de base</t>
  </si>
  <si>
    <t>33.21%</t>
  </si>
  <si>
    <t>34.05%</t>
  </si>
  <si>
    <t>12/12/2025 Sin modificación  9/12/2024: Se cambia a informativo.</t>
  </si>
  <si>
    <t>RPYMS19X</t>
  </si>
  <si>
    <t>Cobertura de control de placa bacteriana en personas de primera infancia (a partir del 1 año), infancia y adolescencia</t>
  </si>
  <si>
    <t>Proporción de personas de 1 a 17 años que registran control de placa bacteriana según esquema (Últimos 6 meses)</t>
  </si>
  <si>
    <t>Protección especifica</t>
  </si>
  <si>
    <t>Control de placa</t>
  </si>
  <si>
    <t>Realización de placa Bacteriana
Edad Corte: 1 a 17 años
Edad al procedimiento: 1 a 17 años
Validez procedimiento: últimos 6 meses incluyendo mes evaluado</t>
  </si>
  <si>
    <t>Total de población de 1 a 17 años</t>
  </si>
  <si>
    <t>1- RIPS: CUPS 997310 y 997002</t>
  </si>
  <si>
    <t>6 meses atrás incluyendo el mes evaluado</t>
  </si>
  <si>
    <t>Realización de placa bacteriana
Edad a fecha de corte: 1 a 17 años
Edad a fecha de procedimiento: 1 a 17 años</t>
  </si>
  <si>
    <t xml:space="preserve">Total de población de 1 a 17 años
</t>
  </si>
  <si>
    <t>se debe atender al 100% de la poblacion cada 6 meses, se incremeneta meta por linea de base NEPS</t>
  </si>
  <si>
    <t>27.74%</t>
  </si>
  <si>
    <t>RPYMS20X</t>
  </si>
  <si>
    <t>Cobertura de control de placa bacteriana en personas jóvenes</t>
  </si>
  <si>
    <t>Proporción de personas de 18  a 28 años que registran control de placa bacteriana según esquema (últimos 12 meses)</t>
  </si>
  <si>
    <t>Realización de placa Bacteriana
Edad Corte: 18 a 28 años
Edad al procedimiento: 18 a 28 años
Validez procedimiento: últimos 12 meses incluyendo mes evaluado</t>
  </si>
  <si>
    <t>Total de población de 18 a 28 años</t>
  </si>
  <si>
    <t>Realización de placa bacteriana
Edad a fecha de corte: 18 a 28 años
Edad a fecha de procedimiento: 18 a 28 años</t>
  </si>
  <si>
    <t>se debe atender al 100% de la poblacion cada año, se incremeneta meta por linea de base NEPS</t>
  </si>
  <si>
    <t xml:space="preserve">
Salud Oral IPS Odontológica</t>
  </si>
  <si>
    <t>19.43%</t>
  </si>
  <si>
    <t>RPYMS21X</t>
  </si>
  <si>
    <t>Cobertura de control de placa bacteriana en personas en adultez y vejez</t>
  </si>
  <si>
    <t>Proporción de personas mayores de 29 años que registran control de placa bacteriana según esquema (últimos 24 meses)</t>
  </si>
  <si>
    <t>Realización de placa Bacteriana
Edad Corte: 29 años y más
Edad al procedimiento: 29 años y más
Validez procedimiento: últimos 24 meses incluyendo mes evaluado</t>
  </si>
  <si>
    <t>Total de población de 29 años y más</t>
  </si>
  <si>
    <t>Realización de placa bacteriana
Edad a fecha de corte: 29 años y más
Edad a fecha de procedimiento: 29 años y más</t>
  </si>
  <si>
    <t xml:space="preserve">Total de población de 29 años y más
</t>
  </si>
  <si>
    <t>se debe atender al 50% de la poblacion cada año, para lograr cobertura del 100% en 2 años, se incremeneta meta por linea de base NEPS</t>
  </si>
  <si>
    <t>27.93%</t>
  </si>
  <si>
    <t>28.19%</t>
  </si>
  <si>
    <t>RPYMS35X</t>
  </si>
  <si>
    <t>Cumplimiento en el control de placa bacteriana en el año</t>
  </si>
  <si>
    <t>Personas de 1 año y mas  que registran control de placa bacteriana en el año</t>
  </si>
  <si>
    <t>Realización de placa Bacteriana
Edad al procedimiento: 1 años y más
Validez procedimiento: año vigente</t>
  </si>
  <si>
    <t>Total de población de 1 año y más años
Dividido en 12 multiplicado por mes a evaluar</t>
  </si>
  <si>
    <t>1 año y mas
Realización de placa bacteriana
Edad a fecha de procedimiento: 1 año y más</t>
  </si>
  <si>
    <t>Total de población de 1 año y más años activa y nueva
Dividido en 12 multiplicado por mes a evaluar</t>
  </si>
  <si>
    <t>997002
997310</t>
  </si>
  <si>
    <t>25.11%</t>
  </si>
  <si>
    <t>24.52%</t>
  </si>
  <si>
    <t>12/12/2025 Sin modificación  05/03/2025 Se ajusta definición operacional, definicon denominador, población denominador y cohorte para validar.  07/02/2025 Se realiza eliminación de los 3 meses de afiliación.</t>
  </si>
  <si>
    <t>RPYMS31X</t>
  </si>
  <si>
    <t>Proporción de niños y niñas en primera infancia, infancia y adolescencia a quienes se aplica sellantes de fotocurado o autocurado</t>
  </si>
  <si>
    <t>Proporción de niños de 3 a 15 años que registran aplicación de sellantes en algún momento de la vida</t>
  </si>
  <si>
    <t>Sellantes</t>
  </si>
  <si>
    <t>Aplicación Sellantes
Edad Corte: 3 a 15 años
Edad al procedimiento: 3 a 15 años
Validez Consulta: cualquier momento de la vida</t>
  </si>
  <si>
    <t>Total de población de 3 a 15 años.</t>
  </si>
  <si>
    <r>
      <t xml:space="preserve">1- RIPS: CUPS: 
997102 (Aplicación de sellantes de fotocurado); 
997101 (Aplicación de sellantes de autocurado) 
y 
</t>
    </r>
    <r>
      <rPr>
        <b/>
        <sz val="10"/>
        <color theme="1"/>
        <rFont val="Calibri Light"/>
        <family val="2"/>
        <scheme val="major"/>
      </rPr>
      <t>997107</t>
    </r>
    <r>
      <rPr>
        <sz val="10"/>
        <color theme="1"/>
        <rFont val="Calibri Light"/>
        <family val="2"/>
        <scheme val="major"/>
      </rPr>
      <t xml:space="preserve"> Aplicación de sellantes</t>
    </r>
  </si>
  <si>
    <t>Aplicación de sellantes 
Edad al corte: 3 a 15 años
Edad al procedimiento: 3 a 15 años</t>
  </si>
  <si>
    <t xml:space="preserve">Total de población de 3 a 15 años.
</t>
  </si>
  <si>
    <t>Se debe evaluar edad al mes a evaluar y luego edad al procedimiento. Debe cumplir las dos condiciones para ingresar al numerador</t>
  </si>
  <si>
    <t>47.19%</t>
  </si>
  <si>
    <t>49.73%</t>
  </si>
  <si>
    <t>RPYMS37X</t>
  </si>
  <si>
    <t>Cumplimiento de aplicación de sellantes de fotocurado o autocurado a niños y niñas en primera infancia, infancia y adolescencia en el año</t>
  </si>
  <si>
    <t>Niños, niñas y adolescentes de 3 a 15 años que registran aplicación de sellantes en el año</t>
  </si>
  <si>
    <t>Aplicación Sellantes
Edad al procedimiento: 3 a 15 años
Validez Consulta: Año Vigente</t>
  </si>
  <si>
    <t>Total de población de 3 a 15 años.
Dividido en 12 y multiplicado por mes a evaluar</t>
  </si>
  <si>
    <t>1- RIPS: CUPS: 
997102 (Aplicación de sellantes de fotocurado); 
997101 (Aplicación de sellantes de autocurado) 
y 
997107 Aplicación de sellantes</t>
  </si>
  <si>
    <t>Aplicación de sellantes 
Edad al procedimiento: 3 a 15 años
Año vigente</t>
  </si>
  <si>
    <t>Total de población de 3 a 15 años. activa y nueva
Dividido en 12 y multiplicado por mes a evaluar</t>
  </si>
  <si>
    <t>Se ajusta meta por linea de base NEPS, Se calcula meta para cumplir con el 100% de cada curso de vida en 5 años</t>
  </si>
  <si>
    <t>30.73%</t>
  </si>
  <si>
    <t>30.83%</t>
  </si>
  <si>
    <t>12/12/2025 Sin modificación  05/03/2025 Se ajusta definición operacional, población denominador y cohorte para validar.  07/02/2025 Se realiza eliminación de los 3 meses de afiliación.</t>
  </si>
  <si>
    <t>RPYMS32X</t>
  </si>
  <si>
    <t>Proporción de personas a quienes se realiza Detartraje Supragingival</t>
  </si>
  <si>
    <t>Proporción de personas de 12 años y mas que registran realización de detartraje supragingival según esquema</t>
  </si>
  <si>
    <t>Detartraje</t>
  </si>
  <si>
    <t>Realización Detartraje
Adolescencia
Edad Corte: 12 a 17 años
Edad al procedimiento: 12 años o más
Validez Consulta: 12 meses atrás incluyendo mes evaluado
Juventud, Adultez y Vejez
Edad Corte: 18 años y más
Edad al procedimiento: 18 años o mas
Validez Consulta: 24 meses atrás incluyendo mes evaluado</t>
  </si>
  <si>
    <t>Total de población de 12 años y mas.</t>
  </si>
  <si>
    <r>
      <t xml:space="preserve">1- RIPS: CUPS </t>
    </r>
    <r>
      <rPr>
        <b/>
        <sz val="10"/>
        <color theme="1"/>
        <rFont val="Calibri Light"/>
        <family val="2"/>
        <scheme val="major"/>
      </rPr>
      <t>997301</t>
    </r>
    <r>
      <rPr>
        <sz val="10"/>
        <color theme="1"/>
        <rFont val="Calibri Light"/>
        <family val="2"/>
        <scheme val="major"/>
      </rPr>
      <t xml:space="preserve"> (Detartraje supragingival)</t>
    </r>
  </si>
  <si>
    <t xml:space="preserve">
Realización de detartraje
Edad corte: 12 años y mas
Edad Realización procedimiento: 12 años y mas
Y
Edad corte: 18 años y mas
Edad Realización procedimiento: 18 años y mas</t>
  </si>
  <si>
    <t xml:space="preserve">Total de población de 12 años y mas.
</t>
  </si>
  <si>
    <t>Se deja la búsqueda de actividad diferente frecuencia en adolescencia frente a los otros grupos por la frecuencia de asistencia al odontólogo</t>
  </si>
  <si>
    <t xml:space="preserve">Salud Oral IPS Odontológica
</t>
  </si>
  <si>
    <t>28.89%</t>
  </si>
  <si>
    <t>29.01%</t>
  </si>
  <si>
    <t>RPYMS38X</t>
  </si>
  <si>
    <t>Cumplimiento de realización de Detartraje Supragingival en el año</t>
  </si>
  <si>
    <t>Personas de 12 años y mas que registran realización de detartraje supragingival en el año</t>
  </si>
  <si>
    <t>Realización Detartraje
Edad al procedimiento: 12 años o más
Validez Consulta: Año Vigente</t>
  </si>
  <si>
    <t>Total de población de 12 años y mas.
Dividido en 12 multiplicado por el mes a evaluar</t>
  </si>
  <si>
    <t>1- RIPS: CUPS 997301 (Detartraje supragingival)</t>
  </si>
  <si>
    <t>Realización de detartraje
Edad Realización procedimiento: 12 años y mas
Año vigente</t>
  </si>
  <si>
    <t>Total de población de 12 años y mas. activa y nueva
Dividido en 12 multiplicado por el mes a evaluar</t>
  </si>
  <si>
    <t>20.04%</t>
  </si>
  <si>
    <t>19.4%</t>
  </si>
  <si>
    <t>RPYMS40X</t>
  </si>
  <si>
    <t>Proporción de personas en primera infancia, infancia y adolescencia atendidas en los servicios de salud con índice COP igual a 0</t>
  </si>
  <si>
    <t xml:space="preserve">Proporción de personas menores de 18 años que registran valoración por odontología y registran Índice COP igual a 0 </t>
  </si>
  <si>
    <t>COP</t>
  </si>
  <si>
    <t xml:space="preserve">Número de personas en primera infancia, infancia y adolescencia atendidas en los servicios de salud con índice COP igual a 0 (cariados, obturados y perdidos). 
El COP se calcula sumando el número de dientes con caries, obturaciones y perdidos por caries, al momento de la primera consulta de odontología del año. 
Nota: Es valido solo los afiliados registrados con 12 dígitos, de los 12 dígitos del tercero al decimo digito deben registrarse como 0, para contar como Índice COP igual a 0 .
</t>
  </si>
  <si>
    <t xml:space="preserve">1- Res 202:
Variable 76: Fecha Valida
Variable 102: La suma del tercer digito al Decimo debe dar Cero.
</t>
  </si>
  <si>
    <t>1- RIPS: CUPS: 890203 y 890303
2- Res 202 Variable 76: Fecha Valida</t>
  </si>
  <si>
    <t>Total de Población Mayor de 6 de meses  con índice COP en 0</t>
  </si>
  <si>
    <t>Total de población de 6 meses a 17 años</t>
  </si>
  <si>
    <t>Indicador revisado por Coordinacion de salud Oral y avalada las metas y metodologia de evaluación</t>
  </si>
  <si>
    <t>31.5%</t>
  </si>
  <si>
    <t>29.81%</t>
  </si>
  <si>
    <t>12/12/2025  Se ajusta meta.  //9/12/2024: sin modificación</t>
  </si>
  <si>
    <t>RPYMS54X</t>
  </si>
  <si>
    <t>Proporción de personas en la juventud, adultez y vejez, atendidas en los servicios de salud con índice COP igual a 0</t>
  </si>
  <si>
    <t xml:space="preserve">Proporción de personas de 18 años o más  que registran valoración por odontología y registran Índice COP igual a 0 </t>
  </si>
  <si>
    <t xml:space="preserve">Número de personas en la  juventud, adultez y vejez con Índice COP=0 (cero). El COP se calcula sumando el número de dientes con caries, obturaciones y perdidos por caries, al momento de la primera consulta de odontología del año. 
Nota: Es valido solo los afiliados registrados con 12 dígitos, de los 12 dígitos del tercero al decimo digito deben registrarse como 0, para contar como Índice COP igual a 0 .
</t>
  </si>
  <si>
    <t>Total de población Mayor de 18 con índice COP en 0</t>
  </si>
  <si>
    <t>Total de población de 18 años y más</t>
  </si>
  <si>
    <t>11.01%</t>
  </si>
  <si>
    <t>RPYMS335X</t>
  </si>
  <si>
    <t>Proporción de personas atendidas en los servicios de salud con diagnóstico de caries dental</t>
  </si>
  <si>
    <t>Es la proporción de personas con diagnostico de caries</t>
  </si>
  <si>
    <t>Caries</t>
  </si>
  <si>
    <t>Número de personas con diagnostico de caries
Para ello, en RIPS, filtrar por CUPS 89.0.2.03 (Consulta de primera vez por odontología general) y 89.0.3.03 (Consulta de control o seguimiento por odontología general), luego, filtrar por CIE 10: K020 a K029. Contar el número de personas que cumplan estos criterios</t>
  </si>
  <si>
    <t>Total de personas con valoracion de salud oral por odontologia (Primera vez o control)
Año vigente</t>
  </si>
  <si>
    <t>1- RIPS: CUPS: 890203 y 890303 
CIE 10: K020 a K029</t>
  </si>
  <si>
    <t>Total poblacion con valoracion de odontologia y diagnostico de caries</t>
  </si>
  <si>
    <t>Total poblacion con valoracion de odontologia</t>
  </si>
  <si>
    <t>Según el IV Estudio Nacional de Salud Bucal (ENSAB IV), un alto porcentaje de la población colombiana presenta al menos una enfermedad de salud bucal. Es así como 91,58% de las personas entre 12 y 79 años han presentado en algún momento de su vida caries dental, y 33,27% de los niños de 1, 3 y 5 años, a su corta edad, también han presentado antecedentes de esta enfermedad. Sin embargo, el Estudio también da cuenta de que se ha mejorado en la atención a esta situación, al verse reducida la población que aún no ha recibido tratamiento completo para esta enfermedad; así el 55,8% de las personas de 12 a 79 años presentan caries sin tratar mientras que el 33,84% de los niños de 1 a 5 años se encuentra en la misma situación.
Otras condiciones se presentan en menor frecuencia: El 51,6% de los niños de presenta niveles entre muy leve y severo de fluorosis; a fluorosis dental se presenta, en sus niveles de muy leve a severo, en el 8,43% de los niños de 5 años, en el 62,15% de los niños de 12 años y en el 56,05% de los niños de 15 años.</t>
  </si>
  <si>
    <t>36.04%</t>
  </si>
  <si>
    <t>33%</t>
  </si>
  <si>
    <t>RPYMS336X</t>
  </si>
  <si>
    <t>Proporción de personas atendidas en los servicios de salud con diagnóstico de gingivitis y enfermedad periodontal</t>
  </si>
  <si>
    <t>Es la proporción de personas con gingivitis y diagnostico de enfermedad periodontal</t>
  </si>
  <si>
    <t>Enfermedad periodontal</t>
  </si>
  <si>
    <t>Número de personas con diagnostico de gingivitis y enfermedad periodontal (CIE 10: K050 - K056).
Para ello, en RIPS, filtrar por CUPS 89.0.2.03 (Consulta de primera vez por odontología general) y 89.0.3.03 (Consulta de control o seguimiento por odontología general), luego, filtrar por CIE 10: K050 - K056. Contar el número de personas con estos criterios</t>
  </si>
  <si>
    <t>1- RIPS: CUPS: 890203 y 890303 
CIE 10: K050 - K056</t>
  </si>
  <si>
    <t>Total poblacion con valoracion de odontologia  de gingivitis y enfermedad periodontal</t>
  </si>
  <si>
    <t>&lt;=25%</t>
  </si>
  <si>
    <t>&gt;25%</t>
  </si>
  <si>
    <t>33.36%</t>
  </si>
  <si>
    <t>30.16%</t>
  </si>
  <si>
    <t>RPYMS337X</t>
  </si>
  <si>
    <t>Proporción de personas de 1 a 17 años atendidas en los servicios de salud con diagnóstico de fluorosis</t>
  </si>
  <si>
    <t>Es la proporción de personas de 1 a 17 años con diagnostico de fluorosis</t>
  </si>
  <si>
    <t>Fluorosis</t>
  </si>
  <si>
    <t>Número de personas con diagnostico de fluorosis CIE 10: K003
Para ello, en RIPS, filtrar edad: primera infancia, infancia y adolescencia, luego, filtrar por CUPS 89.0.2.03 (Consulta de primera vez por odontología general), luego, filtrar por CIE 10: K003. Contar el número de personas que cumplan con estos criterios</t>
  </si>
  <si>
    <t>Total de personas de 1 a 17 años o mas con valoracion de salud oral por odontologia (Primera vez o control)
Año vigente</t>
  </si>
  <si>
    <t>1- RIPS: CUPS: 890203 y 890303 
CIE 10: K003</t>
  </si>
  <si>
    <t>Total poblacion de 1 a 17 años o mas con valoracion de odontologia con diagnóstico de fluorosis</t>
  </si>
  <si>
    <t>Total poblacion de 1 a 17 años o mas con valoracion de odontologia</t>
  </si>
  <si>
    <t>0.39%</t>
  </si>
  <si>
    <t>0.43%</t>
  </si>
  <si>
    <t>RPYMS338X</t>
  </si>
  <si>
    <t>Proporción de personas mayores de 18 años, con perdida dental por enfermedad bucodental prevenible</t>
  </si>
  <si>
    <t>Es la proporción de personas mayores de 18 años que accedieron a consulta de odontología, a quienes se les realizó o realiza exodoncia por enfermedad bucodental prevenible a causa de diagnóstico de caries, enfermedad periodontal, enfermedad pulpar</t>
  </si>
  <si>
    <t>Perdida Dental</t>
  </si>
  <si>
    <t>Total de personas de 18 años o mas con valoracion de salud oral por odontologia (Primera vez o control)
Con diagnóstico de enfermedad bucodental prevenible: caries, enfermedad periodontal o enfermedad pulpar. 
Que tienen CUPS de exodoncia, posterior o igual a diagnostico de enfermdad bcodental prevenible
Año vigente</t>
  </si>
  <si>
    <t>Total de personas de 18 años o mas con valoracion de salud oral por odontologia (Primera vez o control)
Con diagnóstico de enfermedad bucodental prevenible: caries, enfermedad periodontal o enfermedad pulpar. 
Año vigente</t>
  </si>
  <si>
    <t>1- RIPS: CUPS: 
230100 - EXODONCIA DE DIENTES PERMANENTES SOD
230101 - EXODONCIA DE DIENTE PERMANENTE UNIRRADICULAR
230102 - EXODONCIA DE DIENTE PERMANENTE MULTIRRADICULAR.
230200 - EXODONCIA DE DIENTES TEMPORALES SOD
230201 - EXODONCIA DE DIENTE TEMPORAL UNIRRADICULAR
230202 - EXODONCIA DE DIENTE TEMPORAL MULTIRRADICULAR
231100 - EXODONCIA QUIRURGICA UNIRRADICULAR SOD
231200 - EXODONCIA QUIRURGICA MULTIRRADICULAR. SOD
231300 - EXODONCIA DE DIENTE INCLUIDO SOD
231301 - EXODONCIA DE INCLUIDO EN POSICION ECTOPICA CON ABORDAJE INTRAORAL
231302 - EXODONCIA DE INCLUIDO EN POSICION ECTOPICA CON ABORDAJE EXTRAORAL
231400 - EXODONCIAS MULTIPLES CON ALVEOLOPLASTIA, POR CUADRANTE SOD</t>
  </si>
  <si>
    <t>1- RIPS: CUPS: 890203 y 890303 
CIE 10: K020 a K029, K050 a K056, K040 a K049</t>
  </si>
  <si>
    <t>Total poblacion de 18 años o mas con valoracion de odontologia con enfermedad bucodental y con exodoncia</t>
  </si>
  <si>
    <t>Total poblacion de 18 años o mas con valoracion de odontologia</t>
  </si>
  <si>
    <t>&lt;=40%</t>
  </si>
  <si>
    <t>&gt;40%</t>
  </si>
  <si>
    <t>8.52%</t>
  </si>
  <si>
    <t>8.3%</t>
  </si>
  <si>
    <t>RPYMS14X</t>
  </si>
  <si>
    <t>Proporción de personas con tamizaje de agudeza visual</t>
  </si>
  <si>
    <t>Proporción de personas de 3 años y mas que registra tamizaje de agudeza visual vigente según esquema</t>
  </si>
  <si>
    <t>Salud Visual</t>
  </si>
  <si>
    <t>Tamizaje Agudeza Visual</t>
  </si>
  <si>
    <t>Número de personas con tamizaje de agudeza visual (fecha valida), con la siguiente frecuencia en cada uno de los rangos de edad:
Edad corte: 3 a 5 años - Vigencia consulta: últimos 15 meses
Edad corte: 6 a 11 años - Vigencia consulta: últimos  2 años
Edad corte: 12 a 17 años - Vigencia consulta: últimos 2 años
Edad corte: 18 a 23 años - Edad AV: 18 a 23 años
Edad corte: 24 a 28 años - Edad AV: 24 a 28 años
Edad corte: 29 a 44 años - Vigencia consulta: últimos 5 años
Edad corte: 45 a 59 años - Vigencia consulta: últimos 4 años
Edad corte: 60 años y más - Vigencia consulta: últimos 3 años</t>
  </si>
  <si>
    <t xml:space="preserve">Total de población de 3 años y más
</t>
  </si>
  <si>
    <t>1- RIPS: 
* CUPS con Finalidad 8 o CIE-10 Z010
950601, 890307,890207, 890201, 890202,890301, 890305, 890701
2- RES 202. Variable 62 fecha válida</t>
  </si>
  <si>
    <t>Población de 3 años y mas
Registro de consultas según esquema</t>
  </si>
  <si>
    <t xml:space="preserve">Población actual al mes a evaluar activos y nuevos
3 años y mas
</t>
  </si>
  <si>
    <t xml:space="preserve">1. Calcular edad a la fecha de corte. 
2. Calcular edad a la fecha  del tamizaje de agudeza visual mas reciente.
3. Filtrar edad al corte y edad a la fecha del tamizaje visual  mas reciente mayores de 3 años y mas .  
4.  Se valida en cada edad al corte el tiempo de tamizaje y que cuente con resultado de tamizaje visual de ambos ojos , según esquema descrito en la definición de variables del numerador 
</t>
  </si>
  <si>
    <t xml:space="preserve">1. Filtrar población de 3 años y mas  activos y nuevos </t>
  </si>
  <si>
    <t>Todos los cursos de vida</t>
  </si>
  <si>
    <t>51.85%</t>
  </si>
  <si>
    <t>44.72%</t>
  </si>
  <si>
    <t>RPYMS167X</t>
  </si>
  <si>
    <t>Cumplimiento en el tamizaje de agudeza visual en el año</t>
  </si>
  <si>
    <t>Proporción de personas de 3 años y mas que registra tamizaje de agudeza visual en el año</t>
  </si>
  <si>
    <t>Número de personas con tamizaje de agudeza visual fecha valida y resultado
Vigencia consulta: Año vigente
Edad a la fecha de la valoración: 3 años y mas</t>
  </si>
  <si>
    <t>Total de población 3 años y mas 
Dividido en 12 y multiplicado por mes a evaluar</t>
  </si>
  <si>
    <t>1- RES 202. 
Variable 62 fecha válida
variables 27 y 28, diferente 21</t>
  </si>
  <si>
    <t xml:space="preserve">Población actual al mes a evaluar activos y nuevos
3 años y mas
Dividido en 12 y multiplicado por mes a evaluar
</t>
  </si>
  <si>
    <t>1. Calcular edad a la fecha de corte. 
2.Calcular edad a la fecha  del tamizaje de agudeza visual. 
3. Filtrar edad al corte y edad a la fecha del tamizaje visual  mas reciente mayores de 3 años y mas.  
4.  Se validan fechas de tamizajes visuales con resultados y realizados en el año vigente.</t>
  </si>
  <si>
    <t>1. Filtrar población de  3 años y mas activos y nuevos dividido en 12 y multiplicado por mes a evaluar en el año vigente</t>
  </si>
  <si>
    <t>30.68%</t>
  </si>
  <si>
    <t>27.97%</t>
  </si>
  <si>
    <t>RPYMS169X</t>
  </si>
  <si>
    <t>Proporción de personas tamizadas con agudeza visual normal o corregida</t>
  </si>
  <si>
    <t>Proporción de personas de 3 años y mas con valoración de agudeza visual que registran resultado normal</t>
  </si>
  <si>
    <t>Agudeza visual</t>
  </si>
  <si>
    <t>Población de 3 años y mas
Res 202 - Variable 62 fecha válida
variables 27 y 28: 3 y 4</t>
  </si>
  <si>
    <t>Total de población 3 años y mas 
RES 202 - Variable 62 fecha válida</t>
  </si>
  <si>
    <t>Res 202 - Variable 62 fecha válida
variables 27 y 28: 3 y 4</t>
  </si>
  <si>
    <t>RES 202 - Variable 62 fecha válida</t>
  </si>
  <si>
    <t xml:space="preserve">Población de 3 años y mas
resultado normal en tamizaje agudeza visual </t>
  </si>
  <si>
    <t xml:space="preserve">Población de 3 años y mas
con fecha y resultado de tamizaje agudeza visual </t>
  </si>
  <si>
    <t>1. Calcular edad a la fecha de corte.  
2.  Se validan fechas de tamizaje visual mas reciente con resultado (3 -Menor o igual a 20/20 normal
4 -Entre 20/25 y 20/40)</t>
  </si>
  <si>
    <t xml:space="preserve">1. Filtrar población de  3 años y mas activos y nuevos con fecha y resultado de tamizaje visual </t>
  </si>
  <si>
    <t>Cohorte Salud Visual 
Todos los cursos de vida</t>
  </si>
  <si>
    <t>66.28%</t>
  </si>
  <si>
    <t>RPYMS168X</t>
  </si>
  <si>
    <t>Proporción de personas tamizadas con agudeza visual anormal con valoración de optometría u oftalmología</t>
  </si>
  <si>
    <t>Proporción de personas de 3 años y mas con resultado alterado de agudeza visual que registran valoración por oftalmología u optometría.</t>
  </si>
  <si>
    <t>Valoración optometría u Oftalmología</t>
  </si>
  <si>
    <t>Población de 3 años y mas
Res 202 - Variable 62 fecha válida
variables 27 O 28: 5,6,7,8,9 
Valoracion valida: ultimos 12 meses  o posterior a fecha de tamizaje.</t>
  </si>
  <si>
    <t>Población de 3 años y mas
Res 202 - Variable 62 fecha válida
variables 27 O 28: 5,6,7,8,9</t>
  </si>
  <si>
    <t>*RIPS AC:
890207 - CONSULTA DE PRIMERA VEZ POR OPTOMETRIA
890307 -  CONSULTA DE CONTROL O DE SEGUIMIENTO POR OPTOMETRIA
890276 -  CONSULTA DE PRIMERA VEZ POR ESPECIALISTA EN OFTALMOLOGIA
890376  -  CONSULTA DE CONTROL O DE SEGUIMIENTO POR ESPECIALISTA EN OFTALMOLOGIA
890476 -  INTERCONSULTA POR ESPECIALISTA EN OFTALMOLOGIA</t>
  </si>
  <si>
    <t>Res 202 - Variable 62 fecha válida
variables 27 y 28: 5,6,7,8,9</t>
  </si>
  <si>
    <t>Población de 3 años y mas
resultado anormal en tamizaje agudeza visual 
con valoración de optometría y oftalmología</t>
  </si>
  <si>
    <t xml:space="preserve">Población de 3 años y mas
resultado anormal en tamizaje agudeza visual </t>
  </si>
  <si>
    <t>1. Calcular edad a la fecha de corte. 
2. Calcular diferencia en meses entre la fecha del tamizaje visual anormal y la fecha de atención por Oftalmología u Optometría.
2. Filtrar población de 3 años y mas con valoración por Oftalmología u Optometría en últimos 12 meses  o posterior a fecha de tamizaje.</t>
  </si>
  <si>
    <t>1. Filtrar población  de 3 años y mas con resultado anormal de tamizaje visual 
 Res 202 - Variable 62 fecha válida
variables 27 O 28: 5,6,7,8,9</t>
  </si>
  <si>
    <t>62.87%</t>
  </si>
  <si>
    <t>61.48%</t>
  </si>
  <si>
    <t>RPYMS354X</t>
  </si>
  <si>
    <t>Proporción de niños y niñas menores de 8 años con ambliopía</t>
  </si>
  <si>
    <t>Es la proporción de niños y niñas menores de 8 años con ambliopia</t>
  </si>
  <si>
    <t>Ambliopia</t>
  </si>
  <si>
    <t>Número de niños y niñas menores de 8 años con diagnóstico de ambliopia
CIE 10: H530</t>
  </si>
  <si>
    <t>Total de población de 0 a 8 años
RES 202 - Variable 62 fecha válida</t>
  </si>
  <si>
    <t>1 -RIPS CIE10: H530</t>
  </si>
  <si>
    <t>poblacion de 0 a 8 años con ambliopia</t>
  </si>
  <si>
    <t>poblacion de 0 a 8 años con valoracion de agudeza visual</t>
  </si>
  <si>
    <t>GPC-Según datos de población general, la ambliopía puede tener una prevalencia cercana al 2%(3), con reportes que oscilan entre el 2 al 4% entre los diferentes países, teniendo un 3,5 %  para AV 20/30 y el 1,4% para el 20/40 (3). En Colombia, en el año 2000, en la ciudad de Bogotá, se realizó un estudio con población de niños entre los tres y los ocho años atendidos en una unidad pediátrica de referencia, documentando una prevalencia de ambliopía del 2.68 %.(4)</t>
  </si>
  <si>
    <t>1. Calcular edad a la fecha de corte.  
2.  Se valida número de niños y niñas de  0 meses a 8 años con diagnóstico de ambliopía
CIE 10: H530</t>
  </si>
  <si>
    <t xml:space="preserve">1. Filtrar población  de 0 meses a 8 años activos y nuevos  con fecha y  resultado de tamizaje visual 
</t>
  </si>
  <si>
    <t>0.21%</t>
  </si>
  <si>
    <t>0.17%</t>
  </si>
  <si>
    <t>RPYMS1X</t>
  </si>
  <si>
    <t>Proporción de personas en primera infancia con tamizaje auditivo con instrumento VALE</t>
  </si>
  <si>
    <t>Proporción de personas de 0 a 5 años  que registran aplicación de instrumento VALE según momento del curso de vida</t>
  </si>
  <si>
    <t>Salud Auditiva</t>
  </si>
  <si>
    <t>VALE</t>
  </si>
  <si>
    <t>Número de niñas y niños de 0 a5 años, a los que se les aplica el instrumento VALE y RESULTADO durante la valoración integral, en el subgrupo de edad actual o . A continuación se describen los subgrupos: 
Edad corte: 0 a 1 mes - Edad VALE: 0 a 1 mes
Edad corte: 2 a 3 meses - Edad VALE: 0 a 3 meses
Edad corte: 4 a 5 meses - Edad VALE: 2 a 5 meses
Edad corte: 6 a 8 meses - Edad VALE: 4 a 8 meses
Edad corte: 9 a 11 meses - Edad VALE: 6 a 11 meses
Edad corte: 12 a 17 meses - Edad VALE: 9 a 17 meses
Edad corte: 18 a 23 meses - Edad VALE: 12 a 23 meses
Edad corte: 24 a 29 meses - Edad VALE: 18 a 29 meses
Edad corte: 30 a 35 meses - Edad VALE: 24 a 35 meses
Edad corte: 36  a 47 meses (3 años) - Edad VALE: 30 a 47 meses
Edad corte: 48 a 59 meses (4 años) - Edad VALE: 36 a 59 meses
Edad corte: 60 a 71 meses (5 años) - Edad VALE: 48 a 71 meses
Adicionalmente la validez de la consulta no puede superar 12 meses</t>
  </si>
  <si>
    <t xml:space="preserve">Total de población de 0 a 5 años.
</t>
  </si>
  <si>
    <t>1- Res 202. 
Fecha Variable 63: fecha valida 
Resultado variable 40: Opciones 4 y 5</t>
  </si>
  <si>
    <t>población del denominador
Fecha de realización VALE y resultado en su subgrupo o en subgrupo anterior.</t>
  </si>
  <si>
    <t>Población actual al mes a evaluar activos y nuevos
0 a  5 años</t>
  </si>
  <si>
    <t>Debe cumplir con valoración y resultado, la fecha de realización no puede superar 12 meses</t>
  </si>
  <si>
    <t>Se calcula según la meta de cumplimiento año, donde se espera que se realice la valoración completa de los menores incluido el tamizaje auditivo.</t>
  </si>
  <si>
    <t xml:space="preserve">1. Calcular edad a la fecha de corte. 
2. Calcular edad a la fecha  del tamizaje VALE
3. Filtrar edad al corte y edad a la fecha del tamizaje VALE  
4.  Se valida en cada subgrupo la edad al corte y la edad a la fecha de tamizaje VALE con resultado y que no supere los 12 meses de realizado el tamizaje.
Según esquema descrito en la definición de variables del numerador 
</t>
  </si>
  <si>
    <t xml:space="preserve">1. Filtrar población de o meses a 5 años activos y nuevos </t>
  </si>
  <si>
    <t>60.96%</t>
  </si>
  <si>
    <t>62%</t>
  </si>
  <si>
    <t>07/02/2025 Se realiza eliminación de los 3 meses de afiliación.</t>
  </si>
  <si>
    <t>RPYMS2X</t>
  </si>
  <si>
    <t>Proporción de personas en infancia con tamizaje auditivo con instrumento VALE</t>
  </si>
  <si>
    <t>Proporción de personas de 6 a 11 años  que registran aplicación de instrumento VALE  en los últimos 12 meses</t>
  </si>
  <si>
    <t>Número de niñas y niños de 6 a 11 años, a los que se les aplica el instrumento VALE y RESULTADO en los últimos 12 meses.</t>
  </si>
  <si>
    <t>Población actual al mes a evaluar activos y nuevos 
6 a 11 años</t>
  </si>
  <si>
    <t xml:space="preserve">1. Calcular edad a la fecha de corte. 
2. Calcular edad a la fecha  del tamizaje VALE
3. Filtrar edad al corte y edad a la fecha del tamizaje VALE  
4.  Se valida  fecha de tamizaje VALE con resultado realizado en los últimos 12 meses
</t>
  </si>
  <si>
    <t xml:space="preserve">1. Filtrar población de 6 a 11 años  activos y nuevos </t>
  </si>
  <si>
    <t>35.31%</t>
  </si>
  <si>
    <t>36.8%</t>
  </si>
  <si>
    <t>06/02/2025 se elimina de fichas 3 meses o mas de afiliación al mes evaluado.</t>
  </si>
  <si>
    <t>RPYMS231X</t>
  </si>
  <si>
    <t>Proporción de personas en Adolescencia con tamizaje auditivo con instrumento VALE</t>
  </si>
  <si>
    <t>Proporción de personas de12 años  que registran aplicación de instrumento VALE  en los últimos 12 meses</t>
  </si>
  <si>
    <t>Número de niñas y niños de 12 años, a los que se les aplica el instrumento VALE y RESULTADO  en los últimos 12 meses.</t>
  </si>
  <si>
    <t xml:space="preserve">Total de población de 12 años
</t>
  </si>
  <si>
    <t>Población actual al mes a evaluar activos y nuevos
12 años</t>
  </si>
  <si>
    <t>se calcula según la meta de cumplimiento año, donde se espera que se realice l valoración completa de los menores incluido el tamizaje auditivo</t>
  </si>
  <si>
    <t xml:space="preserve">1. Filtrar población de 12 años  activos y nuevos </t>
  </si>
  <si>
    <t>26.03%</t>
  </si>
  <si>
    <t>28.59%</t>
  </si>
  <si>
    <t>RPYMS163X</t>
  </si>
  <si>
    <t>Proporción de personas con tamizaje auditivo con instrumento VALE en el año</t>
  </si>
  <si>
    <t>Proporción de personas de 0 a 11 años  que registran aplicación de instrumento VALE  en el año</t>
  </si>
  <si>
    <t>Número de niñas y niños a los que se les aplica el instrumento VALE y RESULTADO
Edad VALE: Menor o igual a 11 años
Año Vigente</t>
  </si>
  <si>
    <t>Total de población de 0 a 11 años.
Dividido en 12 multiplicado por el mes a evaluar</t>
  </si>
  <si>
    <t>1. Calcular edad a la fecha de corte. 
2.Calcular edad a la fecha  del tamizaje de agudeza visual. 
3. Filtrar edad al corte y edad a la fecha del tamizaje VALE 
4.  Se validan fechas de tamizaje VALE  con resultados y realizados en el año vigente.</t>
  </si>
  <si>
    <t>1. Filtrar población de 0 meses a 11 años activos y nuevos dividido en 12 y multiplicado por mes a evaluar en el año vigente</t>
  </si>
  <si>
    <t>56.11%</t>
  </si>
  <si>
    <t>55.92%</t>
  </si>
  <si>
    <t>RPYMS323X</t>
  </si>
  <si>
    <t>Proporción de personas de 12 años o mas con aplicación de test de APGAR</t>
  </si>
  <si>
    <t>Proporción de personas de 12 años y mas que cumplen con la aplicación del test APGAR</t>
  </si>
  <si>
    <t>Salud Mental</t>
  </si>
  <si>
    <t>APGAR</t>
  </si>
  <si>
    <t>Proporcion de personas de 12 años y mas
registro resultado de Test APGAR</t>
  </si>
  <si>
    <t xml:space="preserve">Total de población de 12 años y más
</t>
  </si>
  <si>
    <t>1 - Datos adicionales
"TEST_APGAR_FAMILIAR"</t>
  </si>
  <si>
    <t>12 años y mas
Registro de aplicación de instrumento APGAR</t>
  </si>
  <si>
    <t xml:space="preserve">Población actual al mes a evaluar activos y nuevos
12 años y más </t>
  </si>
  <si>
    <t>todas</t>
  </si>
  <si>
    <t>12.57%</t>
  </si>
  <si>
    <t>16.03%</t>
  </si>
  <si>
    <t>RPYMS166X</t>
  </si>
  <si>
    <t>Proporción de personas de primera infancia con adecuado estado de salud auditiva y comunicativa</t>
  </si>
  <si>
    <t>Proporción de personas de 0 a 5 años  que registran aplicación de instrumento VALE  con resultado normal</t>
  </si>
  <si>
    <t>Total de niños y niñas en primera infancia valorados con el instrumento VALE  con adecuado estado de salud auditiva y comunicativa</t>
  </si>
  <si>
    <t>Total de niños y niñas  0 a 5 años primera infancia valorados con el instrumento VALE en el año</t>
  </si>
  <si>
    <t>1- Resolución 202- variable 63 y variable 40 opción 5</t>
  </si>
  <si>
    <t>Niños y niñas de la primera infancia con adecuado estado de salud auditiva</t>
  </si>
  <si>
    <t>Población actual al mes a evaluar activos y nuevos 
0 a 5 años</t>
  </si>
  <si>
    <t>1. Calcular edad a la fecha de corte. 
2.Calcular edad a la fecha  del tamizaje  VALE
3. Filtrar edad al corte y edad a la fecha del tamizaje VALE 
4.  Se validan fechas de tamizaje VALE  con resultado (5 pasa) y realizados en el año vigente.</t>
  </si>
  <si>
    <t xml:space="preserve">1. Filtrar población de 0 meses a 5 años activos y nuevos dividido en 12 y multiplicado por mes a evaluar en el año vigente con aplicación de instrumento VALE </t>
  </si>
  <si>
    <t>94.16%</t>
  </si>
  <si>
    <t>93.52%</t>
  </si>
  <si>
    <t>RPYMS165X</t>
  </si>
  <si>
    <t>Proporción de personas de infancia con adecuado estado de salud auditiva y comunicativa</t>
  </si>
  <si>
    <t>Proporción de personas de 6 a 11 años  que registran aplicación de instrumento VALE  con resultado normal</t>
  </si>
  <si>
    <t>Total de niños y niñas en infancia valorados con el instrumento VALE  con adecuado estado de salud auditiva y comunicativa</t>
  </si>
  <si>
    <t>Total de niños y niñas  6 a 11 años en infancia valorados 
con el instrumento VALE en el año</t>
  </si>
  <si>
    <t>Niños y niñas de la infancia con adecuado estado de salud auditiva</t>
  </si>
  <si>
    <t xml:space="preserve">1. Filtrar población de 6 a 11  años activos y nuevos dividido en 12 y multiplicado por mes a evaluar en el año vigente con  fecha de aplicación y resultado de instrumento VALE </t>
  </si>
  <si>
    <t>95.69%</t>
  </si>
  <si>
    <t>94.88%</t>
  </si>
  <si>
    <t>RPYMS164X</t>
  </si>
  <si>
    <t>Proporción de niños de primera infancia e infancia, con riesgo otológico o auditivo identificado, con valoración por Fonoaudiología</t>
  </si>
  <si>
    <t>Proporción de personas de 0 a 11 años  que registran aplicación de instrumento VALE  con resultado anormal que reciben valoración por Fonoaudiología</t>
  </si>
  <si>
    <t>Valoración fonoaudiología</t>
  </si>
  <si>
    <t>Total de niños y niñas con riesgo de alteración auditiva (resultado falla en el instrumento Vale), que fueron valorados por especialista fonoaudiología o audiología
Valoracion valida: ultimos 12 meses  o posterior a fecha de tamizaje.</t>
  </si>
  <si>
    <t>Total de Población de 0 a 11 años con alteración auditiva</t>
  </si>
  <si>
    <t>RIPS: año vigente, CUPS: 
890110 - ATENCIÓN (VISITA) DOMICILIARIA, POR FONIATRÍA Y FONOAUDIOLOGÍA
890210 - CONSULTA DE PRIMERA VEZ POR FONOAUDIOLOGÍA
890310 - CONSULTA DE CONTROL O DE SEGUIMIENTO POR FONOAUDIOLOGIA
890410 - INTERCONSULTA POR FONOAUDIOLOGÍA</t>
  </si>
  <si>
    <t>202- variable 63 : fecha de Vale 
variable 40: Resultado 4 (falla)</t>
  </si>
  <si>
    <t>Niños y Niñas con alteración auditiva que fueron valorados por especialista</t>
  </si>
  <si>
    <t xml:space="preserve">1. Calcular edad a la fecha de corte. 
2.Calcular edad a la fecha  del tamizaje  VALE.
3. Validar que cuenten con valoración por Fonoaudiología  en los últimos 12 meses o posterior a fecha de tamizaje.
</t>
  </si>
  <si>
    <t>1. Filtrar población de 0 meses a 11 años activos y nuevos con aplicación de instrumento VALE que presentan alteración auditiva con  resultado (4 Falla)</t>
  </si>
  <si>
    <t>Primera Infancia e Infancia</t>
  </si>
  <si>
    <t>4.2%</t>
  </si>
  <si>
    <t>4.28%</t>
  </si>
  <si>
    <t>RPYMS94X</t>
  </si>
  <si>
    <r>
      <rPr>
        <strike/>
        <sz val="10"/>
        <color theme="1"/>
        <rFont val="Calibri Light"/>
        <family val="2"/>
        <scheme val="major"/>
      </rPr>
      <t>Proporción de mujeres con C</t>
    </r>
    <r>
      <rPr>
        <sz val="10"/>
        <color theme="1"/>
        <rFont val="Calibri Light"/>
        <family val="2"/>
        <scheme val="major"/>
      </rPr>
      <t>obertura de uso de método anticonceptivo</t>
    </r>
  </si>
  <si>
    <t>Mujeres de 13 a 49 años con reporte de suministro de método anticonceptivo vigente al periodo</t>
  </si>
  <si>
    <t>SSR</t>
  </si>
  <si>
    <t>Anticonceptivo</t>
  </si>
  <si>
    <t>Numero de mujeres en edad fértil de 13 a 49 años
Registren uso de método anticonceptivo
*Validez método:
Opciones 1-2: 10 años atrás (dispositivo intrauterino)
Opciones 3-4: 5 años atrás (implante subdérmico)
Opciones 5-6-7-8-9-10: 12 meses atrás (inyectables y orales)
Opciones 13-14: Toda la vida (esterilización femenina)</t>
  </si>
  <si>
    <t xml:space="preserve">Total de mujeres de 13 a 49 años 
</t>
  </si>
  <si>
    <t xml:space="preserve">1- Res 202.
  Variable 55: SEGÚN VIGENCIA
 Variable 54: 1,2,3,4,5,6,7,8,9,10.13,14
2- RIPS. AP - CUPS: 663910 - 663100 - 697100 - 861801
</t>
  </si>
  <si>
    <t>BASE DE DATOS DE AFILIACIONES
y cruce con COHORTE MEF
(CIERRE MES)</t>
  </si>
  <si>
    <t>Según Vigencia metodo</t>
  </si>
  <si>
    <t xml:space="preserve">Mujeres del denominador 
Registró de uso de método anticonceptivo </t>
  </si>
  <si>
    <t>Variable:
Población al mes a evaluar activos y nuevos
Mujeres de 13 a 49 años</t>
  </si>
  <si>
    <t>Se excluyen las mujeres con:
* Infertilidad 
* Histerectomía total (CUPS Histerectomía: 680100, 684000, 684001, 684010, 684020, 684100, 684101, 685110, 685120, 685130, 686100, 687000)
Adicional: se deben excluir del denominador las mujeres que ya han sido evaluadas respecto al método de planificación pero que responden a las siguientes causales:
* Mujeres que registren método de planificación opción 16,17,18 y 20.
16- No se suministra por una Tradición
17- No se suministra por una Condición de Salud
18- No se suministra por Negación de la usuaria
20- No se suministra por otras razones</t>
  </si>
  <si>
    <t>No son validos el método de Barrera o Emergencia - Se ajusta poblacion según lo definido en la Resolucion 1035 de 2022</t>
  </si>
  <si>
    <t>Cohorte Planificación familiar general
1. Calcular edad a corte del periodo evaluar. Formula: =sifecha(FechaNacimiento;FechaCorte;"y")
2. Filtrar sexo "F"
3. Filtrar edad de 13 a 49 años
4. En la columna "Histerectomia" filtrar las usuarias con registro "NO"
5. En la columna "Infertilidad" filtrar las usuarias con registro "NO"
6. En la columna "Esterilización" filtrar las usuarias con registro "NO"
7. En columna "Suministro de Método Anticonceptivo" filtrar y contabilizar los metodos validos de acuerdo con la vigencia del mismo.
8. En la columna "Esterilización" filtrar las usuarias con registro "SI" 
9. Realizar la sumatoria del valor de obtenido por cada uno de los metodos para obtener dato general</t>
  </si>
  <si>
    <t xml:space="preserve">Cohorte MEF
1. Calcular edad a corte del periodo evaluar. Formula: =sifecha(FechaNacimiento;FechaCorte;"y")
2. Filtrar edad de 13 a 49 años
3. En la columna "Metodo planificación" excluir los comodines 16,17,18 y 20
4. En la columna "Histerectomia" filtrar las usuarias con registro "NO"
5. En la columna "Infertilidad" filtrar las usuarias con registro "NO"
</t>
  </si>
  <si>
    <t>Numerador PNF
Denominador MEF</t>
  </si>
  <si>
    <t>15/12/2025: se modifica nombre del indicador, meta y puntaje- EYAV// 12/12/2025 Sin modificación  30/04/2025 Se incluye cohorte de MEF como fuente en denominador.  05/03/2025 Se ajusta poblacion numerador y denominador y se actualiza cohorte para validar, se ajusta puntuaje.  11/02/2025 Se realiza eliminación de los 3 meses de afiliación. 9/12/2024: sin modificación</t>
  </si>
  <si>
    <t>RPYMS146X</t>
  </si>
  <si>
    <t>Cumplimiento en el suministro de métodos anticonceptivos en mujeres en edad fértil en el año</t>
  </si>
  <si>
    <t>Mujeres de 13 a 49 años con reporte de suministro de método anticonceptivo en el año</t>
  </si>
  <si>
    <t>edad de  suministro de 13 a 49 años suministro de método anticonceptivo año vigente
*Validez método:
Opciones 1-2: dispositivo intrauterino
Opciones 3-4: implante subdérmico
Opciones 5-6-7-8-9-10: inyectables y orales
Opciones 13-14: esterilización femenina</t>
  </si>
  <si>
    <t>Total de Mujeres de 13 a 49 años
Dividido en 12 y multiplicado por mes a evaluar</t>
  </si>
  <si>
    <r>
      <rPr>
        <sz val="10"/>
        <color rgb="FF000000"/>
        <rFont val="Calibri Light"/>
        <family val="2"/>
        <scheme val="major"/>
      </rPr>
      <t xml:space="preserve">1- Res 202. 
</t>
    </r>
    <r>
      <rPr>
        <sz val="10"/>
        <color rgb="FFFF0000"/>
        <rFont val="Calibri Light"/>
        <family val="2"/>
        <scheme val="major"/>
      </rPr>
      <t xml:space="preserve">Variable 55: Fecha Según Vigencia
</t>
    </r>
    <r>
      <rPr>
        <sz val="10"/>
        <color rgb="FF000000"/>
        <rFont val="Calibri Light"/>
        <family val="2"/>
        <scheme val="major"/>
      </rPr>
      <t xml:space="preserve">Variable 54: 1-2-3-4-5-6-7-8-9-10-13 Y 14
</t>
    </r>
  </si>
  <si>
    <r>
      <rPr>
        <sz val="10"/>
        <color rgb="FFFF0000"/>
        <rFont val="Calibri Light"/>
        <family val="2"/>
        <scheme val="major"/>
      </rPr>
      <t>COHORTE MEF</t>
    </r>
    <r>
      <rPr>
        <strike/>
        <sz val="10"/>
        <rFont val="Calibri Light"/>
        <family val="2"/>
        <scheme val="major"/>
      </rPr>
      <t xml:space="preserve">
</t>
    </r>
    <r>
      <rPr>
        <sz val="10"/>
        <rFont val="Calibri Light"/>
        <family val="2"/>
        <scheme val="major"/>
      </rPr>
      <t>(CIERRE MES)</t>
    </r>
  </si>
  <si>
    <t>Población denominador
Registro suministro de método anticonceptivo
Año vigente</t>
  </si>
  <si>
    <t>Población al mes a evaluar activos y nuevos
Mujeres de 13 a 49 años
Dividido en 12 y multiplicado por mes a evaluar</t>
  </si>
  <si>
    <t>Se excluyen las mujeres con:
* Infertilidad 
* Histerectomía total (CUPS Histerectomía: 680100, 684000, 684001, 684010, 684020, 684100, 684101, 685110, 685120, 685130, 686100, 687000)
Adicional: se deben excluir del denominador las mujeres que ya han sido evaluadas respecto al método de planificación pero que responden a las siguientes causales:
* Mujeres que registren método de planificación opción 16,17,18 y 20.
16- No se suministra por una Tradición
17- No se suministra por una Condición de Salud
18- No se suministra por Negación de la usuaria
20- No se suministra por otras razones
Excluir usuarias con suministro de métodos anticonceptivos en años previos., según vigencia, así:
Opciones 1-2: 10 años atrás (dispositivo intrauterino)
Opciones 3-4: 5 años atrás (implante subdérmico)
Opciones 5-6-7-8-9-10: 12 meses atrás (inyectables y orales)
Opciones 13-14: Toda la vida (esterilización femenina)</t>
  </si>
  <si>
    <t>Se excluyen las mujeres con:
* Infertilidad 
* Histerectomía total (CUPS Histerectomía: 680100, 684000, 684001, 684010, 684020, 684100, 684101, 685110, 685120, 685130, 686100, 687000)
Adicional: se deben excluir del denominador las mujeres que ya han sido evaluadas respecto al método de planificación pero que responden a las siguientes causales:
* Mujeres que registren método de planificación opción 16,17,18 y 20.
16- No se suministra por una Tradición
17- No se suministra por una Condición de Salud
18- No se suministra por Negación de la usuaria
20- No se suministra por otras razones
Excluir usuarias con suministro de métodos anticonceptivos en años previos., según vigencia, así:
Opciones 1-2: 10 años atrás (dispositivo intrauterino)
Opciones 3-4: 5 años atrás (implante subdérmico)
Opciones 5-6-7-8-9-10: 12 meses atrás (inyectables y orales)
Opciones 13-14: Toda la vida (esterilización femenina)
Que no tengan vigencia o la que la pierdan en el año vigente</t>
  </si>
  <si>
    <t>Se ajusta poblacion según lo definido en la Resolucion 1035 de 2022</t>
  </si>
  <si>
    <t>Cohorte Planificación familiar general
1. Filtrar sexo "F"
2. Calcular edad a la fecha de suministro. Formula: =sifecha(FechaNacimiento;Fechasuministro;"y")
3. Filtrar edad de 13 a 49 años
4. En la columna "Histerectomia" filtrar las usuarias con registro "NO"
5. En la columna "Infertilidad" filtrar las usuarias con registro "NO"
6. En la columna "Esterilización" filtrar las usuarias con registro "NO"
7. En columna "Suministro de Método Anticonceptivo" filtrar y contabilizar los metodos validos de acuerdo con la vigencia 2025.(No incluir la esterilizaciones)
8. Realizar la sumatoria del valor de obtenido por cada uno de los metodos para obtener dato general</t>
  </si>
  <si>
    <t>Cohorte MEF
1. Calcular edad a corte del periodo evaluar. Formula: =sifecha(FechaNacimiento;FechaCorte;"y")
2. Filtrar edad de 13 a 49 años
3. En la columna "Metodo planificación" excluir los comodines 16,17,18 y 20
4. En la columna "Histerectomia" filtrar las usuarias con registro "NO"
5. En la columna "Infertilidad" filtrar las usuarias con registro "NO"
6. Excluir usuarias con suministro de métodos anticonceptivos en años previos, exceptuando suministros del año vigente. Las esterilizaciones se excluyen todas independiente de la fecha de procedimiento</t>
  </si>
  <si>
    <t>21.88%</t>
  </si>
  <si>
    <t>13.81%</t>
  </si>
  <si>
    <t>15/12/2025: se modifica meta y puntaje, eyav// 12/12/2025 Se ajusta fuente del numerador y denominador. //30/04/2025 Se modifica fuente del denominador.  05/03/2025 Se ajusta definición operacional, poblacion denominador y se actualiza cohorte para validar, se ajusta puntaje.  11/02/2025 Se realiza eliminación de los 3 meses de afiliación.9/12/2024: sin modificación</t>
  </si>
  <si>
    <t>RPYMS94AX</t>
  </si>
  <si>
    <t>Proporción de mujeres con pomeroy, sección o ligadura de trompas</t>
  </si>
  <si>
    <t>Proporción de mujeres de 13 a 49 años con reporte de método anticonceptivo definitivo</t>
  </si>
  <si>
    <t xml:space="preserve">Numero de mujeres en edad fértil de 13 a 49 años
Registro de realización de pomeroy o marcación de esterilización
*Validez método:
Opciones 13-14: Toda la vida (esterilización femenina)
</t>
  </si>
  <si>
    <t xml:space="preserve">Total de Mujeres de 13 a 49 años
</t>
  </si>
  <si>
    <t xml:space="preserve">1- Res 202. Variable 54: 13, 14
2- RIPS. AP - CUPS: 663910 - 663100 - 662200 - 662100
3. Datos adicionales cargados a Si gires
</t>
  </si>
  <si>
    <t>Población denominador con registro de realización de esterilización femenina</t>
  </si>
  <si>
    <t xml:space="preserve">Variable:
Población actual al mes a evaluar activos y nuevos
Mujeres de 13 a 49 años
</t>
  </si>
  <si>
    <t>Cohorte Planificación Familiar
1. Calcular edad a corte del periodo evaluar. Formula: =sifecha(FechaNacimiento;FechaCorte;"y")
2. Filtrar sexo femenino
3. Filtrar edad de 13 a 49 años
4. En la columna "Metodo definitivo" filtrar ESTERILIZACIÓN</t>
  </si>
  <si>
    <t>Cohorte MEF
1. Calcular edad a corte del periodo evaluar. Formula: =sifecha(FechaNacimiento;FechaCorte;"y")
2. Filtrar edad de 13 a 49 años
3. En la columna "Metodo planificación" excluir los comodines 16,17,18 y 20
4. En la columna "Histerectomia" filtrar las usuarias con registro "NO"
5. En la columna "Infertilidad" filtrar las usuarias con registro "NO"</t>
  </si>
  <si>
    <t>Denominador ( MEF) y Numerador</t>
  </si>
  <si>
    <t>9.52%</t>
  </si>
  <si>
    <t>11.59%</t>
  </si>
  <si>
    <t>12/12/2025 Sin modificación  11/02/2025 Se realiza eliminación de los 3 meses de afiliación.9/12/2024: sin modificación</t>
  </si>
  <si>
    <t>RPYMS94BX</t>
  </si>
  <si>
    <t>Proporción de mujeres con uso de dispositivo intrauterino</t>
  </si>
  <si>
    <t>Proporción de mujeres de 13 a 49 años con reporte de inserción de DIU, vigente al periodo</t>
  </si>
  <si>
    <t xml:space="preserve">Numero de mujeres en edad fértil de 13 a 49 años
Registro uso de método dispositivo intrauterino
*Validez método:
Opciones 1-2: 10 años atrás (dispositivo intrauterino)
</t>
  </si>
  <si>
    <t>1- Res 202
  Variable 55: SEGÚN VIGENCIA
. Variable 54: 1,2</t>
  </si>
  <si>
    <t>10 años atrás incluyendo mes evaluado</t>
  </si>
  <si>
    <t>Población denominador con registro de uso de método anticonceptivo Dispositivo intrauterino</t>
  </si>
  <si>
    <t xml:space="preserve">Cohorte MEF
1. Calcular edad a corte del periodo evaluar. Formula: =sifecha(FechaNacimiento;FechaCorte;"y")
2. Filtrar sexo femenino
3. Filtrar edad de 13 a 49 años
4. En la columna "Suministro de Método Anticonceptivo" filtrar las opciones 1 y 2
5. En la columna "Fecha Suministro de Método Anticonceptivo" tener en cuenta la vigencia del metodo 10 años
</t>
  </si>
  <si>
    <t>1.99%</t>
  </si>
  <si>
    <t>4.08%</t>
  </si>
  <si>
    <t>RPYMS94CX</t>
  </si>
  <si>
    <t>Proporción de mujeres con uso de implante subdérmico</t>
  </si>
  <si>
    <t>Proporción de mujeres de 13 a 49 años con reporte de inserción de implante subdérmico, vigente al periodo</t>
  </si>
  <si>
    <t xml:space="preserve">Numero de mujeres en edad fértil de 13 a 49 años
Registro uso de método implante subdérmico
*Validez método:
Opciones 3-4: 5 años atrás (implante subdérmico)
</t>
  </si>
  <si>
    <t>1- Res 202. Variable 54: 3, 4</t>
  </si>
  <si>
    <t>Población denominador con registro de uso de método anticonceptivo Implante subdérmico</t>
  </si>
  <si>
    <t xml:space="preserve">Cohorte MEF
1. Calcular edad a corte del periodo evaluar. Formula: =sifecha(FechaNacimiento;FechaCorte;"y")
2. Filtrar sexo femenino
3. Filtrar edad de 13 a 49 años
4. En la columna "Suministro de Método Anticonceptivo" filtrar las opciones 3 y 4
5. En la columna "Fecha Suministro de Método Anticonceptivo" tener en cuenta la vigencia del metodo 5 años
</t>
  </si>
  <si>
    <t>10.34%</t>
  </si>
  <si>
    <t>14.65%</t>
  </si>
  <si>
    <t>RPYMS94DX</t>
  </si>
  <si>
    <t>Proporción de mujeres con uso de anticonceptivos inyectables</t>
  </si>
  <si>
    <t>Proporción de mujeres de 13 a 49 años con reporte de suministro de anticonceptivo inyectable, vigente al periodo</t>
  </si>
  <si>
    <t>91-92</t>
  </si>
  <si>
    <t xml:space="preserve">Numero de mujeres en edad fértil de 13 a 49 años
Registro uso de método anticonceptivo inyectable
*Validez método:
Opciones 7-8-9-10: 12 meses atrás (anticonceptivos inyectables)
</t>
  </si>
  <si>
    <t>1- Res 202. Variable 54: 7, 8, 9, 10</t>
  </si>
  <si>
    <t>Población denominador con registro de uso de métodos anticonceptivos Inyectables</t>
  </si>
  <si>
    <t xml:space="preserve">Cohorte MEF
1. Calcular edad a corte del periodo evaluar. Formula: =sifecha(FechaNacimiento;FechaCorte;"y")
2. Filtrar sexo femenino
3. Filtrar edad de 13 a 49 años
4. En la columna "Suministro de Método Anticonceptivo" filtrar las opciones 7-8-9-10
5. En la columna "Fecha Suministro de Método Anticonceptivo" tener en cuenta la vigencia del metodo 12 meses
</t>
  </si>
  <si>
    <t>5.5%</t>
  </si>
  <si>
    <t>4.26%</t>
  </si>
  <si>
    <t>RPYMS94EX</t>
  </si>
  <si>
    <t>Proporción de mujeres con uso de anticonceptivos orales</t>
  </si>
  <si>
    <t>Proporción de mujeres de 13 a 49 años con reporte de suministro de anticonceptivo oral, vigente al periodo</t>
  </si>
  <si>
    <t xml:space="preserve">Numero de mujeres en edad fértil de 13 a 49 años
Registro uso de método anticonceptivo oral
*Validez método:
Opciones 5-6: 12 meses atrás (anticonceptivos orales)
</t>
  </si>
  <si>
    <t>1- Res 202. Variable 54: 5, 6</t>
  </si>
  <si>
    <t>Población denominador con registro de uso de método anticonceptivo Oral</t>
  </si>
  <si>
    <t xml:space="preserve">Cohorte Planificación Familiar
1. Calcular edad a corte del periodo evaluar. Formula: =sifecha(FechaNacimiento;FechaCorte;"y")
2. Filtrar sexo femenino
3. Filtrar edad de 13 a 49 años
4. En la columna "Suministro de Método Anticonceptivo" filtrar las opciones 5-6
5. En la columna "Fecha Suministro de Método Anticonceptivo" tener en cuenta la vigencia del metodo 12 meses
</t>
  </si>
  <si>
    <t>3.51%</t>
  </si>
  <si>
    <t>2.72%</t>
  </si>
  <si>
    <t>RPYMS149X</t>
  </si>
  <si>
    <t>Proporción de mujeres adolescentes con asesoría en anticoncepción</t>
  </si>
  <si>
    <t>Proporción de mujeres de 12 a 17 años con asesoría en planificación familiar alguna vez en la vida</t>
  </si>
  <si>
    <t>Asesoría PNF</t>
  </si>
  <si>
    <t>Recibieron consulta de asesoría en anticoncepción por medicina general, medicina familiar, de enfermería, de ginecología
Edad al corte 12 a 17 años.
Edad a la consulta 12 a 17 años.</t>
  </si>
  <si>
    <t xml:space="preserve">Total de Mujeres de 12 a 17 años
</t>
  </si>
  <si>
    <t>1- RIPS: 
* CUPS con Finalidad 3 o CUPS con CIE-10 Z300, Z304, Z308; Z309
89.0.2.01 (consulta de primera vez por medicina general)
89.0.3.01 (Consulta de control o seguimiento por medicina general)
89.0.2.83 (consulta de primera vez por especialista en pediatría)
89.0.3.83 (Consulta de control o seguimiento por especialista en pediatría)
89.02.50 (consulta de primera vez por especialista en ginecología y obstetricia)
89.03.50 (consulta de control o seguimiento por especialista en ginecología y obstetricia)
89.0.2.63 (consulta de primera vez por especialista en medicina familiar)
89.0.3.63 (Consulta de control o seguimiento por especialista en medicina familiar)
89.0.2.05 (Consulta de primera vez por enfermería)
89.0.3.05 (Consulta de control o de seguimiento por enfermería)
* Res 2275 CUPS con Finalidad 19 o CUPS con CIE-10 Z300, Z304, Z308; Z309
89.0.2.01 (consulta de primera vez por medicina general)
89.0.3.01 (Consulta de control o seguimiento por medicina general)
89.0.2.83 (consulta de primera vez por especialista en pediatría)
89.0.3.83 (Consulta de control o seguimiento por especialista en pediatría)
89.02.50 (consulta de primera vez por especialista en ginecología y obstetricia)
89.03.50 (consulta de control o seguimiento por especialista en ginecología y obstetricia)
89.0.2.63 (consulta de primera vez por especialista en medicina familiar)
89.0.3.63 (Consulta de control o seguimiento por especialista en medicina familiar)
89.0.2.05 (Consulta de primera vez por enfermería)
89.0.3.05 (Consulta de control o de seguimiento por enfermería)
2- Res 202 Variable 53 - fecha válida (mas reciente)</t>
  </si>
  <si>
    <t xml:space="preserve">Mujeres de 12 a 17 años
Registro de consulta de planificación familiar </t>
  </si>
  <si>
    <t xml:space="preserve">Variable:
Población actual al mes a evaluar activos y nuevos
Mujeres de 12 a 17 años
</t>
  </si>
  <si>
    <t xml:space="preserve">Cohorte Planificación Familiar
1. Calcular edad a corte del periodo evaluar. Formula: =sifecha(FechaNacimiento;FechaCorte;"y")
2. Filtrar sexo femenino
3. Filtrar edad de 12 a 17 años
4.  Calcular edad a corte de la fecha de consulta mas reciente de planificación familiar. Formula: =sifecha(FechaNacimiento;FechaConsulta;"y")
5. Filtrar edad de 12 a 17 años
</t>
  </si>
  <si>
    <t xml:space="preserve">Cohorte MEF
1. Calcular edad a corte del periodo evaluar. Formula: =sifecha(FechaNacimiento;FechaCorte;"y")
2. Filtrar edad de 12 a 17 años
</t>
  </si>
  <si>
    <t>PNF</t>
  </si>
  <si>
    <t>33.63%</t>
  </si>
  <si>
    <t>36.02%</t>
  </si>
  <si>
    <t>12/12/2025 Sin modificación  31/03/2025 Se actualiza a ultima Resolución de Cups 2275/2023 en variable fuente.  11/02/2025 Se realiza eliminación de los 3 meses de afiliación.9/12/2024: sin modificación</t>
  </si>
  <si>
    <t>RPYMS150X</t>
  </si>
  <si>
    <t>Cumplimiento en la asesoría de anticoncepción en el año para  mujeres adolescente</t>
  </si>
  <si>
    <t>Mujeres de 12 a 17 años con asesoría en planificación familiar en el año</t>
  </si>
  <si>
    <t>Número de mujeres  que registran consulta de planificación familiar por medicina general, medicina familiar, ginecología o profesional de enfermería en el año vigente
edad consulta de 12 a 17 años</t>
  </si>
  <si>
    <r>
      <t>COHORTE MEF</t>
    </r>
    <r>
      <rPr>
        <strike/>
        <sz val="10"/>
        <color theme="1"/>
        <rFont val="Calibri Light"/>
        <family val="2"/>
        <scheme val="major"/>
      </rPr>
      <t xml:space="preserve">
</t>
    </r>
    <r>
      <rPr>
        <sz val="10"/>
        <color theme="1"/>
        <rFont val="Calibri Light"/>
        <family val="2"/>
        <scheme val="major"/>
      </rPr>
      <t>(CIERRE MES)</t>
    </r>
  </si>
  <si>
    <t>Mujeres  del denominador 
Registro de consulta de planificación familiar 
Año vigente</t>
  </si>
  <si>
    <r>
      <t xml:space="preserve">Población al mes a evaluar activos y nuevos
Mujeres de 12 a 17 años
</t>
    </r>
    <r>
      <rPr>
        <strike/>
        <sz val="10"/>
        <color theme="1"/>
        <rFont val="Calibri Light"/>
        <family val="2"/>
        <scheme val="major"/>
      </rPr>
      <t xml:space="preserve">
</t>
    </r>
    <r>
      <rPr>
        <sz val="10"/>
        <color theme="1"/>
        <rFont val="Calibri Light"/>
        <family val="2"/>
        <scheme val="major"/>
      </rPr>
      <t>Dividido en 12 y multiplicado por mes a evaluar</t>
    </r>
  </si>
  <si>
    <t>Cohorte Planificación familiar general
1. Filtrar sexo "F"
2. Calcular edad a corte de la consulta mas reciente de planificación familiar. Formula: =sifecha(FechaNacimiento;Fechaconsulta;"y")
3. Filtrar edad a la consulta 12 a 17 años
4. Calcular edad a corte de la primera consulta de planificación familiar. Formula: =sifecha(FechaNacimiento;Fechaconsulta;"y")
5. Filtrar edad a la consulta 12 a 17 años
6. En la columna fecha consulta mas reciente de planificación familiar, filtrar consultas en vigencia 2025</t>
  </si>
  <si>
    <t>Cohorte MEF
1. Calcular edad a corte del periodo evaluar. Formula: =sifecha(FechaNacimiento;FechaCorte;"y")
2. Filtrar edad de 12 a 17 años
3. Dividir población de 12 a 17 años en 12 y multiplicar por el mes a evaluar
*Tener en cuenta observación, "Todo lo que cumpla en el numerador debe estar incluido en denominador"</t>
  </si>
  <si>
    <t>27.76%</t>
  </si>
  <si>
    <t>RPYMS151X</t>
  </si>
  <si>
    <t>Proporción de mujeres de 12 a 17 años con reporte de suministro de método anticonceptivo vigente al periodo</t>
  </si>
  <si>
    <t>Edad al corte de 12 a 17 años suministro de método anticonceptivo 
Registren uso de método anticonceptivo
*Validez método:
Opciones 1-2: 10 años atrás (dispositivo intrauterino)
Opciones 3-4: 5 años atrás (implante subdérmico)
Opciones 5-6-7-8-9-10: 12 meses atrás (inyectables y orales)
Opciones 13-14: Toda la vida (esterilización femenina)</t>
  </si>
  <si>
    <t xml:space="preserve">Total de mujeres de 12 a 17 años 
</t>
  </si>
  <si>
    <r>
      <rPr>
        <sz val="10"/>
        <color rgb="FF000000"/>
        <rFont val="Calibri Light"/>
        <family val="2"/>
        <scheme val="major"/>
      </rPr>
      <t xml:space="preserve">1- Res 202. 
</t>
    </r>
    <r>
      <rPr>
        <sz val="10"/>
        <color rgb="FFFF0000"/>
        <rFont val="Calibri Light"/>
        <family val="2"/>
        <scheme val="major"/>
      </rPr>
      <t xml:space="preserve">Variable 55: Fecha Según Vigencia
</t>
    </r>
    <r>
      <rPr>
        <sz val="10"/>
        <color rgb="FF000000"/>
        <rFont val="Calibri Light"/>
        <family val="2"/>
        <scheme val="major"/>
      </rPr>
      <t xml:space="preserve">Variable 54: 1,2,3,4,5,6,7,8,9,10,13,14
2- RIPS. AP - CUPS: 663910 - 663100 - 697100 - 861801
</t>
    </r>
  </si>
  <si>
    <r>
      <t xml:space="preserve">BASE DE DATOS DE AFILIACIONES
</t>
    </r>
    <r>
      <rPr>
        <sz val="10"/>
        <color rgb="FFFF0000"/>
        <rFont val="Calibri Light"/>
        <family val="2"/>
        <scheme val="major"/>
      </rPr>
      <t>y cruce con COHORTE MEF</t>
    </r>
    <r>
      <rPr>
        <sz val="10"/>
        <rFont val="Calibri Light"/>
        <family val="2"/>
        <scheme val="major"/>
      </rPr>
      <t xml:space="preserve">
(CIERRE MES)</t>
    </r>
  </si>
  <si>
    <t>Población denominador
Registro de uso de método anticonceptivo (Excepto Barrera y emergencia)</t>
  </si>
  <si>
    <t>Variable:
Población al mes a evaluar activos y nuevos
Mujeres de 12 a 17 años</t>
  </si>
  <si>
    <t>Se excluyen las mujeres con:
que ya han sido evaluadas respecto al método de planificación pero que responden a las siguientes causales:
* Mujeres que registren método de planificación opción 16,17,18 y 20.
16- No se suministra por una Tradición
17- No se suministra por una Condición de Salud
18- No se suministra por Negación de la usuaria
20- No se suministra por otras razones</t>
  </si>
  <si>
    <t>No son validos el método de Barrera o Emergencia</t>
  </si>
  <si>
    <t>Cohorte Planificación familiar general
1. Calcular edad a corte del periodo evaluar. Formula: =sifecha(FechaNacimiento;FechaCorte;"y")
2. Filtrar sexo "F"
3. Filtrar edad de 12 a 17 años
4. En columna "Suministro de Método Anticonceptivo" filtrar y contabilizar los metodos validos de acuerdo con la vigencia del mismo.
5. Realizar la sumatoria del valor de obtenido por cada uno de los metodos para obtener dato general</t>
  </si>
  <si>
    <t>Cohorte MEF
1. Calcular edad a corte del periodo evaluar. Formula: =sifecha(FechaNacimiento;FechaCorte;"y")
2. Filtrar edad de 12 a 17 años
3. En la columna "Metodo planificación" excluir los comodines 16,17,18 y 20</t>
  </si>
  <si>
    <t>15.06%</t>
  </si>
  <si>
    <t>15.44%</t>
  </si>
  <si>
    <t>15/12/2025: se modifica nombre del indicador, meta. eyav---- Se incluye en la fuente numerador la variable 55 de la Resolución, pero esta inclusión no altera la medición ya regla en la parametrización sigires.  //30/04/2025 Se incluye cohorte de MEF como fuente en denominador.  05/03/2025 Se ajusta población denominador.  11/02/2025 Se realiza eliminación de los 3 meses de afiliación. 19/12/2024: se ajusta la meta y los puntos, eyav.</t>
  </si>
  <si>
    <t>RPYMS147X</t>
  </si>
  <si>
    <t>Proporción de mujeres con comorbilidad con asesoría en anticoncepción</t>
  </si>
  <si>
    <t>Proporción de mujeres de 13 a 49 años con comorbilidad con asesoría en planificación familiar alguna vez en la vida</t>
  </si>
  <si>
    <t>Numero de mujeres en edad fértil de 13 a 49 años con comorbilidad que recibieron consulta para asesoría en anticoncepción por profesional de enfermería, medicina, ginecología o medicina familiar.
Edad a la consulta  de 13 a 49 años</t>
  </si>
  <si>
    <t xml:space="preserve">Total de mujeres de 13 a 49 años con comorbilidad
</t>
  </si>
  <si>
    <t>1- RIPS: 
* CUPS con Finalidad 3 o CUPS con CIE-10 Z300, Z304, Z308; Z309
89.0.2.01 (consulta de primera vez por medicina general)
89.0.3.01 (Consulta de control o seguimiento por medicina general)
89.0.2.83 (consulta de primera vez por especialista en pediatría)
89.0.3.83 (Consulta de control o seguimiento por especialista en pediatría)
89.02.50 (consulta de primera vez por especialista en ginecología y obstetricia)
89.03.50 (consulta de control o seguimiento por especialista en ginecología y obstetricia)
89.0.2.63 (consulta de primera vez por especialista en medicina familiar)
89.0.3.63 (Consulta de control o seguimiento por especialista en medicina familiar)
89.0.2.05 (Consulta de primera vez por enfermería)
89.0.3.05 (Consulta de control o de seguimiento por enfermería)
* Res 2275 CUPS con Finalidad 19 o CUPS con CIE-10 Z300, Z304, Z308; Z309
89.0.2.01 (consulta de primera vez por medicina general)
89.0.3.01 (Consulta de control o seguimiento por medicina general)
89.0.2.83 (consulta de primera vez por especialista en pediatría)
89.0.3.83 (Consulta de control o seguimiento por especialista en pediatría)
89.02.50 (consulta de primera vez por especialista en ginecología y obstetricia)
89.03.50 (consulta de control o seguimiento por especialista en ginecología y obstetricia)
89.0.2.63 (consulta de primera vez por especialista en medicina familiar)
89.0.3.63 (Consulta de control o seguimiento por especialista en medicina familiar)
89.0.2.05 (Consulta de primera vez por enfermería)
89.0.3.05 (Consulta de control o de seguimiento por enfermería)
2- Res 202 Variable 53 - fecha válida</t>
  </si>
  <si>
    <t>MUJERES CON COOMORBILIDAD</t>
  </si>
  <si>
    <t>Mujeres de 13 a 49 años con comorbilidad
Registro de consulta de planificación familiar</t>
  </si>
  <si>
    <t>Variable:
Población actual al mes a evaluar activos y nuevos
Mujeres de 13 a 49 años 
Con comorbilidad: Diabetes, Cáncer, Enfermedad renal crónica, VIH, Artritis, HTA, EPOC, Hemofilia Agregar Obesidad</t>
  </si>
  <si>
    <t>Se excluyen las mujeres con:
* Infertilidad 
* Histerectomía total (CUPS Histerectomía: 680100, 684000, 684001, 684010, 684020, 684100, 684101, 685110, 685120, 685130, 686100, 687000)
* Pomeroy o esterilización
* Excluir lo que se capture por RIPS con los códigos de "Infertilidad", "esterilización", "histerectomía" cargadas mensualmente por adicionales</t>
  </si>
  <si>
    <t>Cohorte MEF con Comorbilidades
1. Calcular edad a corte del periodo evaluar. Formula: =sifecha(FechaNacimiento;FechaCorte;"y")
2. Filtrar edad de 13 a 49 años
3. En la columna "Histerectomia" filtrar las usuarias con registro "0"
4. En la columna "Infertilidad" filtrar las usuarias con registro "0"
5. En la columna "Esterilización" filtrar las usuarias con registro "0"
6. Calcular edad a corte de la Fecha más reciente de consulta de planificación familiar. Formula: =sifecha(FechaNacimiento;FechaConsulta;"y")
7. Filtrar edad de 13 a 49 años</t>
  </si>
  <si>
    <t>Cohorte MEF con Comorbilidades
1. Calcular edad a corte del periodo evaluar. Formula: =sifecha(FechaNacimiento;FechaCorte;"y")
2. Filtrar edad de 13 a 49 años
3. En la columna "Histerectomia" filtrar las usuarias con registro "0"
4. En la columna "Infertilidad" filtrar las usuarias con registro "0"
5. En la columna "Esterilización" filtrar las usuarias con registro "0"</t>
  </si>
  <si>
    <t>66.72%</t>
  </si>
  <si>
    <t>71.18%</t>
  </si>
  <si>
    <t>31/03/2025 Se actualiza a ultima Resolución de Cups 2275/2023 en variable fuente.  11/02/2025 Se realiza eliminación de los 3 meses de afiliación. 9/12/2024: se pasa a informativo. EYAV</t>
  </si>
  <si>
    <t>RPYMS148X</t>
  </si>
  <si>
    <t>Cumplimiento en la asesoría de anticoncepción en el año en mujeres con comorbilidad</t>
  </si>
  <si>
    <t>Mujeres de 13 a 49 años con comorbilidad con asesoría en planificación familiar en el año</t>
  </si>
  <si>
    <t>Edad a la consulta 13 a 49 años con comorbilidad que registran consulta de planificación familiar por medicina general, medicina familiar, ginecología o profesional de enfermería en el año vigente</t>
  </si>
  <si>
    <t>Total de mujeres de 13 a 49 años con comorbilidad
Dividido en 12 y multiplicado por mes a evaluar</t>
  </si>
  <si>
    <t>Mujeres del denominador 
Registro de consulta de planificación familiar 
Año vigente</t>
  </si>
  <si>
    <t>Población al mes a evaluar activos y nuevos
Mujeres de 13 a 49 años 
Con comorbilidad: Diabetes (EV07), Cáncer (EV03), Enfermedad renal crónica(EV08), VIH(EV09), Artritis(EV02), HTA(EV06), EPOC (EV01), Hemofilia(EV04), Obesidad, Lupus, Enfermedad Tiroidea, Epilepsia, Enfermedad Cardiovascular, Eclampsia y preclampsia.
Dividido en 12 y multiplicado por mes a evaluar</t>
  </si>
  <si>
    <t>Cohorte MEF con Comorbilidades
1. Calcular edad a corte del periodo evaluar. Formula: =sifecha(FechaNacimiento;FechaCorte;"y")
2. Filtrar edad de 13 a 49 años
3. En la columna "Histerectomia" filtrar las usuarias con registro "0"
4. En la columna "Infertilidad" filtrar las usuarias con registro "0"
5. En la columna "Esterilización" filtrar las usuarias con registro "0"
6. En la columna Fecha más reciente de consulta de planificación familiar filtrar consultas realizadas durante año vigente</t>
  </si>
  <si>
    <t>Cohorte MEF con Comorbilidades
1. Calcular edad a corte del periodo evaluar. Formula: =sifecha(FechaNacimiento;FechaCorte;"y")
2. Filtrar edad de 13 a 49 años
3. En la columna "Histerectomia" filtrar las usuarias con registro "0"
4. En la columna "Infertilidad" filtrar las usuarias con registro "0"
5. En la columna "Esterilización" filtrar las usuarias con registro "0"
6. Dividir la población en 12 y multiplicar por el mes a evaluar</t>
  </si>
  <si>
    <t>MEF Comorbilidad</t>
  </si>
  <si>
    <t>38.36%</t>
  </si>
  <si>
    <t>38.85%</t>
  </si>
  <si>
    <t>RPYMS95X</t>
  </si>
  <si>
    <t>Proporción de mujeres con comorbilidad con uso de un método anticonceptivo</t>
  </si>
  <si>
    <t>Proporción de mujeres de 13 a 49 años con comorbilidad con reporte de suministro de método anticonceptivo vigente al periodo</t>
  </si>
  <si>
    <t>Numero de mujeres en edad fértil de 13 a 49 años con comorbilidad
Registren uso de método anticonceptivo
*Validez método:
Opciones 1-2: 10 años atrás (dispositivo intrauterino)
Opciones 3-4: 5 años atrás (implante subdérmico)
Opciones 5-6-7-8-9-10: 12 meses atrás (inyectables y orales)
Opciones 13-14: Toda la vida (esterilización femenina)</t>
  </si>
  <si>
    <t xml:space="preserve">Total de mujeres de 13 a 49 años 
Con comorbilidad: Diabetes, Cáncer, Enfermedad Renal Crónica, VIH, Artritis, HTA, EPOC, Hemofilia, Obesidad, Lupus, Enfermedad Tiroidea, Epilepsia, Enfermedad Cardiovascular, Eclampsia y preclampsia.
</t>
  </si>
  <si>
    <t xml:space="preserve">1- Res 202.
  Variable 55: SEGÚN VIGENCIA 
 Variable 54: 1,2,3,4,5,6,7,8,9,10.13,14
2- RIPS. AP - CUPS: 663910 - 663100 - 697100 - 861801
</t>
  </si>
  <si>
    <r>
      <rPr>
        <sz val="10"/>
        <color theme="1"/>
        <rFont val="Calibri Light"/>
        <family val="2"/>
        <scheme val="major"/>
      </rPr>
      <t>Base de patologias que se carga a Procex: Diabetes, Cáncer, Enfermedad renal crónica, VIH, Artritis, HTA, EPOC, Hemofilia;Obesidad, lupus, enfermedad Tiroidea, epilepsia, enf cardiovascular</t>
    </r>
    <r>
      <rPr>
        <strike/>
        <sz val="10"/>
        <color theme="1"/>
        <rFont val="Calibri Light"/>
        <family val="2"/>
        <scheme val="major"/>
      </rPr>
      <t xml:space="preserve">
</t>
    </r>
  </si>
  <si>
    <r>
      <t xml:space="preserve">Mujeres del denominador </t>
    </r>
    <r>
      <rPr>
        <strike/>
        <sz val="10"/>
        <color theme="1"/>
        <rFont val="Calibri Light"/>
        <family val="2"/>
        <scheme val="major"/>
      </rPr>
      <t xml:space="preserve">
</t>
    </r>
    <r>
      <rPr>
        <sz val="10"/>
        <color theme="1"/>
        <rFont val="Calibri Light"/>
        <family val="2"/>
        <scheme val="major"/>
      </rPr>
      <t>Registró de uso de método anticonceptivo</t>
    </r>
  </si>
  <si>
    <t xml:space="preserve">Variable:
Población al mes a evaluar activos y nuevos
Mujeres de 13 a 49 años 
Con comorbilidad: Diabetes, Cáncer, Enfermedad renal crónica, VIH, Artritis, HTA, EPOC, Hemofilia;Obesidad, Lupus, Enfermedad Tiroidea, Epilepsia, Enfermedad Cardiovascular, Eclampsia y preclampsia.
</t>
  </si>
  <si>
    <t>Cohorte Planificación familiar general
1. Calcular edad a corte del periodo evaluar. Formula: =sifecha(FechaNacimiento;FechaCorte;"y")
3. Filtrar edad de 13 a 49 años
4. En la columna "Histerectomia" filtrar las usuarias con registro "0"
5. En la columna "Infertilidad" filtrar las usuarias con registro "0"
6. En la columna "Esterilización" filtrar las usuarias con registro "0"
7. En columna "Suministro de Método Anticonceptivo" filtrar y contabilizar los metodos validos de acuerdo con la vigencia del mismo.
8. En la columna "Esterilización" filtrar las usuarias con registro "1" 
9. Realizar la sumatoria del valor de obtenido por cada uno de los metodos para obtener dato general</t>
  </si>
  <si>
    <t>Cohorte MEF con Comorbilidades
1. Calcular edad a corte del periodo evaluar. Formula: =sifecha(FechaNacimiento;FechaCorte;"y")
2. Filtrar edad de 13 a 49 años
3. En la columna "Histerectomia" filtrar las usuarias con registro "0"
4. En la columna "Infertilidad" filtrar las usuarias con registro "0"
5. En la columna "Suministro de Método Anticonceptivo" excluir los comodines 16,17,18 y 20</t>
  </si>
  <si>
    <t>39.74%</t>
  </si>
  <si>
    <t>46.61%</t>
  </si>
  <si>
    <t>15/12/2025: modificación de puntaje, eyav.  5/03/2025 Se ajusta definición del denominador, población del numerador y denominador y se actualiza cohorte para validar.  11/02/2025 Se realiza eliminación de los 3 meses de afiliación. 9/12/2024: sin modificación</t>
  </si>
  <si>
    <t>RPYMS95AX</t>
  </si>
  <si>
    <t>Proporción de mujeres con diagnóstico de EPOC con uso de un método anticonceptivo</t>
  </si>
  <si>
    <t>Proporción de mujeres de 13 a 49 años con EPOC con reporte de suministro de método anticonceptivo vigente al periodo</t>
  </si>
  <si>
    <t>Numero de mujeres en edad fértil de 13 a 49 años con marcación de patología EV01
Registro uso de método anticonceptivo
*Validez método:
Opciones 1-2: 10 años atrás (dispositivo intrauterino)
Opciones 3-4: 5 años atrás (implante subdérmico)
Opciones 5-6-7-8-9-10: 12 meses atrás (inyectables y orales)
Opciones 13-14: Toda la vida (esterilización femenina)</t>
  </si>
  <si>
    <t xml:space="preserve">Total de mujeres de 13 a 49 años con comorbilidad: EPOC (EV01)
</t>
  </si>
  <si>
    <t xml:space="preserve">1- Res 202.
 Variable 55: SEGÚN VIGENCIA
 Variable 54: 1,2,3,4,5,6,7,8,9,10.13,14
2- RIPS. AP - CUPS: 663910 - 663100 - 697100 - 861801
</t>
  </si>
  <si>
    <t xml:space="preserve">Mujeres de 13 a 49 años
Comorbilidad EPOC (EV01) asociada
Registro de uso de método anticonceptivo </t>
  </si>
  <si>
    <t xml:space="preserve">Variable:
Población actual al mes a evaluar activos y nuevos
Mujeres de 13 a 49 años 
Con comorbilidad: EPOC (EV01)
</t>
  </si>
  <si>
    <t xml:space="preserve">Cohorte MEF con Comorbilidades
1. Calcular edad a corte del periodo evaluar. Formula: =sifecha(FechaNacimiento;FechaCorte;"y")
2. Filtrar edad de 13 a 49 años
3. En la columna "EV01" filtrar las usuarias con registro "1"
3. En la columna "Histerectomia" filtrar las usuarias con registro "0"
4. En la columna "Infertilidad" filtrar las usuarias con registro "0"
5. En la columna "Suministro de Método Anticonceptivo" filtrar los metodos con codigo valido (1,2,3,4,5,6,7,8,9,10,13,14)
6. En la columna "Fecha Suministro de Método Anticonceptivo" filtrar según vigencia de método
</t>
  </si>
  <si>
    <t xml:space="preserve">Cohorte MEF con Comorbilidades
1. Calcular edad a corte del periodo evaluar. Formula: =sifecha(FechaNacimiento;FechaCorte;"y")
2. Filtrar edad de 13 a 49 años
3. En la columna "EV01" filtrar las usuarias con registro "1"
4. En la columna "Histerectomia" filtrar las usuarias con registro "0"
5. En la columna "Infertilidad" filtrar las usuarias con registro "0"
</t>
  </si>
  <si>
    <t>58.45%</t>
  </si>
  <si>
    <t>61.45%</t>
  </si>
  <si>
    <t>12/12/2025 Sin modificación 11/02/2025 Se realiza eliminación de los 3 meses de afiliación. 9/12/2024: sin modificación</t>
  </si>
  <si>
    <t>RPYMS95BX</t>
  </si>
  <si>
    <t>Proporción de mujeres con diagnóstico de Artritis con uso de un método anticonceptivo</t>
  </si>
  <si>
    <t>Proporción de mujeres de 13 a 49 años con Artritis con reporte de suministro de método anticonceptivo vigente al periodo</t>
  </si>
  <si>
    <t>Numero de mujeres en edad fértil de 13 a 49 años con marcación de patología EV02
Registro uso de método anticonceptivo
*Validez método:
Opciones 1-2: 10 años atrás (dispositivo intrauterino)
Opciones 3-4: 5 años atrás (implante subdérmico)
Opciones 5-6-7-8-9-10: 12 meses atrás (inyectables y orales)
Opciones 13-14: Toda la vida (esterilización femenina)</t>
  </si>
  <si>
    <t xml:space="preserve">Total de mujeres de 13 a 49 años con comorbilidad: Artritis (EV02)
</t>
  </si>
  <si>
    <t xml:space="preserve">Mujeres de 13 a 49 años
Comorbilidad Artritis (EV02) asociada
Registro de uso de método anticonceptivo </t>
  </si>
  <si>
    <t xml:space="preserve">Variable:
Población actual al mes a evaluar activos y nuevos
Mujeres de 13 a 49 años 
Con comorbilidad: Artritis (EV02)
</t>
  </si>
  <si>
    <t xml:space="preserve">Cohorte MEF con Comorbilidades
1. Calcular edad a corte del periodo evaluar. Formula: =sifecha(FechaNacimiento;FechaCorte;"y")
2. Filtrar edad de 13 a 49 años
3. En la columna "EV02" filtrar las usuarias con registro "1"
3. En la columna "Histerectomia" filtrar las usuarias con registro "0"
4. En la columna "Infertilidad" filtrar las usuarias con registro "0"
5. En la columna "Suministro de Método Anticonceptivo" filtrar los metodos con codigo valido (1,2,3,4,5,6,7,8,9,10,13,14)
6. En la columna "Fecha Suministro de Método Anticonceptivo" filtrar según vigencia de método
</t>
  </si>
  <si>
    <t xml:space="preserve">Cohorte MEF con Comorbilidades
1. Calcular edad a corte del periodo evaluar. Formula: =sifecha(FechaNacimiento;FechaCorte;"y")
2. Filtrar edad de 13 a 49 años
3. En la columna "EV02" filtrar las usuarias con registro "1"
4. En la columna "Histerectomia" filtrar las usuarias con registro "0"
5. En la columna "Infertilidad" filtrar las usuarias con registro "0"
</t>
  </si>
  <si>
    <t>49.55%</t>
  </si>
  <si>
    <t>54.55%</t>
  </si>
  <si>
    <t>12/12/2025 Sin modificación  11/02/2025 Se realiza eliminación de los 3 meses de afiliación. 9/12/2024: sin modificación</t>
  </si>
  <si>
    <t>RPYMS95CX</t>
  </si>
  <si>
    <t>Proporción de mujeres con diagnóstico de cáncer con uso de un método anticonceptivo</t>
  </si>
  <si>
    <t>Proporción de mujeres de 13 a 49 años con Cáncer con reporte de suministro de método anticonceptivo vigente al periodo</t>
  </si>
  <si>
    <t>Numero de mujeres en edad fértil de 13 a 49 años con marcación de patología EV03
Registro uso de método anticonceptivo
*Validez método:
Opciones 1-2: 10 años atrás (dispositivo intrauterino)
Opciones 3-4: 5 años atrás (implante subdérmico)
Opciones 5-6-7-8-9-10: 12 meses atrás (inyectables y orales)
Opciones 13-14: Toda la vida (esterilización femenina)</t>
  </si>
  <si>
    <t xml:space="preserve">Total de mujeres de 13 a 49 años con comorbilidad: Cáncer (EV03)
</t>
  </si>
  <si>
    <t xml:space="preserve">Mujeres de 13 a 49 años
Comorbilidad Cáncer (EV03) asociada
Registro de uso de método anticonceptivo </t>
  </si>
  <si>
    <t xml:space="preserve">Variable:
Población actual al mes a evaluar activos y nuevos
Mujeres de 13 a 49 años 
Con comorbilidad: Cáncer (EV03)
</t>
  </si>
  <si>
    <t xml:space="preserve">Cohorte MEF con Comorbilidades
1. Calcular edad a corte del periodo evaluar. Formula: =sifecha(FechaNacimiento;FechaCorte;"y")
2. Filtrar edad de 13 a 49 años
3. En la columna "EV03" quitar del filtro las usuarias con registro "vacias"
3. En la columna "Histerectomia" filtrar las usuarias con registro "0"
4. En la columna "Infertilidad" filtrar las usuarias con registro "0"
5. En la columna "Suministro de Método Anticonceptivo" filtrar los metodos con codigo valido (1,2,3,4,5,6,7,8,9,10,13,14)
6. En la columna "Fecha Suministro de Método Anticonceptivo" filtrar según vigencia de método
</t>
  </si>
  <si>
    <t xml:space="preserve">Cohorte MEF con Comorbilidades
1. Calcular edad a corte del periodo evaluar. Formula: =sifecha(FechaNacimiento;FechaCorte;"y")
2. Filtrar edad de 13 a 49 años
3. En la columna "EV03" filtrar las usuarias con registro "1"
4. En la columna "Histerectomia" filtrar las usuarias con registro "0"
5. En la columna "Infertilidad" filtrar las usuarias con registro "0"
</t>
  </si>
  <si>
    <t>44.63%</t>
  </si>
  <si>
    <t>RPYMS95DX</t>
  </si>
  <si>
    <t>Proporción de mujeres con diagnóstico de Hemofilia con uso de un método anticonceptivo</t>
  </si>
  <si>
    <t>Proporción de mujeres de 13 a 49 años con Hemofilia con reporte de suministro de método anticonceptivo vigente al periodo</t>
  </si>
  <si>
    <t>Numero de mujeres en edad fértil de 13 a 49 años con marcación de patología EV04
Registro uso de método anticonceptivo
*Validez método:
Opciones 1-2: 10 años atrás (dispositivo intrauterino)
Opciones 3-4: 5 años atrás (implante subdérmico)
Opciones 5-6-7-8-9-10: 12 meses atrás (inyectables y orales)
Opciones 13-14: Toda la vida (esterilización femenina)</t>
  </si>
  <si>
    <t xml:space="preserve">Total de mujeres de 13 a 49 años con comorbilidad: Hemofilia (EV04)
</t>
  </si>
  <si>
    <t xml:space="preserve">Mujeres de 13 a 49 años
Comorbilidad Hemofilia (EV04) asociada
Registro de uso de método anticonceptivo </t>
  </si>
  <si>
    <t xml:space="preserve">Variable:
Población actual al mes a evaluar activos y nuevos
Mujeres de 13 a 49 años 
Con comorbilidad: EPOC (EV04)
</t>
  </si>
  <si>
    <t xml:space="preserve">Cohorte MEF con Comorbilidades
1. Calcular edad a corte del periodo evaluar. Formula: =sifecha(FechaNacimiento;FechaCorte;"y")
2. Filtrar edad de 13 a 49 años
3. En la columna "EV04" filtrar las usuarias con registro "1"
3. En la columna "Histerectomia" filtrar las usuarias con registro "0"
4. En la columna "Infertilidad" filtrar las usuarias con registro "0"
5. En la columna "Suministro de Método Anticonceptivo" filtrar los metodos con codigo valido (1,2,3,4,5,6,7,8,9,10,13,14)
6. En la columna "Fecha Suministro de Método Anticonceptivo" filtrar según vigencia de método
</t>
  </si>
  <si>
    <t xml:space="preserve">Cohorte MEF con Comorbilidades
1. Calcular edad a corte del periodo evaluar. Formula: =sifecha(FechaNacimiento;FechaCorte;"y")
2. Filtrar edad de 13 a 49 años
3. En la columna "EV04" filtrar las usuarias con registro "1"
4. En la columna "Histerectomia" filtrar las usuarias con registro "0"
5. En la columna "Infertilidad" filtrar las usuarias con registro "0"
</t>
  </si>
  <si>
    <t>45.45%</t>
  </si>
  <si>
    <t>50.68%</t>
  </si>
  <si>
    <t>RPYMS95EX</t>
  </si>
  <si>
    <t>Proporción de mujeres con diagnóstico de Hipertensión con uso de un método anticonceptivo</t>
  </si>
  <si>
    <t>Proporción de mujeres de 13 a 49 años con Hipertensión con reporte de suministro de método anticonceptivo vigente al periodo</t>
  </si>
  <si>
    <t>Numero de mujeres en edad fértil de 13 a 49 años con marcación de patología EV06
Registro uso de método anticonceptivo
*Validez método:
Opciones 1-2: 10 años atrás (dispositivo intrauterino)
Opciones 3-4: 5 años atrás (implante subdérmico)
Opciones 5-6-7-8-9-10: 12 meses atrás (inyectables y orales)
Opciones 13-14: Toda la vida (esterilización femenina)</t>
  </si>
  <si>
    <t xml:space="preserve">Total de mujeres de 13 a 49 años con comorbilidad: Hipertensión (EV06)
</t>
  </si>
  <si>
    <t xml:space="preserve">Mujeres de 13 a 49 años
Comorbilidad Hipertensión (EV06) asociada
Registro de uso de método anticonceptivo </t>
  </si>
  <si>
    <t xml:space="preserve">Variable:
Población actual al mes a evaluar activos y nuevos
Mujeres de 13 a 49 años 
Con comorbilidad: Hipertensión (EV06)
</t>
  </si>
  <si>
    <t xml:space="preserve">Cohorte MEF con Comorbilidades
1. Calcular edad a corte del periodo evaluar. Formula: =sifecha(FechaNacimiento;FechaCorte;"y")
2. Filtrar edad de 13 a 49 años
3. En la columna "EV06" filtrar las usuarias con registro "1"
3. En la columna "Histerectomia" filtrar las usuarias con registro "0"
4. En la columna "Infertilidad" filtrar las usuarias con registro "0"
5. En la columna "Suministro de Método Anticonceptivo" filtrar los metodos con codigo valido (1,2,3,4,5,6,7,8,9,10,13,14)
6. En la columna "Fecha Suministro de Método Anticonceptivo" filtrar según vigencia de método
</t>
  </si>
  <si>
    <t xml:space="preserve">Cohorte MEF con Comorbilidades
1. Calcular edad a corte del periodo evaluar. Formula: =sifecha(FechaNacimiento;FechaCorte;"y")
2. Filtrar edad de 13 a 49 años
3. En la columna "EV06" filtrar las usuarias con registro "1"
4. En la columna "Histerectomia" filtrar las usuarias con registro "0"
5. En la columna "Infertilidad" filtrar las usuarias con registro "0"
</t>
  </si>
  <si>
    <t>44.06%</t>
  </si>
  <si>
    <t>51%</t>
  </si>
  <si>
    <t>RPYMS95FX</t>
  </si>
  <si>
    <t>Proporción de mujeres con diagnóstico de Diabetes con uso de un método anticonceptivo</t>
  </si>
  <si>
    <t>Proporción de mujeres de 13 a 49 años con Diabetes con reporte de suministro de método anticonceptivo vigente al periodo</t>
  </si>
  <si>
    <t>Numero de mujeres en edad fértil de 13 a 49 años con marcación de patología EV07
Registro uso de método anticonceptivo
*Validez método:
Opciones 1-2: 10 años atrás (dispositivo intrauterino)
Opciones 3-4: 5 años atrás (implante subdérmico)
Opciones 5-6-7-8-9-10: 12 meses atrás (inyectables y orales)
Opciones 13-14: Toda la vida (esterilización femenina)</t>
  </si>
  <si>
    <t xml:space="preserve">Total de mujeres de 13 a 49 años con comorbilidad: Diabetes (EV07)
</t>
  </si>
  <si>
    <t xml:space="preserve">Mujeres de 13 a 49 años
Comorbilidad Diabetes (EV07) asociada
Registro de uso de método anticonceptivo </t>
  </si>
  <si>
    <t xml:space="preserve">Variable:
Población actual al mes a evaluar activos y nuevos
Mujeres de 13 a 49 años 
Con comorbilidad: Diabetes (EV07)
</t>
  </si>
  <si>
    <t xml:space="preserve">Cohorte MEF con Comorbilidades
1. Calcular edad a corte del periodo evaluar. Formula: =sifecha(FechaNacimiento;FechaCorte;"y")
2. Filtrar edad de 13 a 49 años
3. En la columna "EV07" filtrar las usuarias con registro "1"
3. En la columna "Histerectomia" filtrar las usuarias con registro "0"
4. En la columna "Infertilidad" filtrar las usuarias con registro "0"
5. En la columna "Suministro de Método Anticonceptivo" filtrar los metodos con codigo valido (1,2,3,4,5,6,7,8,9,10,13,14)
6. En la columna "Fecha Suministro de Método Anticonceptivo" filtrar según vigencia de método
</t>
  </si>
  <si>
    <t xml:space="preserve">Cohorte MEF con Comorbilidades
1. Calcular edad a corte del periodo evaluar. Formula: =sifecha(FechaNacimiento;FechaCorte;"y")
2. Filtrar edad de 13 a 49 años
3. En la columna "EV07" filtrar las usuarias con registro "1"
4. En la columna "Histerectomia" filtrar las usuarias con registro "0"
5. En la columna "Infertilidad" filtrar las usuarias con registro "0"
</t>
  </si>
  <si>
    <t>45.31%</t>
  </si>
  <si>
    <t>52.22%</t>
  </si>
  <si>
    <t>RPYMS95GX</t>
  </si>
  <si>
    <t>Proporción de mujeres con diagnóstico de Enfermedad renal crónica con uso de un método anticonceptivo</t>
  </si>
  <si>
    <t>Proporción de mujeres de 13 a 49 años con ERC con reporte de suministro de método anticonceptivo vigente al periodo</t>
  </si>
  <si>
    <t>Numero de mujeres en edad fértil de 13 a 49 años con marcación de patología EV08
Registro uso de método anticonceptivo
*Validez método:
Opciones 1-2: 10 años atrás (dispositivo intrauterino)
Opciones 3-4: 5 años atrás (implante subdérmico)
Opciones 5-6-7-8-9-10: 12 meses atrás (inyectables y orales)
Opciones 13-14: Toda la vida (esterilización femenina)</t>
  </si>
  <si>
    <t xml:space="preserve">Total de mujeres de 13 a 49 años con comorbilidad: Enfermedad renal crónica (EV08)
</t>
  </si>
  <si>
    <t xml:space="preserve">Mujeres de 13 a 49 años
Comorbilidad Enfermedad renal crónica (EV08) asociada
Registro de uso de método anticonceptivo </t>
  </si>
  <si>
    <t xml:space="preserve">Variable:
Población actual al mes a evaluar activos y nuevos
Mujeres de 13 a 49 años 
Con comorbilidad: Enfermedad renal crónica (EV08)
</t>
  </si>
  <si>
    <t xml:space="preserve">Cohorte MEF con Comorbilidades
1. Calcular edad a corte del periodo evaluar. Formula: =sifecha(FechaNacimiento;FechaCorte;"y")
2. Filtrar edad de 13 a 49 años
3. En la columna "EV08" filtrar las usuarias con registro "1"
3. En la columna "Histerectomia" filtrar las usuarias con registro "0"
4. En la columna "Infertilidad" filtrar las usuarias con registro "0"
5. En la columna "Suministro de Método Anticonceptivo" filtrar los metodos con codigo valido (1,2,3,4,5,6,7,8,9,10,13,14)
6. En la columna "Fecha Suministro de Método Anticonceptivo" filtrar según vigencia de método
</t>
  </si>
  <si>
    <t xml:space="preserve">Cohorte MEF con Comorbilidades
1. Calcular edad a corte del periodo evaluar. Formula: =sifecha(FechaNacimiento;FechaCorte;"y")
2. Filtrar edad de 13 a 49 años
3. En la columna "EV08" filtrar las usuarias con registro "1"
4. En la columna "Histerectomia" filtrar las usuarias con registro "0"
5. En la columna "Infertilidad" filtrar las usuarias con registro "0"
</t>
  </si>
  <si>
    <t>46.74%</t>
  </si>
  <si>
    <t>52.71%</t>
  </si>
  <si>
    <t>RPYMS95HX</t>
  </si>
  <si>
    <t>Proporción de mujeres con diagnóstico de VIH con uso de un método anticonceptivo</t>
  </si>
  <si>
    <t>Proporción de mujeres de 13 a 49 años con VIH con reporte de suministro de método anticonceptivo vigente al periodo</t>
  </si>
  <si>
    <t>Numero de mujeres en edad fértil de 13 a 49 años con marcación de patología EV09
Registro uso de método anticonceptivo
*Validez método:
Opciones 1-2: 10 años atrás (dispositivo intrauterino)
Opciones 3-4: 5 años atrás (implante subdérmico)
Opciones 5-6-7-8-9-10: 12 meses atrás (inyectables y orales)
Opciones 13-14: Toda la vida (esterilización femenina)</t>
  </si>
  <si>
    <t xml:space="preserve">Total de mujeres de 13 a 49 años con comorbilidad: VIH (EV09)
</t>
  </si>
  <si>
    <t xml:space="preserve">Mujeres de 13 a 49 años
Comorbilidad VIH (EV09) asociada
Registro de uso de método anticonceptivo </t>
  </si>
  <si>
    <t xml:space="preserve">Variable:
Población actual al mes a evaluar activos y nuevos
Mujeres de 13 a 49 años 
Con comorbilidad: VIH (EV09)
</t>
  </si>
  <si>
    <t xml:space="preserve">Cohorte MEF con Comorbilidades
1. Calcular edad a corte del periodo evaluar. Formula: =sifecha(FechaNacimiento;FechaCorte;"y")
2. Filtrar edad de 13 a 49 años
3. En la columna "EV09" filtrar las usuarias con registro "1"
3. En la columna "Histerectomia" filtrar las usuarias con registro "0"
4. En la columna "Infertilidad" filtrar las usuarias con registro "0"
5. En la columna "Suministro de Método Anticonceptivo" filtrar los metodos con codigo valido (1,2,3,4,5,6,7,8,9,10,13,14)
6. En la columna "Fecha Suministro de Método Anticonceptivo" filtrar según vigencia de método
</t>
  </si>
  <si>
    <t xml:space="preserve">Cohorte MEF con Comorbilidades
1. Calcular edad a corte del periodo evaluar. Formula: =sifecha(FechaNacimiento;FechaCorte;"y")
2. Filtrar edad de 13 a 49 años
3. En la columna "EV09" filtrar las usuarias con registro "1"
4. En la columna "Histerectomia" filtrar las usuarias con registro "0"
5. En la columna "Infertilidad" filtrar las usuarias con registro "0"
</t>
  </si>
  <si>
    <t>44.23%</t>
  </si>
  <si>
    <t>59.38%</t>
  </si>
  <si>
    <t>RPYMS152X</t>
  </si>
  <si>
    <t>Proporción de mujeres post evento obstétrico con uso de un método anticonceptivo</t>
  </si>
  <si>
    <t>Proporción de mujeres  con post evento obstétrico con reporte de suministro de método anticonceptivo vigente al periodo</t>
  </si>
  <si>
    <t>Número de mujeres post evento obstétrico (del denominador planteado) que recibieron suministro de método anticonceptivo en fecha igual o posterior al evento obstétrico (hasta 12 meses)</t>
  </si>
  <si>
    <t>Total de mujeres que presentaron evento obstétrico en los últimos  12 meses incluyendo el mes evaluado</t>
  </si>
  <si>
    <t>* Resolución 202
variable 54 y 55
Opciones 1-2:  10 años atrás (dispositivo intrauterino)
Opciones 3-4: 5 años atrás (implante subdérmico)
Opciones 5,6,7,8,9,10: 12 meses atrás (inyectables y orales)
Opciones 13, 14: Toda la vida (esterilización femenina)</t>
  </si>
  <si>
    <t>1- RIPS: CIE 10:  (Consultar hoja de eventos obstétricos o leer este listado)
O021, O028, O029, O030, O031, O032, O033, O034, O035, O036, O037, O038, O039, O040, O041, O042, O043, O044, O045, O046, O047, O048, O049, O050, O051, O052, O053, O054, O055, O056, O057, O058, O059, O060, O061, O062, O063, O064, O065, O066, O067, O068, O069, O479, O60X, O800, O801, O808, O809, O810, O811, O812, O813, O814, O815, O820, O821, O822, O828, O829, O831, O832, O833, O838, O839, O840, O841, O842, O848, O849.
2- Cohorte Evento Obstétrico o IVE</t>
  </si>
  <si>
    <t xml:space="preserve">Población denominador post evento obstétrico
registro de uso de métodos anticonceptivos
</t>
  </si>
  <si>
    <t xml:space="preserve">Variable:
* Población al mes a evaluar activos y nuevos
* Mujeres post evento obstétrico </t>
  </si>
  <si>
    <t xml:space="preserve">Se excluyen las usuarias con:
Histerectomía total (CUPS Histerectomía: 680100, 684000, 684001, 684010, 684020, 684100, 684101, 685110, 685120, 685130, 686100, 687000, 684101, 684020, 683100, 684000, 684100, 685100, 686100, 685120, 685130, 684001, 684001, 687000, 685110, 684010, 683101, 685102, 683101, 684001)
* Infertilidad (CIE 10: N974, N979, N970, N972, N971, N978, N973, O822)
Adicionalmente, se deben excluir del denominador las mujeres que ya han sido evaluadas respecto al método de planificación y responden a las siguientes causales:
Registro método de planificación opción 16,17,18 y 20.
16- No se suministra por una Tradición
17- No se suministra por una Condición de Salud
18- No se suministra por Negación de la usuaria
20- No se suministra por otras razones
</t>
  </si>
  <si>
    <t xml:space="preserve">Se excluyen las usuarias con:
* Gestación
Histerectomía total (CUPS Histerectomía: 680100, 684000, 684001, 684010, 684020, 684100, 684101, 685110, 685120, 685130, 686100, 687000, 684101, 684020, 683100, 684000, 684100, 685100, 686100, 685120, 685130, 684001, 684001, 687000, 685110, 684010, 683101, 685102, 683101, 684001)
* Infertilidad (CIE 10: N974, N979, N970, N972, N971, N978, N973, O822)
Adicionalmente, se deben excluir del denominador las mujeres que ya han sido evaluadas respecto al método de planificación y responden a las siguientes causales:
Registro método de planificación opción 16,17,18 y 20.
16- No se suministra por una Tradición
17- No se suministra por una Condición de Salud
18- No se suministra por Negación de la usuaria
20- No se suministra por otras razones
</t>
  </si>
  <si>
    <t>Cohorte Post Evento Obstetrico
1. En la columna "Fecha del evento Obstetrico" filtrar fechas 12 meses atras
2. Calcular meses transcurridos de la fecha de PEO a corte de Fecha suministro método. Formula: =sifecha(FechaEventoObstetrico;Fechasuministro;"m")
3. Filtrar de 0 a 12 meses
4.  En la columna Metodo planificación filtrar 1 a 10
4. En la columna Metodo planificación excluir 16,17,18 y 20
5. En la columna "Histerectomia" filtrar las usuarias con registro "Vacias"
4. En la columna "Infertilidad" filtrar las usuarias con registro "Vacias"
5. En la columna "Gestante" filtrar las usuarias con registro "NO"
6. En la columna "Esterilización" filtrar las usuarias con registro "1" y sumar este dato al total obtenido</t>
  </si>
  <si>
    <t>Cohorte Post Evento Obstetrico
1. En la columna "Fecha del evento Obstetrico" filtrar fechas 12 meses atras
2. En la columna "Método planificación" excluir los comodines 16,17,18 y 20
3. En la columna "Histerectomia" filtrar las usuarias con registro "Vacias"
4. En la columna "Infertilidad" filtrar las usuarias con registro "Vacias"
5. En la columna "Gestante" filtrar las usuarias con registro "NO"</t>
  </si>
  <si>
    <t>Post IVE - evento obstétrico</t>
  </si>
  <si>
    <t>60.61%</t>
  </si>
  <si>
    <t>57.6%</t>
  </si>
  <si>
    <t>15/12/2025: se modifica meta y puntaje, eyav// 12/12/2025 Sin modificación  05/03/2025 Se ajusta definición operacional, definición del denominador, fuente del numerador, periodo del denominador, población del denominador, se dejar observación del indicador.  9/12/2024: sin modificación</t>
  </si>
  <si>
    <t>RPYMS222X</t>
  </si>
  <si>
    <t>Proporción de mujeres post evento obstétrico con asesoría en anticoncepción</t>
  </si>
  <si>
    <t>Proporción de mujeres con post  evento obstétrico en los últimos 12 meses que registran asesoría en planificación familiar posterior al evento</t>
  </si>
  <si>
    <t>Número de mujeres post evento obstétrico, (del denominador planteado) que recibieron consulta de asesoría en anticoncepción en los siguientes 3 meses posteriores a evento obstétrico</t>
  </si>
  <si>
    <t xml:space="preserve">1- RIPS: 
* CUPS con Finalidad 3 o CUPS con CIE-10 Z300, Z304, Z308; Z309
89.0.2.01 (consulta de primera vez por medicina general)
89.0.3.01 (Consulta de control o seguimiento por medicina general)
89.0.2.83 (consulta de primera vez por especialista en pediatría)
89.0.3.83 (Consulta de control o seguimiento por especialista en pediatría)
89.02.50 (consulta de primera vez por especialista en ginecología y obstetricia)
89.03.50 (consulta de control o seguimiento por especialista en ginecología y obstetricia)
89.0.2.63 (consulta de primera vez por especialista en medicina familiar)
89.0.3.63 (Consulta de control o seguimiento por especialista en medicina familiar)
89.0.2.05 (Consulta de primera vez por enfermería)
89.0.3.05 (Consulta de control o de seguimiento por enfermería)
* Res 2275 CUPS con Finalidad 19 o CUPS con CIE-10 Z300, Z304, Z308; Z309
89.0.2.01 (consulta de primera vez por medicina general)
89.0.3.01 (Consulta de control o seguimiento por medicina general)
89.0.2.83 (consulta de primera vez por especialista en pediatría)
89.0.3.83 (Consulta de control o seguimiento por especialista en pediatría)
89.02.50 (consulta de primera vez por especialista en ginecología y obstetricia)
89.03.50 (consulta de control o seguimiento por especialista en ginecología y obstetricia)
89.0.2.63 (consulta de primera vez por especialista en medicina familiar)
89.0.3.63 (Consulta de control o seguimiento por especialista en medicina familiar)
89.0.2.05 (Consulta de primera vez por enfermería)
89.0.3.05 (Consulta de control o de seguimiento por enfermería)
2- Res 202 Variable 53 - fecha válida </t>
  </si>
  <si>
    <r>
      <t>1- RIPS: CIE 10:  (Consultar hoja de eventos obstétricos o leer este listado)</t>
    </r>
    <r>
      <rPr>
        <strike/>
        <sz val="10"/>
        <color theme="1"/>
        <rFont val="Calibri Light"/>
        <family val="2"/>
        <scheme val="major"/>
      </rPr>
      <t xml:space="preserve">
</t>
    </r>
    <r>
      <rPr>
        <sz val="10"/>
        <color theme="1"/>
        <rFont val="Calibri Light"/>
        <family val="2"/>
        <scheme val="major"/>
      </rPr>
      <t>O021, O028, O029, O030, O031, O032, O033, O034, O035, O036, O037, O038, O039, O040, O041, O042, O043, O044, O045, O046, O047, O048, O049, O050, O051, O052, O053, O054, O055, O056, O057, O058, O059, O060, O061, O062, O063, O064, O065, O066, O067, O068, O069, O479, O60X, O800, O801, O808, O809, O810, O811, O812, O813, O814, O815, O820, O821, O822, O828, O829, O831, O832, O833, O838, O839, O840, O841, O842, O848, O849.
2- Cohorte Evento Obstétrico o IVE</t>
    </r>
  </si>
  <si>
    <t>Mujeres post evento obstétrico (últimos 12 meses)
Consulta de PNF máximo 3 meses posterior a evento obstétrico</t>
  </si>
  <si>
    <t>* Población variable:
* Población actual al mes a evaluar activos y nuevos
* Mujeres post evento obstétrico</t>
  </si>
  <si>
    <t xml:space="preserve">Se excluyen las usuarias con:
* Histerectomía:
CUPS
684101
684020
683100
684000
684100
685100
686100
685120
685130
684001
684001
687000
685110
684010
683101
685102
683101
684001
* infertilidad
CIE 10:
N974
N979
N970
N972
N971
N978
N973
O822
* Pomeroy (ver población a exonerar en FPSS) Archivo FORMATO DE PRESTACION SERVICIOS EN SALUD/VALIDAR
663100
662200
662100
</t>
  </si>
  <si>
    <t xml:space="preserve">Se excluyen las usuarias con:
* Gestación
* Histerectomía:
CUPS
684101, 684020,683100,684000,684100,685100,686100,685120,685130,684001,684001,687000,685110,684010,683101,685102,683101,684001
* infertilidad
CIE 10:
N974,N979,N970,N972,N971,N978,N973,O822
* Pomeroy (ver población a exonerar en FPSS) Archivo FORMATO DE PRESTACION SERVICIOS EN SALUD/VALIDAR
663100,662200,662100
</t>
  </si>
  <si>
    <t>Cohorte Post Evento Obstetrico
1. En la columna "Fecha del evento Obstetrico" filtrar fechas 12 meses atras
2. Calcular meses transcurridos de la fecha de PEO a corte de Fecha consulta planificación mas reciente. Formula: =sifecha(FechaEventoObstetrico;Fechaconsulta;"m")
3. Filtrar de 0 a 3 meses
4. En la columna "Histerectomia" filtrar las usuarias con registro "Vacias"
5. En la columna "Infertilidad" filtrar las usuarias con registro "Vacias"
6. En la columna "Esterilización" filtrar las usuarias con registro "Vacias"
7. En la columna "Gestante" filtrar las usuarias con registro "NO"</t>
  </si>
  <si>
    <t>Cohorte Post Evento Obstetrico
1. En la columna "Fecha del evento Obstetrico" filtrar fechas 12 meses atras
2. En la columna "Método planificación" excluir los comodines 16,17,18 y 20
3. En la columna "Histerectomia" filtrar las usuarias con registro "Vacias"
4. En la columna "Infertilidad" filtrar las usuarias con registro "Vacias"
5.En la columna "Esterilización" filtrar las usuarias con registro "Vacias"
6. En la columna "Gestante" filtrar las usuarias con registro "NO"</t>
  </si>
  <si>
    <t>post IVE - evento obstétrico</t>
  </si>
  <si>
    <t>45.83%</t>
  </si>
  <si>
    <t>49.18%</t>
  </si>
  <si>
    <t>15/12/2025 Se modifica a informativo, eyav//  31/03/2025 Se actualiza a ultima Resolución de Cups 2275/2023 en variable fuente.  05/03/2025 Se ajusta definición operacional, definición del denominador.  9/12/2024: Se modifca la meta</t>
  </si>
  <si>
    <t>RPYMS341X</t>
  </si>
  <si>
    <t>Tasa de fecundidad en mujeres de 10 a 14 años</t>
  </si>
  <si>
    <t>Es el número promedio esperado de hijos que habría de tener una mujer de 10 a 14 años</t>
  </si>
  <si>
    <t>Fecundidad</t>
  </si>
  <si>
    <t>Tasa</t>
  </si>
  <si>
    <t>Número de hijos de mujeres de 10 a 14 años</t>
  </si>
  <si>
    <t>Número de mujeres de 10 a 14 años</t>
  </si>
  <si>
    <t>SISPRO - RUAF ND</t>
  </si>
  <si>
    <t>numero de nacidos vivos de mujeres de 10 a 14 años</t>
  </si>
  <si>
    <t>total de mujeres de 10 a 14 años</t>
  </si>
  <si>
    <t>La tasa de específica de fecundidad infantil (10 a 14 años) a nivel nacional para 2021pr, fue de 2,4</t>
  </si>
  <si>
    <t>Población actual
1. En la columna sexo filtrar "F"
2. Calcular edad a corte del periodo evaluar. Formula: =sifecha(FechaNacimiento;FechaCorte;"y")
2. En la columna edad filtrar entre 10 a 14 años</t>
  </si>
  <si>
    <t>gestantes</t>
  </si>
  <si>
    <t>&lt;=2,4</t>
  </si>
  <si>
    <t>&gt;2,4</t>
  </si>
  <si>
    <t>0</t>
  </si>
  <si>
    <t>12/12/2025 Sin modificación  9/12/2024: pendiente iniciar medición</t>
  </si>
  <si>
    <t>RPYMS342X</t>
  </si>
  <si>
    <t>Tasa de fecundidad en mujeres de 15 a 19 años</t>
  </si>
  <si>
    <t>Es el número de nacidos vivos de madres de 15 a 19 años de edad durante un período dado por cada 1.000 mujeres de 15 a 19 años de edad</t>
  </si>
  <si>
    <t>Número de hijos de mujeres de 15 a 19 años</t>
  </si>
  <si>
    <t>Número de mujeres de 15 a 19 años</t>
  </si>
  <si>
    <t>numero de nacidos vivos de mujeres de 15 a 19 años</t>
  </si>
  <si>
    <t>total de mujeres de 15 a 19 años</t>
  </si>
  <si>
    <t>Bogotá D.C., 23 de septiembre de 2021. – Colombia logró reducir la tasa de embarazo adolescente en 4,17 puntos entre 2019 y 2020, dato consolidado más reciente, de acuerdo con los reportes del Grupo de Convivencia Social y Ciudadanía del Ministerio de Salud y Protección Social.
Este indicador, explicó Ana María Peñuela, coordinadora del grupo y asesora del despacho, pasó de 57,95 nacimientos por cada 1.000 mujeres de 15 a 19 años en 2019, a 53,78 nacimientos por cada 1.000 mujeres del mismo rango de edad en el 2020.</t>
  </si>
  <si>
    <t>Población actual
1. En la columna sexo filtrar "F"
2. Calcular edad a corte del periodo evaluar. Formula: =sifecha(FechaNacimiento;FechaCorte;"y")
2. En la columna edad filtrar entre 15 a 19 años</t>
  </si>
  <si>
    <t>&lt;=50</t>
  </si>
  <si>
    <t>&gt;50</t>
  </si>
  <si>
    <t>RPYMS343X</t>
  </si>
  <si>
    <t>Tasa de fecundidad en mujeres de 20 a 24 años</t>
  </si>
  <si>
    <t>Es el número de nacidos vivos de madres de 20 a 24 años de edad durante un período dado por cada 1.000 mujeres de 20 a 24 años de edad</t>
  </si>
  <si>
    <t>Número de nacidos vivos de mujeres de 20 a 24 años</t>
  </si>
  <si>
    <t>Total de mujeres de 20 a 24 años</t>
  </si>
  <si>
    <t>numero de nacidos vivos de mujeres de 20 a 24 años</t>
  </si>
  <si>
    <t>Población actual
1. En la columna sexo filtrar "F"
2. Calcular edad a corte del periodo evaluar. Formula: =sifecha(FechaNacimiento;FechaCorte;"y")
2. En la columna edad filtrar entre 20 a 24 años</t>
  </si>
  <si>
    <t>&lt;=45,3</t>
  </si>
  <si>
    <t>&gt;45,3</t>
  </si>
  <si>
    <t>RPYMS344X</t>
  </si>
  <si>
    <t>Tasa general de fecundidad</t>
  </si>
  <si>
    <t>Es el número de nacidos vivos por cada 1000 mujeres en edad reproductiva (13 a 49 años).</t>
  </si>
  <si>
    <t>Número de nacidos vivos de mujeres de 13 a 49 años</t>
  </si>
  <si>
    <t>Número Total de mujeres de 13 a 49 años</t>
  </si>
  <si>
    <t>numero de nacidos vivos de mujeres de 13 a 49 años</t>
  </si>
  <si>
    <t>Total de mujeres de 13 a 49 años</t>
  </si>
  <si>
    <t>Población actual
1. En la columna sexo filtrar "F"
2. Calcular edad a corte del periodo evaluar. Formula: =sifecha(FechaNacimiento;FechaCorte;"y")
2. En la columna edad filtrar entre 13 a 49 años</t>
  </si>
  <si>
    <t>RPYMS153X</t>
  </si>
  <si>
    <t>Proporción de hombres con asesoría en anticoncepción</t>
  </si>
  <si>
    <t>Proporción de hombres de 12 a 59 años con asesoría en planificación familiar alguna vez en la vida</t>
  </si>
  <si>
    <t>Número de hombres  de 12 a 59 años
Recibieron consulta de asesoría en anticoncepción por medicina general, medicina familiar o enfermería
Edad a la consulta 12 a 59 años.</t>
  </si>
  <si>
    <t xml:space="preserve">Total de Hombres de 12 a 59 años
</t>
  </si>
  <si>
    <t>1- RIPS: 
* CUPS con Finalidad 3 o CUPS con CIE-10 Z300, Z304, Z308; Z309
89.0.2.01 (consulta de primera vez por medicina general)
89.0.3.01 (Consulta de control o seguimiento por medicina general)
89.0.2.63 (consulta de primera vez por especialista en medicina familiar)
89.0.3.63 (Consulta de control o seguimiento por especialista en medicina familiar)
89.0.2.05 (Consulta de primera vez por enfermería)
89.0.3.05 (Consulta de control o de seguimiento por enfermería)
* Res 2275 CUPS con Finalidad 19 o CUPS con CIE-10 Z300, Z304, Z308; Z309
89.0.2.01 (consulta de primera vez por medicina general)
89.0.3.01 (Consulta de control o seguimiento por medicina general)
89.0.2.63 (consulta de primera vez por especialista en medicina familiar)
89.0.3.63 (Consulta de control o seguimiento por especialista en medicina familiar)
89.0.2.05 (Consulta de primera vez por enfermería)
89.0.3.05 (Consulta de control o de seguimiento por enfermería)
2- Res 202 Variable 53 - fecha válida</t>
  </si>
  <si>
    <t xml:space="preserve">hombres de 12 a 59 años
Registro de consulta de planificación familiar </t>
  </si>
  <si>
    <t xml:space="preserve">Variable:
Población actual al mes a evaluar activos y nuevos
Hombres 12 a 59 años
</t>
  </si>
  <si>
    <t>Cohorte planificación familiar general
1. En la columna sexo filtrar "M"
2. Calcular edad a corte del periodo evaluar. Formula: =sifecha(FechaNacimiento;FechaCorte;"y")
3. En la columna edad filtrar entre 12 a 59 años
4. Calcular edad a corte de Fecha de consulta mas reciente de planificación familiar. Formula: =sifecha(FechaNacimiento;FechaConsulta;"y")
5. Filtrar edad a la consulta entre 12 a 59 años</t>
  </si>
  <si>
    <t>Población actual
1. En la columna sexo filtrar "M"
2. En la columna edad filtrar entre 12 a 59 años</t>
  </si>
  <si>
    <t>13.84%</t>
  </si>
  <si>
    <t>16.89%</t>
  </si>
  <si>
    <t>31/03/2025 Se actualiza a ultima Resolución de Cups 2275/2023 en variable fuente.  11/02/2025 Se realiza eliminación de los 3 meses de afiliación. 9/12/2024: sin modificación</t>
  </si>
  <si>
    <t>RPYMS154X</t>
  </si>
  <si>
    <t>Cumplimiento en la realización de consulta de planificación familiar en hombres en el año</t>
  </si>
  <si>
    <t>Proporción de hombres de 12 a 59 años con asesoría en planificación familiar en el año</t>
  </si>
  <si>
    <t>Número de hombres dque registran consulta de planificación familiar por medicina general, medicina familiar, o profesional de enfermería
edad a la consulta: 12 a 59 años 
En el año vigente</t>
  </si>
  <si>
    <t>hombres de 12 a 59 años
Registro de consulta de planificación familiar 
Año vigente</t>
  </si>
  <si>
    <t>Variable:
Población actual al mes a evaluar activos y nuevos
Hombres 12 a 59 años
Dividido en 12 multiplicado por el mes a evaluar</t>
  </si>
  <si>
    <t>Cohorte planificación familiar general
1. En la columna sexo filtrar "M"
2. Calcular edad a corte del periodo evaluar. Formula: =sifecha(FechaNacimiento;FechaCorte;"y")
3. En la columna edad filtrar entre 12 a 59 años
4. En la columna Fecha de consulta mas reciente de planificación familiar filtrar atenciones en año vigente
5. Calcular edad a corte de Fecha de consulta mas reciente de planificación familiar. Formula: =sifecha(FechaNacimiento;FechaConsulta;"y")
6. Filtrar edad a la consulta entre 12 a 59 años</t>
  </si>
  <si>
    <t>Población actual
1. En la columna sexo filtrar "M"
2. En la columna edad filtrar entre 12 a 59 años
3. Dividir en 12 y multiplicar por el mes a evaluar</t>
  </si>
  <si>
    <t>5.2%</t>
  </si>
  <si>
    <t>6.03%</t>
  </si>
  <si>
    <t>RPYMS155X</t>
  </si>
  <si>
    <t>Proporción de hombres con vasectomía</t>
  </si>
  <si>
    <t>Proporción de hombres de 18 años  con reporte de método anticonceptivo definitivo</t>
  </si>
  <si>
    <t>Numero de hombres con edad igual o mayor a 18 años
Registro procedimiento vasectomía</t>
  </si>
  <si>
    <t xml:space="preserve">Total de hombres de 18 años o mas
</t>
  </si>
  <si>
    <t>1- RIPS. AP - CUPS: 637300
2 - RES 202: Variable 54: 13, 14</t>
  </si>
  <si>
    <t>Población denominador con registro de realización de vasectomía</t>
  </si>
  <si>
    <t xml:space="preserve">Variable:
Población actual al mes a evaluar activos y nuevos
Hombres de 18 años o mas
</t>
  </si>
  <si>
    <t>Cohorte planificación familiar general
1. En la columna sexo filtrar "M"
2. Calcular edad a corte del periodo evaluar. Formula: =sifecha(FechaNacimiento;FechaCorte;"y")
3. En la columna edad filtrar población mayor o igual de 18 años
4. En la columna "Metodo definitivo" filtrar "ESTERILIZACION"</t>
  </si>
  <si>
    <t>Población actual
1. En la columna sexo filtrar "M"
2. En la columna edad filtrar población igual o mayor a 18 años</t>
  </si>
  <si>
    <t>0.57%</t>
  </si>
  <si>
    <t>RPYMS156X</t>
  </si>
  <si>
    <t>Cumplimiento en realización de vasectomía en el año</t>
  </si>
  <si>
    <t>Proporción de hombres de 18 años  con reporte de método anticonceptivo definitivo en el año</t>
  </si>
  <si>
    <t>Numero de hombres con edad igual o mayor a 18 años
Registro procedimiento vasectomía
año vigente</t>
  </si>
  <si>
    <t>Población denominador con registro de realización de vasectomía
año vigente</t>
  </si>
  <si>
    <t>Variable:
Población actual al mes a evaluar activos y nuevos
Hombres de 18 años o mas
dividido en 12 multiplicado por el mes a evaluar</t>
  </si>
  <si>
    <t>Cohorte planificación familiar general
1. En la columna sexo filtrar "M"
2. Calcular edad a corte del periodo evaluar. Formula: =sifecha(FechaNacimiento;FechaCorte;"y")
3. En la columna edad filtrar población mayor o igual de 18 años
4. En la columna "Metodo definitivo" filtrar "ESTERILIZACION"
5. En la columna "Fecha_metodo_definitivo" filtrar año vigente</t>
  </si>
  <si>
    <t>Población actual
1. En la columna sexo filtrar "M"
2. En la columna edad filtrar población igual o mayor a 18 años
3. Dividir en 12 y multiplicar por el mes a evaluar</t>
  </si>
  <si>
    <t>0.1%</t>
  </si>
  <si>
    <t>0.07%</t>
  </si>
  <si>
    <t>RPYMS324X</t>
  </si>
  <si>
    <t>Proporción de hombres atendidos en los servicios de salud con suministro de preservativo</t>
  </si>
  <si>
    <t>Proporción de hombres atendidas en los servicios de salud con suministro de preservativo masculino (condón)</t>
  </si>
  <si>
    <t>Preservativo</t>
  </si>
  <si>
    <t>Número de hombres  de 12 a 59 años
Recibieron consulta de asesoría en anticoncepción por medicina general, medicina familiar o enfermería
Edad a la consulta 12 a 59 años.
Suministro de preservativos en el año vigente</t>
  </si>
  <si>
    <t>Número de hombres  de 12 a 59 años
Recibieron consulta de asesoría en anticoncepción por medicina general, medicina familiar o enfermería
Edad a la consulta 12 a 59 años.
En el año vigente</t>
  </si>
  <si>
    <t>1- Datos adicionales: "PRESERVATIVOS"
2- Res 202 
  Variable 55: año vigente
  Variable 54: 2-4-6-8-10-12-14-15</t>
  </si>
  <si>
    <t>hombres de 12 a 59 años
Registro de consulta de planificación familiar 
Suministro de preservativos
Año vigente</t>
  </si>
  <si>
    <t xml:space="preserve">Cohorte planificación familiar general
1. En la columna sexo filtrar "M"
2. Calcular edad a corte del periodo evaluar. Formula: =sifecha(FechaNacimiento;FechaCorte;"y")
3. En la columna edad filtrar entre 12 a 59 años
4. En la columna Fecha de consulta mas reciente de planificación familiar filtrar atenciones en año vigente
5. Calcular edad a corte de Fecha de consulta mas reciente de planificación familiar. Formula: =sifecha(FechaNacimiento;FechaConsulta;"y")
6. Filtrar edad a la consulta entre 12 a 59 años
7. En la columna Suministro de Método Anticonceptivo filtrar "15- Barrera"
8.  En la columna Fecha Suministro de Método Anticonceptivo filtrar año vigente
</t>
  </si>
  <si>
    <t xml:space="preserve">Cohorte planificación familiar general
1. En la columna sexo filtrar "M"
2. Calcular edad a corte del periodo evaluar. Formula: =sifecha(FechaNacimiento;FechaCorte;"y")
3. En la columna edad filtrar entre 12 a 59 años
4. En la columna Fecha de consulta mas reciente de planificación familiar filtrar atenciones en año vigente
5. Calcular edad a corte de Fecha de consulta mas reciente de planificación familiar. Formula: =sifecha(FechaNacimiento;FechaConsulta;"y")
6. Filtrar edad a la consulta entre 12 a 59 años
</t>
  </si>
  <si>
    <t>38.95%</t>
  </si>
  <si>
    <t>41.1%</t>
  </si>
  <si>
    <t>31/03/2025 Se actualiza a ultima Resolución de Cups 2275/2023 en variable fuente.  9/12/2024: sin modificación</t>
  </si>
  <si>
    <t>RPYMS256X</t>
  </si>
  <si>
    <t>Proporción de personas con resultado reactivo en prueba de tamización para hepatitis C</t>
  </si>
  <si>
    <t>Proporción de personas que reportan fecha de toma y resultado de tamizaje para Hepatitis C con resultado Reactivo/Positivo.</t>
  </si>
  <si>
    <t>Tamizaje</t>
  </si>
  <si>
    <t>Numero de personas con prueba de Hepatitis C
Resultado: 4 -Reactivo
año vigente</t>
  </si>
  <si>
    <t>Numero de personas
Registro toma  y resultado de prueba de Hepatitis C
año vigente</t>
  </si>
  <si>
    <t>1- Res 202: Variable 110 fecha válida
Variable 42 Opción  4 -Reactivo
Año vigente</t>
  </si>
  <si>
    <t>1- Res 202: Variable 110 fecha válida
Variable 42 Opción 4 y 5
Año vigente</t>
  </si>
  <si>
    <t>Registro de tamización
Año vigente</t>
  </si>
  <si>
    <t>Sin cohorte para validar</t>
  </si>
  <si>
    <t>0.51%</t>
  </si>
  <si>
    <t>0.5%</t>
  </si>
  <si>
    <t>RPYMS253X</t>
  </si>
  <si>
    <t>Proporción de personas con resultado reactivo en prueba de tamización para VIH</t>
  </si>
  <si>
    <t>Proporción de personas que reportan fecha de toma y resultado de tamizaje para VIH con resultado Reactivo/Positivo.</t>
  </si>
  <si>
    <t>VIH</t>
  </si>
  <si>
    <t>Numero de personas con  prueba de VIH
Resultado: 4 -Reactivo
año vigente</t>
  </si>
  <si>
    <t>Numero de personas
Reporte Toma y Resultado de Tamización para VIH
año vigente</t>
  </si>
  <si>
    <t>1- Res 202
Variable 82 fecha válida (año vigente)
Variable 83 opción  4 -Reactivo</t>
  </si>
  <si>
    <t>1- Res 202
Variable 82 fecha válida (año vigente)
Variable 83 opción 4 - 5</t>
  </si>
  <si>
    <t>0.69%</t>
  </si>
  <si>
    <t>RPYMS346X</t>
  </si>
  <si>
    <t>Proporción de personas con resultado reactivo en prueba de tamización para VIH, que tienen valoración medica posterior</t>
  </si>
  <si>
    <t>Proporción de personas con resultado reactivo en prueba de tamización para VIH, que tienen valoración medica posterior (incluye los siguientes 3 meses posterior a la emisión del resultado de la prueba alterada)</t>
  </si>
  <si>
    <t>Numero de personas con  prueba de VIH
Resultado: 4 -Reactivo
con valoracion por medicina o especialista posterior o igual a tamizaje  (maximo 3 meses posterior a la prueba)</t>
  </si>
  <si>
    <t>Numero de personas con  prueba de VIH
Resultado: 4 -Reactivo
ultimos 12 meses</t>
  </si>
  <si>
    <t>1- RIPS. 
* CUPS: MEDICINA 
89.0.2.01 (consulta de primera vez por medicina general)
89.0.3.01 (Consulta de control o seguimiento por medicina general)
89.0.2.63 (consulta de primera vez por especialista en medicina familiar)
89.0.3.63 (Consulta de control o seguimiento por especialista en medicina familiar).
89.0.2.54 (consulta de primera vez por especialista en infectologia)
89.0.3.54 (Consulta de control o seguimiento por especialista en infectologia)
890266	CONSULTA DE PRIMERA VEZ POR ESPECIALISTA EN MEDICINA INTERNA
890366	CONSULTA DE CONTROL O DE SEGUIMIENTO POR ESPECIALISTA EN MEDICINA INTERNA
890250	CONSULTA DE PRIMERA VEZ POR ESPECIALISTA EN GINECOLOGIA Y OBSTETRICIA
890350	CONSULTA DE CONTROL O DE SEGUIMIENTO POR ESPECIALISTA EN GINECOLOGIA Y OBSTETRICIA</t>
  </si>
  <si>
    <t>1- Res 202
Variable 82 fecha válida
Variable 83 opción  4 -Reactivo</t>
  </si>
  <si>
    <t>Registro de consulta medica posterior a tamizacion</t>
  </si>
  <si>
    <t>Registro de tamización
ultimos 12 meses</t>
  </si>
  <si>
    <t>Cursos de vida: Adolescencia, juventud, adultez y vejez.</t>
  </si>
  <si>
    <t>73.44%</t>
  </si>
  <si>
    <t>69.3%</t>
  </si>
  <si>
    <t>15/12/2025 se modifica puntos. Eyav//  5/03/2025 Se ajusta la cohorte para validar.  9/12/2024: sin modificación</t>
  </si>
  <si>
    <t>RPYMS160X</t>
  </si>
  <si>
    <t>Cumplimiento de tamización para Hepatitis B en el año</t>
  </si>
  <si>
    <t>Proporción de personas de 18 años o mas que registran fecha de toma y resultado de Hepatitis B en el año</t>
  </si>
  <si>
    <t>Hepatitis B</t>
  </si>
  <si>
    <t>Número de personas de 18 años y más afiliados a Nueva EPS
Reporte Toma y Resultado de Tamización para Hepatitis B
Año vigente</t>
  </si>
  <si>
    <t>Total de población de 18 años y más
Dividido en 12 y multiplicado por mes a evaluar</t>
  </si>
  <si>
    <t>1- Res 202
Variable 78 fecha válida 
Variable 79 opción 4 - 5
Año vigente</t>
  </si>
  <si>
    <t>18 años y mas
Registro de tamización año vigente</t>
  </si>
  <si>
    <t>Población actual al mes a evaluar activos y nuevos 
18 años y más
dividido en 12 multiplicado por el mes a evaluar</t>
  </si>
  <si>
    <t>09/12/2024. De acuerdo a PDSP, al 2031 la meta debe estar en el 50% de la población con riesgo; por lo tanto, se calculara un incremento de 7% año</t>
  </si>
  <si>
    <t>Cohorte Juventud/Adultez/Vejez (Realizar los filtros en cada cohorte)
1. Calcular edad a corte del periodo evaluar. Formula: =sifecha(FechaNacimiento;FechaCorte;"y")
2. En la columna Fecha de tamizaje para Hepatitis B, filtrar tamizajes realizados en año vigente
3. En la columna Resultado tamizaje para Hepatitis B, filtrar tamizajes con resultados
4. Sumar resultado de cada cohorte para obtener dato general</t>
  </si>
  <si>
    <t>Población actual
1. En la columna edad filtrar población mayor o igual a 18 años
3. Dividir en 12 y multiplicar por el mes a evaluar</t>
  </si>
  <si>
    <t>9.41%</t>
  </si>
  <si>
    <t>10.24%</t>
  </si>
  <si>
    <t>12/12/2025 Sin modificación  11/02/2025 Se realiza eliminación de los 3 meses de afiliación. 9/12/2024: Se pasa a informativo, y se deja en aumento progresivo de la meta para alcanzar 50% en 2031, de la población vulnerable; hoy no tenemos variable de población vlulnerable, EYAV.</t>
  </si>
  <si>
    <t>RPYMS255X</t>
  </si>
  <si>
    <t>Proporción de personas con resultado reactivo en prueba de tamización para hepatitis B</t>
  </si>
  <si>
    <t>Proporción de personas que reportan fecha de toma y resultado de tamizaje para Hepatitis B con resultado Reactivo/Positivo.</t>
  </si>
  <si>
    <t>Numero de personas con prueba de Hepatitis B
Resultado: 4 -Reactivo
Año vigente</t>
  </si>
  <si>
    <t>Numero de personas 
Reporte Toma y Resultado de Tamización para Hepatitis B
Año vigente</t>
  </si>
  <si>
    <t>1- Res 202
Variable 78 fecha válida 
Variable 79 opción  4 -Reactivo
Año vigente</t>
  </si>
  <si>
    <t>1.11%</t>
  </si>
  <si>
    <t>0.56%</t>
  </si>
  <si>
    <t>RPYMS347X</t>
  </si>
  <si>
    <t>Proporción de personas con resultado reactivo en prueba de tamización para hepatitis B, que tienen valoración medica posterior</t>
  </si>
  <si>
    <t>Proporción de personas con resultado reactivo en prueba de tamización para hepatitis B, que tienen valoración medica posterior (incluye los siguientes 3 meses posterior a la emisión del resultado de la prueba alterada)</t>
  </si>
  <si>
    <t>Numero de personas con prueba de Hepatitis B
Resultado: 4 -Reactivo
con valoracion por medicina o especialista posterior o igual a tamizaje  (maximo 3 meses posterior a la prueba)</t>
  </si>
  <si>
    <t>Numero de personas con prueba de Hepatitis B
Resultado: 4 -Reactivo
ultimos 12 meses</t>
  </si>
  <si>
    <t>1- RIPS. 
* CUPS: MEDICINA 
89.0.2.01 (consulta de primera vez por medicina general)
89.0.3.01 (Consulta de control o seguimiento por medicina general)
89.0.2.63 (consulta de primera vez por especialista en medicina familiar)
89.0.3.63 (Consulta de control o seguimiento por especialista en medicina familiar).
89.0.2.54 (consulta de primera vez por especialista en infectologia)
89.0.3.54 (Consulta de control o seguimiento por especialista en infectologia)
890246	CONSULTA DE PRIMERA VEZ POR ESPECIALISTA EN GASTROENTEROLOGIA
890346	CONSULTA DE CONTROL O DE SEGUIMIENTO POR ESPECIALISTA EN GASTROENTEROLOGIA
890266	CONSULTA DE PRIMERA VEZ POR ESPECIALISTA EN MEDICINA INTERNA
890366	CONSULTA DE CONTROL O DE SEGUIMIENTO POR ESPECIALISTA EN MEDICINA INTERNA
890250	CONSULTA DE PRIMERA VEZ POR ESPECIALISTA EN GINECOLOGIA Y OBSTETRICIA
890350	CONSULTA DE CONTROL O DE SEGUIMIENTO POR ESPECIALISTA EN GINECOLOGIA Y OBSTETRICIA</t>
  </si>
  <si>
    <t>1- Res 202
Variable 78 fecha válida 
Variable 79 opción  4 -Reactivo</t>
  </si>
  <si>
    <t>82.11%</t>
  </si>
  <si>
    <t>68.62%</t>
  </si>
  <si>
    <t>15/12/2025: se modifica puntaje, eyav// 12/12/2025 Sin modificación  5/03/2025 Se ajusta la cohorte para validar.  9/12/2024: sin modificación</t>
  </si>
  <si>
    <t>RPYMS162X</t>
  </si>
  <si>
    <t>Cumplimiento de tamización para Sífilis en el año</t>
  </si>
  <si>
    <t>Proporción de personas de 18 años o mas que registran fecha de toma y resultado de tamizaje para Sifilis en el año</t>
  </si>
  <si>
    <t>Número de personas de 18 años y más afiliados a Nueva EPS
Reporte Toma y Resultado de Tamización para Sífilis
Año vigente</t>
  </si>
  <si>
    <t xml:space="preserve">1 - Res 202
Variable 80 fecha válida 
Variable 81 opción 4 - 5
Año vigente </t>
  </si>
  <si>
    <t>Cohorte Juventud/Adultez/Vejez (Realizar los filtros en cada cohorte)
1. Calcular edad a corte del periodo evaluar. Formula: =sifecha(FechaNacimiento;FechaCorte;"y")
2. En la columna Fecha de tamizaje para Sifilis, filtrar tamizajes realizados en año vigente
3. En la columna Resultado tamizaje para Sifilis, filtrar tamizajes con resultados
4. Sumar resultado de cada cohorte para obtener dato general</t>
  </si>
  <si>
    <t>Juventud
Adultez
Vejez</t>
  </si>
  <si>
    <t>11.9%</t>
  </si>
  <si>
    <t>12.83%</t>
  </si>
  <si>
    <t>12/12/2025 Sin modificación  11/02/2025 Se realiza eliminación de los 3 meses de afiliación. 9/12/2024: Se pasa a informativo, y se deja en aumento progresivo de la meta para alcanzar 70% en 2031, de las personas que son confirmadas por Banco de sangre, (marcadores); hoy no tenemos variable de población vlulnerable, EYAV.</t>
  </si>
  <si>
    <t>RPYMS254X</t>
  </si>
  <si>
    <t>Proporción de personas con resultado positivo en prueba de tamización para sífilis</t>
  </si>
  <si>
    <t>Proporción de personas que reportan fecha de toma y resultado de tamizaje para Sífilis con resultado Reactivo/Positivo.</t>
  </si>
  <si>
    <t>Numero de personas con  prueba de Sífilis
Resultado: 4 -Reactivo
Año vigente</t>
  </si>
  <si>
    <t>Numero de personas 
Reporte Toma y Resultado de Tamización para Sífilis
Año vigente</t>
  </si>
  <si>
    <t xml:space="preserve">1 - Res 202
Variable 80 fecha válida 
Variable 81 opción  4 -Reactivo
Año vigente </t>
  </si>
  <si>
    <t>3.21%</t>
  </si>
  <si>
    <t>3.66%</t>
  </si>
  <si>
    <t>RPYMS348X</t>
  </si>
  <si>
    <t>Proporción de personas con resultado positivo en prueba de tamización para sífilis, que tienen valoración medica posterior</t>
  </si>
  <si>
    <t>Proporción de personas con resultado positivo en prueba de tamización para sífilis, que tienen valoración medica posterior (incluye los siguientes 3 meses posterior a la emisión del resultado de la prueba alterada)</t>
  </si>
  <si>
    <t>Numero de personas con  prueba de Sífilis
Resultado: 4 -Reactivo
con valoracion por medicina o especialista posterior o igual a tamizaje  (maximo 3 meses posterior a la prueba)</t>
  </si>
  <si>
    <t>Numero de personas con  prueba de Sífilis
Resultado: 4 -Reactivo
ultimos 12 meses</t>
  </si>
  <si>
    <t>1 - Res 202
Variable 80 fecha válida 
Variable 81 opción  4 -Reactivo</t>
  </si>
  <si>
    <t>72.52%</t>
  </si>
  <si>
    <t>69.86%</t>
  </si>
  <si>
    <t>15/12/2025: se modifica puntaje. eyav// 12/12/2025 Sin modificación  5/03/2025 Se ajusta la cohorte para validar.  9/12/2024: sin modificación</t>
  </si>
  <si>
    <t>RPYMS174X</t>
  </si>
  <si>
    <t>Captación temprana de gestantes al control prenatal</t>
  </si>
  <si>
    <t>Proporción de gestantes que registran atención prenatal antes de la semana 10 (Max 9,6 semanas)</t>
  </si>
  <si>
    <t>RMP</t>
  </si>
  <si>
    <t>Consulta</t>
  </si>
  <si>
    <t>Número de usuarias gestantes 
Recibieron primera consulta de control prenatal Menor a 10 semanas</t>
  </si>
  <si>
    <t>Total de mujeres gestantes ACTIVAS
Con FPP 1800-01-01 o FPP mayor a ultimo dia de periodo evaluado</t>
  </si>
  <si>
    <t>1- Res. 202:
Variable 56 con fecha válida entre semana 0 y semana 9 de gestación.
Calculo de semanas de gestación con Variable 33: Fecha Probable de Parto. 
Edad gestacional Calculada: Fecha valida - fecha del último día del mes anterior al periodo evaluado para calcular la edad en semanas de gestación</t>
  </si>
  <si>
    <t xml:space="preserve">1- Res 202. 
Variable 14: Opción 1 </t>
  </si>
  <si>
    <t>Población denominador
Registro de consulta de control prenatal entre semana 0 y semana 9 de gestación</t>
  </si>
  <si>
    <t>Variable:
Población actual al mes a evaluar activos y nuevos
Usuarias gestantes</t>
  </si>
  <si>
    <t>54.48%</t>
  </si>
  <si>
    <t>58.14%</t>
  </si>
  <si>
    <t xml:space="preserve">15/12/2025: se ajusta puntaje //  17/12/2024 Se completa puntaje //9/12/2024: Se pasa a evaluativo, se asigna puntaje, se cambia nombre del indicador.  Se debe crear tablero para RMP, que no suma al de RPYMS, (son evaluaciones diferentes) EYAV. </t>
  </si>
  <si>
    <t>RPYMS175X</t>
  </si>
  <si>
    <t>Proporción de gestantes con clasificación de riesgo gestacional</t>
  </si>
  <si>
    <t>Proporción de gestantes que registran clasificación de riesgo gestacional</t>
  </si>
  <si>
    <t>Riesgo gestacional</t>
  </si>
  <si>
    <t>Número de gestantes que registran clasificación de riesgo gestacional</t>
  </si>
  <si>
    <t>1- Res 202 - Variable 35 opciones 4 y 5</t>
  </si>
  <si>
    <t>Población denominador
Registro de riesgo gestacional</t>
  </si>
  <si>
    <t>91.16%</t>
  </si>
  <si>
    <t>89.67%</t>
  </si>
  <si>
    <t xml:space="preserve">12/12/2025 Sin modificación  9/12/2024: Se pasa a evaluativo, se asigna puntaje.  Se debe crear tablero para RMP, que no suma al de RPYMS, (son evaluaciones diferentes) EYAV. </t>
  </si>
  <si>
    <t>RPYMS519X</t>
  </si>
  <si>
    <t>Gestantes con sumimistro de micronutrientes</t>
  </si>
  <si>
    <t>Es la proporción de gestantes con suministro de micronutrientes, (acido folico+ carbonato de calcio + hierro), durante el control prenatal de acuerdo a lo definido en el lineamiento de la RIAMP</t>
  </si>
  <si>
    <t xml:space="preserve">Número de usuarias gestantes que recibieron suministro de acido fólico + carbonato de calcio + hierro
</t>
  </si>
  <si>
    <t>1- Res. 202:
Variables
59 opción 1 -Sí se suministra
60 opción 1 -Sí se suministra
61 opción 1 -Sí se suministra
2- Datos adicionales- medicamentos</t>
  </si>
  <si>
    <t>Población denominador
Registro de suministro de acido fólico + carbonato de calcio + hierro en el control prenatal</t>
  </si>
  <si>
    <t>71.67%</t>
  </si>
  <si>
    <t>66.02%</t>
  </si>
  <si>
    <t>12/12/2025 Sin modificación  17/12/2024 Se ajusta fuente //9/12/2024: Indicador nuevo MSPS</t>
  </si>
  <si>
    <t>RPYMS176X</t>
  </si>
  <si>
    <t>Porcentaje de usuarias gestantes con suministro de ácido fólico en el control prenatal</t>
  </si>
  <si>
    <t>Proporción de gestantes que registran suministro de acido fólico durante la gestación actual</t>
  </si>
  <si>
    <t xml:space="preserve">Número de usuarias gestantes que recibieron suministro de ácido fólico en el control prenatal
</t>
  </si>
  <si>
    <t>1- Res. 202:
Variable 59 opción 1- sí
2- Datos adicionales- medicamentos</t>
  </si>
  <si>
    <t>Población denominador
Registro de suministro de ácido fólico en el control prenatal</t>
  </si>
  <si>
    <t>71.65%</t>
  </si>
  <si>
    <t>RPYMS177X</t>
  </si>
  <si>
    <t>Porcentaje de usuarias gestantes con suministro de carbonato de calcio en el control prenatal</t>
  </si>
  <si>
    <t>Proporción de gestantes que registran suministro de carbonato de calcio durante la gestación actual</t>
  </si>
  <si>
    <t xml:space="preserve">Número de usuarias gestantes que recibieron suministro de carbonato de calcio en el control prenatal
</t>
  </si>
  <si>
    <t>1- Res. 202:
Variable 61 opción 1- sí
2- Datos adicionales- medicamentos</t>
  </si>
  <si>
    <t>Población denominador
Registro de suministro de carbonato de calcio en el control prenatal</t>
  </si>
  <si>
    <t>71.53%</t>
  </si>
  <si>
    <t>70.9%</t>
  </si>
  <si>
    <t>RPYMS178X</t>
  </si>
  <si>
    <t>Porcentaje de usuarias gestantes con suministro de sulfato ferroso en el control prenatal</t>
  </si>
  <si>
    <t>Proporción de gestantes que registran suministro de hierro durante la gestación actual</t>
  </si>
  <si>
    <t xml:space="preserve">Número de usuarias gestantes que recibieron suministro de sulfato ferroso en el control prenatal
</t>
  </si>
  <si>
    <t>1- Res. 202:
Variable 60 opción 1- sí
2- Datos adicionales- medicamentos</t>
  </si>
  <si>
    <t>Población denominador
Registro de suministro de sulfato ferroso en el control prenatal</t>
  </si>
  <si>
    <t>74.47%</t>
  </si>
  <si>
    <t>74.01%</t>
  </si>
  <si>
    <t>RPYMS179X</t>
  </si>
  <si>
    <t>Cumplimiento en el tamizaje para VIH - Sífilis - Hep B en la gestación</t>
  </si>
  <si>
    <t>Proporción de gestantes que registran fecha realización y resultado de pruebas de tamización VIH, Sífilis y Hepatitis B durante la gestación actual.</t>
  </si>
  <si>
    <t>Número de usuarias gestantes
Registro toma de prueba para detección de VIH + prueba de detección para Hepatitis B + Prueba de detección Sífilis
Pruebas Validas: menor a 10 meses</t>
  </si>
  <si>
    <t>1- Res 202
Variable 82 fecha válida
Variable 83 opción 4 - 5
Variable 78 fecha válida 
Variable 79 opción 4 - 5
Variable 80 fecha válida 
Variable 81 opción 4 - 5</t>
  </si>
  <si>
    <t>&lt; 10 meses atrás incluyendo el mes a evaluar</t>
  </si>
  <si>
    <t>Población denominador
Registro de tamización para VIH + tamización para Hepatitis B + tamización para Sífilis durante gestación</t>
  </si>
  <si>
    <t>83.81%</t>
  </si>
  <si>
    <t>83.83%</t>
  </si>
  <si>
    <t xml:space="preserve">15/12/2025: se ajusta nombre del indicador; se cambia a informativo; solo se deja evaluativo cada prueba por aparte//   9/12/2024: Se pasa a evaluativo, se asigna puntaje.  Se debe crear tablero para RMP, que no suma al de RPYMS, (son evaluaciones diferentes) EYAV. </t>
  </si>
  <si>
    <t>RPYMS180X</t>
  </si>
  <si>
    <t>Cumplimiento en el tamizaje para Hepatitis B en la gestación</t>
  </si>
  <si>
    <t>Proporción de gestantes que registran fecha realización y resultado de pruebas de tamización de Hepatitis B durante la gestación actual.</t>
  </si>
  <si>
    <t>Número de usuarias gestantes
Registro toma de prueba de tamizaje para Hepatitis B
Prueba Valida: menor a 10 meses</t>
  </si>
  <si>
    <t>1- Res 202
Variable 78 fecha válida 
Variable 79 opción 4 - 5
Prueba Valida: ultimos 9 meses</t>
  </si>
  <si>
    <t>Población denominador
Registro de tamización para Hepatitis B durante gestación</t>
  </si>
  <si>
    <t>85.8%</t>
  </si>
  <si>
    <t>85.09%</t>
  </si>
  <si>
    <t xml:space="preserve">15/12/2025: se ajusta meta y puntaje, eyav //  9/12/2024: Se pasa a evaluativo, se asigna puntaje.  Se debe crear tablero para RMP, que no suma al de RPYMS, (son evaluaciones diferentes) EYAV. </t>
  </si>
  <si>
    <t>RPYMS181X</t>
  </si>
  <si>
    <t>Cumplimiento en el tamizaje para Sífilis en la gestación</t>
  </si>
  <si>
    <t>Proporción de gestantes que registran fecha realización y resultado de pruebas de tamización de Sífilis durante la gestación actual.</t>
  </si>
  <si>
    <t>Número de usuarias gestantes
Registro toma de prueba de tamizaje para Sífilis
Prueba Valida: menor a 10 meses</t>
  </si>
  <si>
    <t>1 - Res 202
Variable 80 fecha válida 
Variable 81 opción 4 - 5
Prueba Valida: ultimos 9 meses</t>
  </si>
  <si>
    <t>Población denominador
Registro de tamización para Sífilis durante gestación</t>
  </si>
  <si>
    <t>91.72%</t>
  </si>
  <si>
    <t>90.44%</t>
  </si>
  <si>
    <t xml:space="preserve">15/12/2025: se ajusta nombre del indicador y puntaje//  9/12/2024: Se pasa a evaluativo, se asigna puntaje.  Se debe crear tablero para RMP, que no suma al de RPYMS, (son evaluaciones diferentes) EYAV. </t>
  </si>
  <si>
    <t>RPYMS182X</t>
  </si>
  <si>
    <t>Cumplimiento en el tamizaje para VIH en la gestación</t>
  </si>
  <si>
    <t>Proporción de gestantes que registran fecha realización y resultado de pruebas de tamización de VIH durante la gestación actual.</t>
  </si>
  <si>
    <t>Número de usuarias gestantes
Registro toma de prueba para detección de VIH
Prueba Valida: Igual omenor a 280 dias, comparando la FPP con respecto a la fecha de validación
Incluye todos los afiliados  independiente de la fecha de afiliación</t>
  </si>
  <si>
    <t>Total de mujeres gestantes ACTIVAS
Con FPP mayor a ultimo dia de periodo evaluado
FPP 1800-01-01 que tenga atencion en el mes evaluado (Control prenatal de primera vez o Último control prenatal)</t>
  </si>
  <si>
    <t>1- Res 202
Variable 82 fecha válida
Variable 83 opción 4 - 5
Prueba Valida: Igual o menor a 280 dias, comparando la FPP con respecto a la fecha de validación</t>
  </si>
  <si>
    <t>Población denominador
Registro de tamización para VIH durante gestación</t>
  </si>
  <si>
    <t>Usuarias sin FPP váliday que adicionalmente no tenga registro de Control prenatal de primera vez o Último control prenatal dentro del periodo.
Y usuarias que la diferencia de dias entre la fecha de afilaición y la fecha probable de parto sea menor o igual a 210 dias</t>
  </si>
  <si>
    <t>93.21%</t>
  </si>
  <si>
    <t>98.54%</t>
  </si>
  <si>
    <t xml:space="preserve">12/12/2025 Sin modificación  13/08/2025 Se modifica definición del numerador y denominador, se ajusta fuente del denominador y se describe exclusiones para el denominador.  9/12/2024: Se pasa a evaluativo, se asigna puntaje.  Se debe crear tablero para RMP, que no suma al de RPYMS, (son evaluaciones diferentes) EYAV. </t>
  </si>
  <si>
    <t>RPYMS183X</t>
  </si>
  <si>
    <t>Proporción de gestantes con consejería en lactancia materna</t>
  </si>
  <si>
    <t>Proporción de gestantes que registran asesoría de Lactancia Materna durante la gestación actual.</t>
  </si>
  <si>
    <t>Número de gestantes que recibieron consulta para la promoción y apoyo de la lactancia materna durante gestación
Prueba Valida: menor a 10 meses</t>
  </si>
  <si>
    <t>Población denominador
Registro de consulta para la promoción y apoyo de la lactancia materna durante gestación</t>
  </si>
  <si>
    <t>85.64%</t>
  </si>
  <si>
    <t>RPYMS372X</t>
  </si>
  <si>
    <t>Proporción de gestantes con valoración de la salud bucal</t>
  </si>
  <si>
    <t>Proporción de gestantes que acceden a una consulta por profesional de odontología en la etapa prenatal</t>
  </si>
  <si>
    <t>Consulta de odontología (Primera vez o control)
Prueba Valida: menor a 10 meses</t>
  </si>
  <si>
    <t>Consulta de odontología durante la gestacion</t>
  </si>
  <si>
    <t>76.89%</t>
  </si>
  <si>
    <t>78.13%</t>
  </si>
  <si>
    <t>RPYMS184X</t>
  </si>
  <si>
    <t>Porcentaje de usuarias gestantes con asesoría en anticoncepción</t>
  </si>
  <si>
    <t>Proporción de gestantes de 26 semanas o mas que registran asesoría de planificación familiar durante la gestación actual.</t>
  </si>
  <si>
    <t>Número de usuarias gestantes (del denominador planteado) que recibieron asesoría en anticoncepción
Prueba Valida: menor a 10 meses</t>
  </si>
  <si>
    <t>Total de mujeres gestantes con 26 semanas o mas de gestación</t>
  </si>
  <si>
    <t xml:space="preserve">1- RIPS: 
* CUPS con  Finalidad 19 (anterior Finalidad 3) o CUPS con CIE-10 Z300, Z304, Z308, Z309
89.0.2.01 (consulta de primera vez por medicina general)
89.0.3.01 (Consulta de control o seguimiento por medicina general)
89.02.50 (consulta de primera vez por especialista en ginecología y obstetricia)
89.03.50 (consulta de control o seguimiento por especialista en ginecología y obstetricia)
89.0.2.63 (consulta de primera vez por especialista en medicina familiar)
89.0.3.63 (Consulta de control o seguimiento por especialista en medicina familiar)
89.0.2.05 (Consulta de primera vez por enfermería)
89.0.3.05 (Consulta de control o de seguimiento por enfermería)
2- Res 202 Variable 53 - fecha válida </t>
  </si>
  <si>
    <t xml:space="preserve">1- Res 202. 
Variable 14: Opción 1 
Variable 33: Fecha Probable de Parto. 
Edad gestacional Calculada: Fecha valida - fecha del último día del mes anterior al periodo evaluado para calcular la edad en semanas de gestación </t>
  </si>
  <si>
    <t>Población denominador
Registro de consulta de planificación familiar</t>
  </si>
  <si>
    <t>Gestantes (Pendiente agregar columna de consulta de PF en cohorte Gestantes)</t>
  </si>
  <si>
    <t>66.35%</t>
  </si>
  <si>
    <t>69.73%</t>
  </si>
  <si>
    <t>RPYMS61X</t>
  </si>
  <si>
    <t>Proporción de mujeres entre 30 y 65 años tamizadas para cáncer de cuello uterino con ADN-VPH, según esquema</t>
  </si>
  <si>
    <t>Proporción de mujeres de 30 a 65 años que cumplen con toma de  prueba de tamizaje para cáncer de cuello uterino ADN-VPH  según esquema</t>
  </si>
  <si>
    <t>DT Cérvix</t>
  </si>
  <si>
    <t>ADN-VPH</t>
  </si>
  <si>
    <t>Mujeres afiliadas de 30 a 65 años tamizadas con prueba de ADN-VPH según esquema de tamizaje</t>
  </si>
  <si>
    <t>Mujeres afiliadas de 30 a 65 años</t>
  </si>
  <si>
    <t>1- Res 202: 
Variable 86: 2
variable 87: Fecha valida
variable 88: 19 o 20
2- Modulo de gestión: Pestaña tamizaje- prueba ADN-VPH - Fecha valida
3- RIPS: CUPS 908436 (previo a 2021)
Edad al procedimiento de 30 - 65 años</t>
  </si>
  <si>
    <t>Población del denominador que cumplen con realización de prueba de ADN-VPH en los últimos 5 años al mes a evaluar</t>
  </si>
  <si>
    <t xml:space="preserve">Variable:
Población actual al mes a evaluar activos y nuevos
Mujeres de 30 a 65 años </t>
  </si>
  <si>
    <t>Se excluyen las usuarias con:
* histerectomía total</t>
  </si>
  <si>
    <t>Se ajusta según resolucion 2364 de 2023</t>
  </si>
  <si>
    <t>Para el numerador se toma la cohorte general de cervix, y se toman las siguientes variables:
Sexo (Femenino)
Edad (30 a 65 años)
Estado de afiliacion (Activas)
Fecha de toma de ADN-VPH (Ultimos 5 años incluyendo el mes a evaluar)</t>
  </si>
  <si>
    <t>Para el denominador, se descarga la base de población actual nueva, con los filtros de: 
Sexo:Femenino
Edad (30-65 años)
Activas</t>
  </si>
  <si>
    <t>11.4%</t>
  </si>
  <si>
    <t>16.07%</t>
  </si>
  <si>
    <t>Nancy Fortich / Angela Tabares</t>
  </si>
  <si>
    <t>15/12/2025: pendiente que el lider de proceso revise la coherencia de emisión de estos indicadores</t>
  </si>
  <si>
    <t>RPYMS62X</t>
  </si>
  <si>
    <t>Proporción de mujeres entre 30 y 65 años tamizadas para cáncer de cuello uterino con ADN-VPH, en el año</t>
  </si>
  <si>
    <t>Proporción de mujeres de 30 a 65 años que cumplen con toma de  prueba de tamizaje para cáncer de cuello uterino ADN-VPH en el año</t>
  </si>
  <si>
    <t>Edad fecha tamizacion  entre 30 y 65 años 
tamizadas con prueba ADN - VPH  (Toma y resultado)
Año vigente</t>
  </si>
  <si>
    <t>Total de mujeres de 30 a 65 años
Dividido en 12 y multiplicado por mes a evaluar</t>
  </si>
  <si>
    <t>1- Res 202: 
Variable 86: 2
variable 87: Fecha valida Año vigente
variable 88: 19 o 20
2- Modulo de gestión: Pestaña tamizaje- prueba ADN-VPH - Fecha valida Año vigente
Edad al procedimiento de 30 - 65 años</t>
  </si>
  <si>
    <t>Mujeres con edad al procedimiento de 30 a 65 años
Realización de prueba de ADN-VPH 
Año vigente</t>
  </si>
  <si>
    <t>Variable:
Población actual al mes a evaluar activos y nuevos
Mujeres de 30 a 65 años
Dividido en 12 y multiplicado por mes a evaluar</t>
  </si>
  <si>
    <t xml:space="preserve">se calcula el 20% de cumplimiento año, para lograr cobertura del 100% de la poblacion en 5 años según frencuencia de uso. </t>
  </si>
  <si>
    <t>Para el numerador se toma la cohorte general de cervix, y se toman las siguientes variables:
Sexo (Femenino)
Edad (30 a 65 años)
Estado de afiliacion (Activas)
Fecha de toma de ADN-VPH (año vigente)</t>
  </si>
  <si>
    <t>Para el denominador, se descarga la base de población actual nueva, con los filtros de: 
Sexo:Femenino
Edad (30-65 años)
Activas
Este total de usuarias, se divide en 12 y se ultiplica por el mes a evaluar (3 si es marzo)</t>
  </si>
  <si>
    <t>7.28%</t>
  </si>
  <si>
    <t>6.26%</t>
  </si>
  <si>
    <t>06/02/2025 Se elimina de la ficha técnica en el denominador, los 3 meses de afiliación a la EPS. 5/12/2024. Se incluye en el numerador los tamizajes reportados en la variable 86 de la resolución 202 opción 4: prueba ADN VPH y CCU</t>
  </si>
  <si>
    <t>RPYMS252X</t>
  </si>
  <si>
    <t>Proporción de mujeres entre 30 y 65 años con pruebas ADN-VPH positivas</t>
  </si>
  <si>
    <t>Proporción de mujeres entre 30 y 65 años con toma de pruebas ADN-VPH que registran resultado positivo</t>
  </si>
  <si>
    <t>Número total de mujeres entre 30 y 65 años 
tamizadas con las pruebas ADN-VPH
Año Vigente
Resultado  variable 88: 19 - positivo</t>
  </si>
  <si>
    <t xml:space="preserve">Número total de mujeres entre 30 y 65 años 
tamizadas con las pruebas ADN-VPH
Edad al procedimiento de 30 - 65 años
Año Vigente
</t>
  </si>
  <si>
    <t>1- Res 202: 
Variable 86: 2
variable 87: Fecha valida Año vigente
variable 88: 19 
2- Modulo de gestión: Pestaña tamizaje- prueba ADN-VPH - Fecha valida Año vigente
Resultado. Positivo</t>
  </si>
  <si>
    <t>Mujeres de 30 a 65 años
Realización de prueba de ADN-VPH 
resultado positivo
Año vigente</t>
  </si>
  <si>
    <t>Mujeres de 30 a 65 años
Realización de prueba de ADN-VPH 
Año vigente</t>
  </si>
  <si>
    <t>El porcentaje esperado de positividad definido por la OMS es del 12%</t>
  </si>
  <si>
    <t>Para el numerador, se toma el resultado previo del denominador y se tiene en cuenta la variable:
Resultado ADN-VPH (19-Positivo)</t>
  </si>
  <si>
    <t>Para el denominador se toma la cohorte general de cervix, y se toman las siguientes variables:
Sexo (Femenino)
Edad (30 a 65 años)
Estado de afiliacion (Activas)
Fecha de toma de ADN-VPH (año vigente)</t>
  </si>
  <si>
    <t>10.59%</t>
  </si>
  <si>
    <t>11.97%</t>
  </si>
  <si>
    <t>RPYMS325X</t>
  </si>
  <si>
    <t>Cumplimiento en la toma de CCU de triage en el año</t>
  </si>
  <si>
    <t>Proporción de mujeres de 30 a 65 años con resultados de la prueba ADN-VPH positiva a quienes se les realizó citología de triage en los ultimos 12 meses</t>
  </si>
  <si>
    <t>CCU TRIAGE</t>
  </si>
  <si>
    <r>
      <rPr>
        <strike/>
        <sz val="10"/>
        <color theme="1"/>
        <rFont val="Calibri Light"/>
        <family val="2"/>
        <scheme val="major"/>
      </rPr>
      <t>M</t>
    </r>
    <r>
      <rPr>
        <sz val="10"/>
        <color theme="1"/>
        <rFont val="Calibri Light"/>
        <family val="2"/>
        <scheme val="major"/>
      </rPr>
      <t>ujeres del denominador a quienes se les realizó CCU de triage posterior o igual a la fecha de tamización con ADN VPH</t>
    </r>
  </si>
  <si>
    <t xml:space="preserve">Mujeres de 30 a 65 años con resultados de la prueba ADN-VPH positiva en los últimos 12 meses
</t>
  </si>
  <si>
    <t>2- Res 202: Prueba Tamizaje 
   * Variable 86= 1 o  4,  Fecha tamizaje (Variable 87): posterio o igual a Prueba ADN - VPH</t>
  </si>
  <si>
    <r>
      <t xml:space="preserve">1- Res 202: 
Variable 86: 2
variable 87: Fecha valida ultimos 12 meses
variable 88: 19 
2- Modulo de gestión: Pestaña tamizaje- prueba ADN-VPH - </t>
    </r>
    <r>
      <rPr>
        <strike/>
        <sz val="10"/>
        <color theme="1"/>
        <rFont val="Calibri Light"/>
        <family val="2"/>
        <scheme val="major"/>
      </rPr>
      <t xml:space="preserve">Fecha valida Año vigente </t>
    </r>
    <r>
      <rPr>
        <sz val="10"/>
        <color theme="1"/>
        <rFont val="Calibri Light"/>
        <family val="2"/>
        <scheme val="major"/>
      </rPr>
      <t>ultimos 12 meses</t>
    </r>
    <r>
      <rPr>
        <strike/>
        <sz val="10"/>
        <color theme="1"/>
        <rFont val="Calibri Light"/>
        <family val="2"/>
        <scheme val="major"/>
      </rPr>
      <t xml:space="preserve">
</t>
    </r>
    <r>
      <rPr>
        <sz val="10"/>
        <color theme="1"/>
        <rFont val="Calibri Light"/>
        <family val="2"/>
        <scheme val="major"/>
      </rPr>
      <t>Resultado. Positivo</t>
    </r>
  </si>
  <si>
    <t>Misma población del denominador, que se les realizó CCU de triage posterior o igual a la fecha de tamización con ADN VPH</t>
  </si>
  <si>
    <t xml:space="preserve">Mujeres de 30 a 65 años con prueba ADN-VPH positivo
</t>
  </si>
  <si>
    <t>Se denomina citología de triage aquella realizada de manera posterior a una prueba ADN-VPH con resultado positivo, teniendo en  cuenta que se puede realizar la toma de la CCU el mismo dia de la ADN- VPH, seran validas todas las CCU reportadas en la Misma fecha.</t>
  </si>
  <si>
    <t>De la misma cohorte, con el filtro del denominador se busca la variable 
(Tamizaje Cáncer de Cuello Uterino) Filtrar 1 o 4</t>
  </si>
  <si>
    <t xml:space="preserve">De la cohorte general de cervix, sin filtro de tiempo, se toman todos las pruebas de ADN-VPH variable (AC Fecha de toma de ADN-VPH) los ultimos 12 meses sin incluir el mes a evaluar; Y la variable (AD Resultado ADN-VPH) resultados positivos </t>
  </si>
  <si>
    <t>38.4%</t>
  </si>
  <si>
    <t>48.33%</t>
  </si>
  <si>
    <t>15/12/2025: Ajuste de puntaje// 05/03/2025 Se ajusta la definición operacional, definición de variables del numerador y denominador, Fuente del denominador.  5/12/2024: se ajusta nombre del indicador; Se cambia a evaluativo; se cambia meta de zona especial para que quede igual. EYAV</t>
  </si>
  <si>
    <t>RPYMS127X</t>
  </si>
  <si>
    <t>Proporción de mujeres de 30 a 50 años residentes en áreas dispersas, tamizadas con técnicas de inspección visual, según esquema.</t>
  </si>
  <si>
    <t>Proporción de mujeres de 30 a 50 años residentes en áreas dispersas que cumplen con toma de  prueba de tamizaje para cáncer de cuello uterino de inspección Visual,  según esquema</t>
  </si>
  <si>
    <t>TIV</t>
  </si>
  <si>
    <t xml:space="preserve">Número de mujeres entre 30 y 50 años 
Residan en los municipios con clasificación con dispersion geografica y que la IPS este ubicada en un municipio con la misma clasificación (dispersión geográfica)
Area de residencia de la Usuaria sea: Rural
Fecha de  prueba con técnicas de inspección visual: últimos tres años
edad procedimiento 30 a 50 años </t>
  </si>
  <si>
    <t>Número total de mujeres entre 30 y 50 años residentes en áreas dispersas afiliadas
usuarias que residan en los municipios con clasificación con dispersion geografica y que la IPS este ubicada en un municipio con la misma clasificación (dispersión geográfica),
Area de residencia de la Usuaria sea: Rural</t>
  </si>
  <si>
    <t>4- Res 202: Prueba Tamizaje 
   * Variable 86= 3   Fecha tamizaje (Variable 87): Últimos 3 años
 *Resultado variable 88: 19 o 20
1- Modulo de gestión: Pestaña tamizaje- Técnica de inspección visual - Fecha valida y resultado</t>
  </si>
  <si>
    <t>BDUA- Población actual - mujeres 30 a 50 años, al mes a evaluar. Consultar tabla de municipios catalogados para tamizar solo con prueba via-villi " Listado_municipios_tamiza_Cancer"</t>
  </si>
  <si>
    <t>3 años atrás incluyendo el mes a evaluar</t>
  </si>
  <si>
    <t>mujeres de 30 a 50 años
tamizaje VIA VILI
3 AÑOS</t>
  </si>
  <si>
    <t>Población actual - mujeres 30 a 50 años, al mes a evaluar. 
residentes en municipios catalogados para tamizar solo con prueba via-villi "Listado_municipios_tamiza_Cancer"
Area de residencia: Rural</t>
  </si>
  <si>
    <t>Se excluyen las usuarias con:
* histerectomía total
* Usuarias con Tamizaje de CCU o ADN VPH vigente</t>
  </si>
  <si>
    <t>Se ajusta a usuarias que residan en los municipios con dispersion geografica, que la IPS este ubicada en ese municipio y que el area de residencia del Usuaria sea Rural</t>
  </si>
  <si>
    <t>Para el numerador se toma la cohorte general de cervix, y se toman las siguientes variables:
Sexo (Femenino)
Edad (30 a 50 años)
Estado de afiliacion (Activas)
Fecha TIV (Ultimos 3 años incluyendo el mes a evaluar)</t>
  </si>
  <si>
    <t>Para el denominador, se descarga la base de población actual nueva, con los filtros de: 
Sexo:Femenino
Edad (30-50 años)
Activas</t>
  </si>
  <si>
    <t>0.31%</t>
  </si>
  <si>
    <t>12/12/2025 Sin modificación 06/02/2025 Se elimina de la ficha técnica en el denominador, los 3 meses de afiliación a la EPS.</t>
  </si>
  <si>
    <t>RPYMS128X</t>
  </si>
  <si>
    <t>Proporción de mujeres de 30 a 50 años residentes en áreas dispersas, tamizadas con técnicas de inspección visual en el año</t>
  </si>
  <si>
    <t>Proporción de mujeres de 30 a 50 años residentes en áreas dispersas que cumplen con toma de  prueba de tamizaje para cáncer de cuello uterino de inspección Visual en el año</t>
  </si>
  <si>
    <t xml:space="preserve">Número de mujeres:
Con edad a la fecha del procedimiento 30 a 50 años
Residan en los municipios con clasificación con dispersion geografica y que la IPS este ubicada en un municipio con la misma clasificación (dispersión geográfica)
Area de residencia de la Usuaria sea: Rural
Fecha de  prueba con técnicas de inspección visual: Año vigente
 </t>
  </si>
  <si>
    <t>Número total de mujeres entre 30 y 50 años residentes en áreas dispersas afiliadas
Divido en 12 multiplicado por el mes a evaluar
usuarias que residan en los municipios con clasificación con dispersion geografica y que la IPS este ubicada en un municipio con la misma clasificación (dispersión geográfica),
Area de residencia de la Usuaria sea: Rural</t>
  </si>
  <si>
    <t>4- Res 202: Prueba Tamizaje 
   * Variable 86= 3   Fecha tamizaje (Variable 87): Año Vigente
 *Resultado variable 88: 19 o 20
1- Modulo de gestión: Pestaña tamizaje- Técnica de inspección visual - año vigente y resultado</t>
  </si>
  <si>
    <t>edad al  procedimiento de 30 a 50 años
tamizaje VIA VILI
Año vigente</t>
  </si>
  <si>
    <t>Población actual - mujeres 30 a 50 años, al mes a evaluar. 
residentes en municipios catalogados para tamizar solo con prueba via-villi "Listado_municipios_tamiza_Cancer"
Usuarias con Area de residencia: Rural
Dividido en 12 multiplicado mes a evaluar</t>
  </si>
  <si>
    <t>Para el numerador, se toma el resultado previo del denominador y se tiene en cuenta la variable:
Resultado TIV (Positivo)</t>
  </si>
  <si>
    <t>Para el denominador se toma la cohorte general de cervix, y se toman las siguientes variables:
Sexo (Femenino)
Edad (30 a 65 años)
Estado de afiliacion (Activas)
Resultado TIV (año vigente)</t>
  </si>
  <si>
    <t>0.04%</t>
  </si>
  <si>
    <t>0.13%</t>
  </si>
  <si>
    <t>12/12/2025 Sin modificación  06/02/2025 Se elimina de la ficha técnica en el denominador, los 3 meses de afiliación a la EPS. 05/12/2024. Se cambian a informativo. EYAV</t>
  </si>
  <si>
    <t>RPYMS66X</t>
  </si>
  <si>
    <t>Proporción de mujeres entre 30 y 50 años, positivas a la inspección visual con ácido acético y Lugol que recibieron tratamiento inmediato con método ablativo o de escisión</t>
  </si>
  <si>
    <t>Proporción de mujeres con toma de  prueba de tamizaje para cáncer de cuello uterino de inspección Visual con resultado positivo que reporta tratamiento inmediato con método ablativo o de escisión</t>
  </si>
  <si>
    <t>Número de TIV positivas:
* Genero: "F"
* Edad al corte: 30 a 65 años
* Periodo: 12 meses atrás incluyendo el mes evaluado
* Prueba Tamizaje (variable 86)= 3; Resultado Tamizaje (variable 88): 19
* TIV posterior o igual Fecha de afiliación
* Tratamiento ablativo o de escisión posterior a la realización de la técnica de inspección visual (Crioterapia o LETZ): Variable 47: 6,7, 8</t>
  </si>
  <si>
    <t>Número de TIV positivas:
* Genero: "F"
* Edad al corte: 30 a 65 años
* Periodo: 12 meses atrás incluyendo el mes evaluado
* Prueba Tamizaje (variable 86)= 3; Resultado Tamizaje (variable 88): 19
* TIV posterior o igual Fecha de afiliación</t>
  </si>
  <si>
    <t>1 - Res 202:
Variable 47 opciones de respuesta 6,7,8 y 9
2 - Modulo de gestión:
pestaña tratamiento. 
Fecha valida de tratamiento
Tratamiento: Todos Excepto: "no aplica"; "usuaria no acepta tratamiento", "desconocido"</t>
  </si>
  <si>
    <t>1- Res 202:
 Variable 86: 3 y  Variable 88: 19
2- Modulo de gestión: 
 Tamizaje TIV
  Resultado: Positivo o Sospecha de Cáncer</t>
  </si>
  <si>
    <t xml:space="preserve">Población denominador
Fecha valida de toma de tratamiento
</t>
  </si>
  <si>
    <t>Variable: 
Población actual al mes a evaluar activos y nuevos 
Técnica de inspección Visual Positiva
Fecha De VIA-VILI o TIV: 12 meses atrás incluyendo el mes a evaluar
TIV posterior o igual a Fecha de afiliación</t>
  </si>
  <si>
    <t>Tratamiento reportado por Resolución 202</t>
  </si>
  <si>
    <t>No hay meta diferencial para zonas especiales, teniendo en cuenta que la estrategia Ver y tratar esta dirigida a este tipo de municipios</t>
  </si>
  <si>
    <t>Para el numerador con el filtro del denominador y dentiicar la variable: 
Tratamiento  ablativo: con fecha valida de toma de tratamiento, que sea posterior al tamizaje</t>
  </si>
  <si>
    <t>De base de población actual nueva, cruzar con la cohorte general e identificar las variables:
Resultado TIV: Positiva
Fecha TIV: 12 meses atrás incluyendo el mes a evaluar
TIV posterior o igual a Fecha de afiliación</t>
  </si>
  <si>
    <t>8.33%</t>
  </si>
  <si>
    <t>100%</t>
  </si>
  <si>
    <t>12/12/2025 Sin modificación  05/12/2024. Se cambian a informativo. EYAV</t>
  </si>
  <si>
    <t>RPYMS67X</t>
  </si>
  <si>
    <t>Proporción de mujeres que se realizan las pruebas de tamización para cáncer de cuello uterino y reclaman el resultado</t>
  </si>
  <si>
    <t>Proporción de mujeres con toma de prueba de tamización CCU o ADN-VPH durante el año, que registra entrega de resultado a la usuaria</t>
  </si>
  <si>
    <t>Resultados</t>
  </si>
  <si>
    <t>Total de mujeres que fueron tamizadas en el año vigente y reclaman el resultado
Mujeres que registran fecha de tamización y registran fecha de entrega a la usuaria, posterior o igual a la fecha de tamización
Total de mujeres con prueba de tamizaje CCU o ADN-VPH
Edad corte 25 a 65 años
Año vigente</t>
  </si>
  <si>
    <t>Total de mujeres con prueba de tamizaje CCU o ADN-VPH
Edad corte 25 a 65 años
Año vigente</t>
  </si>
  <si>
    <t>1- Formato de cérvix
2- Modulo de gestión - pestaña tamización- fecha entrega de resultado de la tamización de cualquiera de las dos opciones de tamización - (CCU- Prueba ADN-VPH)</t>
  </si>
  <si>
    <t>1- Res 202
  Variable 87: fecha válida del año vigente 
2- Modulo de gestión:
   Pestaña tamizaje:
      * Citología cérvico uterina, prueba ADN-VPH
       * Fecha válida año vigente</t>
  </si>
  <si>
    <t>Población denominador
Registro de resultados entregados a la usuaria, posterior o igual a toma de prueba de tamización</t>
  </si>
  <si>
    <t>Variable:
Población actual al mes a evaluar activos y nuevos
Mujeres que registren toma de prueba de tamización CCU y ADN-VPH en año vigente</t>
  </si>
  <si>
    <t>No se tiene en cuenta TIV dado que el mismo día de la toma se obtiene el resultado y el indicador mide entrega del resultado</t>
  </si>
  <si>
    <t>En la cohorte general, con el filtro del denominador identificamos la variable:
Fecha entrega reporte (Fecha valida) que sea posterior al tamizaje</t>
  </si>
  <si>
    <t>De la cohorte general de cervix, identificar lavariable:
Fecha de tamizaje</t>
  </si>
  <si>
    <t>76.04%</t>
  </si>
  <si>
    <t>75.78%</t>
  </si>
  <si>
    <t>12/12/2025 Se ajusta meta. 05/12/2024. Se cambian a informativo. EYAV</t>
  </si>
  <si>
    <t>RPYMS233X</t>
  </si>
  <si>
    <t>Proporción de mujeres que se realizan las pruebas de tamización para cáncer de cuello uterino con entrega de resultado en 8 días o menos</t>
  </si>
  <si>
    <r>
      <t>Proporción de mujeres con toma de prueba de tamización CCU o ADN-VPH</t>
    </r>
    <r>
      <rPr>
        <strike/>
        <sz val="10"/>
        <color theme="1"/>
        <rFont val="Calibri Light"/>
        <family val="2"/>
        <scheme val="major"/>
      </rPr>
      <t xml:space="preserve"> </t>
    </r>
    <r>
      <rPr>
        <sz val="10"/>
        <color theme="1"/>
        <rFont val="Calibri Light"/>
        <family val="2"/>
        <scheme val="major"/>
      </rPr>
      <t xml:space="preserve">en el año, que cumplen con la oportunidad en la entrega de resultado de la prueba a la usuaria en menos de 8 días </t>
    </r>
  </si>
  <si>
    <t>Total de mujeres que fueron tamizadas cuya diferencia entre la fecha de entrega de resultado y la fecha de toma es de 8 días o menos</t>
  </si>
  <si>
    <t xml:space="preserve">Total de mujeres con prueba de tamizaje CCU o ADN-VPH
Edad corte 25 a 65 años
Año vigente
</t>
  </si>
  <si>
    <t>1- Adicionales: 
Formato de cérvix: variables Fecha toma y Fecha resultado</t>
  </si>
  <si>
    <t>1- Res 202
Variable 86: 1, 2 o 4  
Variable 87: fecha válida del año vigente 
2- Modulo de gestión:
   Pestaña tamizaje:
      * Citología cérvico uterina, prueba ADN-VPH
       * Fecha válida año vigente</t>
  </si>
  <si>
    <t>mujeres con tamización año vigente, que cuentan con entrega de resultado menor o igual a 8 días</t>
  </si>
  <si>
    <t>Población al mes a evaluar activos y nuevos
Mujeres que registren toma de prueba de Tamización CCU y ADN-VPH en año vigente.</t>
  </si>
  <si>
    <t>No se tiene en cuenta tecnicas de inspección visual (TIV), dado que el mismo día de la toma se obtiene el resultado y el indicador mide oportunidad de entrega del resultado</t>
  </si>
  <si>
    <t>Para que sea valido el dato en el numerador, debe coincidir la fecha del tamizaje, el tipo de tamizaje y el resultado, con lo que se reportó en 202 y en el módulo de gestión de casos</t>
  </si>
  <si>
    <t>De la misma cohorte, con el filtro del denominador se busca la variable 
( AU Fecha entrega reporte) Las que cuenten con fecha, se crea una columna adicional y se hace la formula (=AU-Y) y se toman los dias entre 0 y 8</t>
  </si>
  <si>
    <t>De la cohorte general de cervix, sin filtro de tiempo, se toma la variable ( X Tamizaje Cáncer de Cuello Uterino) se toman los tamizajes 1,2 o 4, la variable (Y Fecha de tamizaje) año vigente, la variable (R Estado afiliación) Activas, la variable (L Edad) entre 25 y 65 años</t>
  </si>
  <si>
    <t>62.94%</t>
  </si>
  <si>
    <t>65.96%</t>
  </si>
  <si>
    <t>Cancer</t>
  </si>
  <si>
    <t>15/12/2025: cambio de puntaje //  11/03/2025 Se ajusta nuevamente el nombre del indicador, la definición operacional y la clasificación de medición.   05/03/2025 Se ajusta nombre del indicador, clasificación de medición,definición operacional numerador, fuente del numerador y denominador, población del numerador, se incluye en el denominador de exclusiones y se modifica la variable de observación del indicador.</t>
  </si>
  <si>
    <t>RPYMS53X</t>
  </si>
  <si>
    <t>Proporción de citologías con muestras insatisfactorias o rechazadas</t>
  </si>
  <si>
    <t>Proporción de pruebas de tamización para cáncer de cuello uterino - CCU en el año que registran resultado "insatisfactoria" o "Rechazada"</t>
  </si>
  <si>
    <t>CCU</t>
  </si>
  <si>
    <t>Número de citologías de cuello uterino cuya calidad de la muestra fue reportada como 3 - insatisfactoria o 4 - rechazada en relación al total de citologías de cuello uterino analizadas
* Edad a la toma: 25 a 65
* año vigente</t>
  </si>
  <si>
    <t>* Año vigente
* Genero: F
* Edad a la toma: 25 a 65 años
* Prueba Tamizaje (variable 86)= 1 o 4; 
* Resultado Tamizaje (variable 88): 1 a 18 
* Calidad de la muestra (variable 89): "1-Satisfactoria Zona de Transformación Presente", "2-Satisfactoria Zona de Transformación Ausente", "3-insatisfactoria" y "4-Rechazada"</t>
  </si>
  <si>
    <t>1- Res 202:
variable 89: 3-4</t>
  </si>
  <si>
    <t>1- Res 202:
Variable 86: 1 o 4
Variable 87: Año actual
Variable 88: 1 a 18
variable 89: opciones 1-2-3-4</t>
  </si>
  <si>
    <t>Población denominador
Calidad de la muestra: Insatisfactoria o rechazada</t>
  </si>
  <si>
    <t>Población al mes a evaluar activos y nuevos 
Mujeres de 25 a 65 años
Registran toma y lectura de citología
Año vigente</t>
  </si>
  <si>
    <t>De la misma cohorte con el filtro del denominador, variable 
(AB Calidad en la Muestra de Citología Cervicouterina) Insatisfactoria o rechazada</t>
  </si>
  <si>
    <t>De la cohorte general de cervix, se toma la variable (X Tamizaje Cáncer de Cuello Uterino) 1 o 4, variable ( Y Fecha de tamizaje) Año vigente, variable (R Estado afiliación) Activas, variable (L Edad) entre 25 y 65 años, variable (K Sexo) Femenino)</t>
  </si>
  <si>
    <t>0.08%</t>
  </si>
  <si>
    <t>0.05%</t>
  </si>
  <si>
    <t>12/12/2025 Sin modificación  11/03/2025 Se ajusta nuevamente el nombre del indicador, la definición operacional y la clasificación de medición. 05/03/2025 Se ajusta el nombre del indicador, clasficación de medición, definición de variables denominador, definicion operacional, se elimina en variable fuente de numerador las variables 86, 87y  80, y se ajustan metas.   5/12/2024. Se cambian a informativo. EYAV</t>
  </si>
  <si>
    <t>RPYMS97X</t>
  </si>
  <si>
    <t>Proporción de mujeres con toma de colposcopia</t>
  </si>
  <si>
    <t>Proporción de mujeres con prueba de tamización para cáncer de cuello uterino CCU, con reporte de  anormalidad, tomada en los ultimos 3 años, (superior a AS-CUS),  que cumplen con la realización de colposcopia</t>
  </si>
  <si>
    <t>Pruebas complementarias</t>
  </si>
  <si>
    <t>Colposcopia</t>
  </si>
  <si>
    <t>Total de citologías anormales (superior a ASCUS)
Fecha de toma de colposcopia valida
Toda la vida incluido mes evaluado</t>
  </si>
  <si>
    <t>Número de citologías cérvico uterinas:
* Periodo: Ultimos 3 años -  incluyendo el mes evaluado
* Prueba Tamizaje (variable 86)= 1 o 4; 
* Resultado Tamizaje (variable 88): 2 a 15
* CCU posterior o igual Fecha de afiliación</t>
  </si>
  <si>
    <t>1- Res 202: Variable 91 - fecha valida
2- Modulo de gestión: Pestaña colposcopia- fecha válida
3- RIPS- Cups colposcopia: 702200 -702201</t>
  </si>
  <si>
    <t>1- Res 202
 Variable 88: 2 al 15
2- Modulo de gestión:
   Pestaña tamización: 2 al 15</t>
  </si>
  <si>
    <t>Fecha valida posterior al tamizaje</t>
  </si>
  <si>
    <t xml:space="preserve">3 años atrás incluyendo el mes a evaluar 
</t>
  </si>
  <si>
    <t>Población denominador
Fecha valida de colposcopia</t>
  </si>
  <si>
    <t>Población al mes a evaluar activos y nuevos 
Mujeres con citología cervicouterina positiva (Superior a ASCUS) 
Fecha de CCU: ultimos 3 años sin incluir mes a evaluar
CCU posterior o igual a Fecha de afiliación</t>
  </si>
  <si>
    <r>
      <t xml:space="preserve">Usuarias con diagnostico de Ca Cuello uterino
Se excluye de los resultados:
1- ASC-US (células escamosas atípicas de significado indeterminado) 
16- Otras neoplasias
Usarias con justificacion de no realizacion COLPOSCOPIA
1805,1810, 1825, 1830, 1835, </t>
    </r>
    <r>
      <rPr>
        <b/>
        <sz val="10"/>
        <color theme="1"/>
        <rFont val="Calibri Light"/>
        <family val="2"/>
        <scheme val="major"/>
      </rPr>
      <t>1840</t>
    </r>
  </si>
  <si>
    <t>Para este indicador se busca fecha de toma de COLPOSCOPIA mayor a la fecha de toma de CCU
Se debe garantizar el cargue del soporte de la no realizacion al modulo de gestion del programa, en los procesos de auditoria del dato, se puede desmacar usuarias de justificacion de no toma por no soportes completos de la informacion reportada</t>
  </si>
  <si>
    <t>De la misma cohorte con el filtro del denominador. Identificar la variable 
(AJ Fecha de Colposcopia) con fecha valida que sea posterior a la del tamizaje</t>
  </si>
  <si>
    <t>De la cohorte general de cérvix, cruzar con la base de AI las pacientes con diagnostico de cáncer. Filtrar variable (K Sexo) Femenino, varibale (R Estado de afiliacion) Activas, variable (X Tamizaje Cáncer de Cuello Uterino) 1 o 4, variable (Z fecha de tamizaje) 3 años atrás incluyendo el mes a evaluar, variable (AA Resultado tamizaje) 2 al 15, excluir las usuarias con diagnostico de cáncer.</t>
  </si>
  <si>
    <t>80.53%</t>
  </si>
  <si>
    <t>81.06%</t>
  </si>
  <si>
    <t>15/1272025: cambio de puntaje y nombre del indicador//  05/03/2025 Se ajusta nombre del indicador, definición del denominador, periodo en denominador y población denominar.  5/12/2024: Se pasa a informativo; se equipara meta, EYAV</t>
  </si>
  <si>
    <t>RPYMS478X</t>
  </si>
  <si>
    <t>Proporción de mujeres con citología anormal en algun momento de la vida, a quienes se realizó colposcopia</t>
  </si>
  <si>
    <t>Proporción de mujeres con prueba de tamización para cáncer de cuello uterino CCU, con reporte de  anormalidad superior a ASCUS,  que cumplen con la realización de colposcopia</t>
  </si>
  <si>
    <t>Mujeres con alteración en la CCU superior a ASCUS en algun momento de la vida, que tengan fecha de colposcopia válida posterior</t>
  </si>
  <si>
    <t>Mujeres con alteración en la CCU superior a ASCUS en algun momento de la vida</t>
  </si>
  <si>
    <t xml:space="preserve">1- Res 202: Variable 91 "colposcopia" - fecha valida
2- Modulo de gestión: Pestaña colposcopia- fecha válida
3- RIPS. CUPS: 702200 -702201 
El CUPS se toman como última opción, debe primar 202 y se toma siempre y cuando se tenga una fecha de una CCV inferior; Los resultados obtenidos con ese CUPS se deben llevar a la cohorte con el fin de que se realice la gestión de la IPS para el resultado en el modulo.
</t>
  </si>
  <si>
    <t>1- Res 202:
 Variable 88:  2 a 15
2- Modulo de gestión: 
  Pestaña tamización: 2 a 15</t>
  </si>
  <si>
    <t>Población del denominador que tenga fecha valida de colposcopia</t>
  </si>
  <si>
    <t>Población activa
Mujeres con citologia superior a ASCUS</t>
  </si>
  <si>
    <t>Usuarias con diagnostico de Ca Cuello uterino
Se excluye de los resultados:
1- ASC-US (células escamosas atípicas de significado indeterminado) 
16- Otras neoplasias
Usarias con justificacion de no realizacion COLPOSCOPIA
1805,1810, 1825, 1830, 1835, 1840</t>
  </si>
  <si>
    <t>Se debe garantizar el cargue del soporte de la no realizacion al modulo de gestion del programa, en los procesos de auditoria del dato, se puede desmacar usuarias de justificacion de no toma por no soportes completos de la informacion reportada</t>
  </si>
  <si>
    <t>En la cohorte general con el filtro del denominador, se identifica la variable:
Fecha de Colposcopia (Fecha valida) que sea posterior al tamizaje</t>
  </si>
  <si>
    <t xml:space="preserve">De la cohorte general de cervix para el denominador, identificamos la variable:
Resultado del tamizaje (Entre 2 y 15) </t>
  </si>
  <si>
    <t>78.82%</t>
  </si>
  <si>
    <t>15/12/2025:  se ajusta el nombre del indicador; Se ajusta meta. 9/12/2024: Indicador nuevo</t>
  </si>
  <si>
    <t>RPYMS59X</t>
  </si>
  <si>
    <t xml:space="preserve">Proporción de mujeres con CCU anormal que cumplen el estandar de 30 días para la toma de colposcopia </t>
  </si>
  <si>
    <t>Proporción de Mujeres con prueba de tamización para cáncer de cuello uterino tomada en el ultimo año: CCU con reporte de  anormalidad superior a AS-CUS o Inspección Visual positiva  sin tratamiento inmediato, que cumplen con la oportunidad menor a 30 días para la realización de la colposcopia</t>
  </si>
  <si>
    <t xml:space="preserve"> Mujeres del denominador que cumplen con la oportunidad menor a 30 días para la realización de la colposcopia:
*Total de citologías anormales, (superior a ASCUS): 
*Toma de colposcopia y que cumplen el estándar de oportunidad menor a 30 días en la realización de la colposcopia
* Fecha de colposcopia "menos" fecha toma de CCU = Resultados menores a 30 días para cargar al numerador.
</t>
  </si>
  <si>
    <t>Mujeres con prueba de tamización para cáncer de cuello uterino tomada los ultimos 12 meses incluyendo el mes a evaluar con reporte de: "anormalidad superior a ASCUS o Inspección Visual positiva  sin tratamiento inmediato"
Prueba de tamizaje posterior o igual a la fecha de afiliación</t>
  </si>
  <si>
    <t>1- Res 202: Variable 91 "colposcopia" - fecha valida
2- Modulo de gestión: Pestaña colposcopia- fecha válida</t>
  </si>
  <si>
    <t>1- Res 202:
*Prueba Tamizaje (variable 86)= 1 o 4; Resultado Tamizaje (variable 88): 2 a 15 o 19
* Prueba Tamizaje (variable 86)= 3; Resultado Tamizaje (variable 88): 19 y que registra variable 47= 9 o 10
2- Modulo de gestión: 
  Pestaña tamización: 2 a 15 o positiva</t>
  </si>
  <si>
    <t>12 meses atrás incluyendo el mes evaluado
Posterior a prueba de tamización</t>
  </si>
  <si>
    <t>Población del denominador
Fecha valida de colposcopia
diferencia entre CCU y Colposcopia 1 a 30 días</t>
  </si>
  <si>
    <r>
      <t>Mujeres con tamizaje alterado, (CCU- via villi):</t>
    </r>
    <r>
      <rPr>
        <b/>
        <sz val="10"/>
        <color theme="1"/>
        <rFont val="Calibri Light"/>
        <family val="2"/>
        <scheme val="major"/>
      </rPr>
      <t xml:space="preserve">
</t>
    </r>
    <r>
      <rPr>
        <sz val="10"/>
        <color theme="1"/>
        <rFont val="Calibri Light"/>
        <family val="2"/>
        <scheme val="major"/>
      </rPr>
      <t xml:space="preserve">
Variable: 
Población al mes a evaluar activos y nuevos 
Mujeres con citología cervicouterina (Superior a ASCUS) o Técnica de inspección Visual Positiva
Fecha de CCU: 12 meses atrás incluyendo el mes a evaluar 
Fecha De VIA-VILI o TIV: 12 meses atrás incluyendo el mes a evaluar 
CCU y TIV posterior o igual a Fecha de afiliación</t>
    </r>
  </si>
  <si>
    <t>*Usuarias con diagnostico de Ca Cuello uterino
*Se excluye de los resultados:
1- ASC-US (células escamosas atípicas de significado indeterminado) 
16- Otras neoplasias
Usuarias VIA VILI con tratamiento Ablativo
Usarias con justificacion de no realizacion COLPOSCOPIA
1805,1810, 1825, 1830, 1835, 1840</t>
  </si>
  <si>
    <r>
      <t xml:space="preserve">Se debe garantizar el cargue del soporte de la no realizacion al modulo de gestion del programa, en los procesos de auditoria del dato, se puede desmacar usuarias de justificacion de no toma por no soportes completos de la informacion reportada
</t>
    </r>
    <r>
      <rPr>
        <b/>
        <sz val="10"/>
        <color theme="1"/>
        <rFont val="Calibri Light"/>
        <family val="2"/>
        <scheme val="major"/>
      </rPr>
      <t>INDICADOR SE HOMOLOGA AL FX-12 DEL TABLERO DE FENIX, por tanto, debe ser igual el resultado.</t>
    </r>
  </si>
  <si>
    <t>De la misma cohorte con el filtro del denominador. Identificar la variable 
(AJ Fecha de Colposcopia) con fecha valida que sea posterior a la del tamizaje crear una columna adicional donde se generara la formula de oportunidad (=AK-Y) y se toman los datos entre 1 y 30</t>
  </si>
  <si>
    <t>De la cohorte general de cérvix, cruzar con la base de AI las pacientes con diagnostico de cáncer. Filtrar variable (K Sexo) Femenino, Variable (R Estado afiliacion) Activas, variable (X Tamizaje Cáncer de Cuello Uterino) 1 o 4, variable (Z fecha de tamizaje) 12 meses atrás incluyendo el mes a evaluar, variable (AA Resultado tamizaje) 2 al 15, variable (AJ Fecha de Colposcopia) Fecha valida posterior al tamizaje, Excluir las pacientes con diagnostico de cáncer.</t>
  </si>
  <si>
    <t>48.03%</t>
  </si>
  <si>
    <t>48.07%</t>
  </si>
  <si>
    <t>E.2.11</t>
  </si>
  <si>
    <t>12/12/2025 Sin modificación  11/03/3025 Se ajusta nuevametne poblacion del denominador y se elimina la exclusion porque ya quedo descrita en la población.  05/03/2025 Se ajusta nombre del indicador al FX-12 de Fenix, se cambia clasificación de medición, definición de variables del numerador y denominador, fuente del denominador, periodo del numerador y denominador, población del numerador y denominador y observación de indicador.   05/12/2024. Se ajusta nombre de indicador, meta de a cuerdo a linea base definida por la medida de intervención forsoza administrativa general de 80% a 85%; . Lesly Amaya
17/07/2024-Se ajusta que para el numerador se deben excluir los resultados "0" dias entre el tamizaje y la colposcopia</t>
  </si>
  <si>
    <t>RPYMS326X</t>
  </si>
  <si>
    <t>Proporción de mujeres con técnicas de inspección visual positiva a quienes se realiza colposcopia y/o biopsia</t>
  </si>
  <si>
    <t>Corresponde a la proporción de mujeres con técnicas de inspección visual positiva a quienes se realiza colposcopia y/o biopsia</t>
  </si>
  <si>
    <t>Total de usuarias con VIA-VILI positiva 
que registran toma de colposcopia posterio o igual a fecha de tamizaje</t>
  </si>
  <si>
    <t>Número de usuarias:
* Genero: "F"
* Periodo: 12 meses atrás incluyendo el mes evaluado y sin tomar los últimos 2 meses
* Prueba Tamizaje (variable 86)= 3; Resultado Tamizaje (variable 88): 19 y que registra variable 47= 9 o 10 
* VIAVILI posterior o igual Fecha de afiliación</t>
  </si>
  <si>
    <t>1- Res 202:
 Variable 86: 3
 Variable 88:  19
 Variable 47: 9 o  10</t>
  </si>
  <si>
    <t>12 meses atrás incluyendo el mes evaluado
Posterior o igual a prueba de tamización</t>
  </si>
  <si>
    <t>12 meses atrás incluyendo el mes a evaluar y no se toman los últimos 2 meses</t>
  </si>
  <si>
    <t>Variable: 
Población actual al mes a evaluar activos y nuevos 
Técnica de inspección Visual Positiva
Fecha De VIA-VILI o TIV: 12 meses atrás incluyendo el mes a evaluar y no se toman los últimos 2 meses
TIV posterior o igual a Fecha de afiliación</t>
  </si>
  <si>
    <t>Usarias con justificacion de no realizacion COLPOSCOPIA
1805,1810, 1825, 1830, 1835, 1840</t>
  </si>
  <si>
    <t>En la cohorte general, con el filtro del denominador identificamos la variable:
Fecha de Colposcopia (Fecha valida) que sea posterior al tamizaje</t>
  </si>
  <si>
    <t>En la cohorte general de cervix, para el denominador, se deben identificar las siguientes variables: 
Sexo: "Femenino"
Prueba Tamizaje: 3
Resultado Tamizaje: 19 
Fecha de tamizaje: 12 meses atrás incluyendo el mes evaluado y sin tomar los últimos 2 meses
* VIAVILI posterior o igual Fecha de afiliación</t>
  </si>
  <si>
    <t>RPYMS98X</t>
  </si>
  <si>
    <t>Proporción de mujeres con toma de biopsia de cuello uterino en CCU alterada</t>
  </si>
  <si>
    <t>Mujeres con prueba de tamización para cáncer de cuello uterino CCU con reporte de  anormalidad Lesión de alto grado o más en el ultimo año, que cumplen con la toma de Biopsia de cuello uterino</t>
  </si>
  <si>
    <t>Confirmación diagnostica</t>
  </si>
  <si>
    <t>Biopsia</t>
  </si>
  <si>
    <t>Resultado de citologías cérvico uterinas anormales Lesión de alto grado o mas que tengan fecha de toma de Biopsia valida</t>
  </si>
  <si>
    <t>Número de citologías cérvico uterinas anormales Lesión de alto grado o mas:
* Prueba Tamizaje (variable 86)= 1 o 4; 
* Resultado Tamizaje (variable 88): 4 a 15
* CCU posterior o igual Fecha de afiliación
* Toma de tamizaje: ultimos 12 meses sin incluir el mes a evaluar</t>
  </si>
  <si>
    <t>1- Modulo de gestión: Pestaña biopsia- fecha válida
2- Res 202: Variable 93 "biopsia cervical" - fecha valida
3-  RIPS. CUPS: 702201- 671200- 671201 -671202</t>
  </si>
  <si>
    <t>1- Res 202
 Variable 88: 4 al 15
2- Modulo de gestión:
   Pestaña tamización: 4 al 15</t>
  </si>
  <si>
    <t xml:space="preserve">12 meses atrás sin incluir el mes a evaluar </t>
  </si>
  <si>
    <t>Población denominador
Fecha valida de Biopsia de Cuello uterino</t>
  </si>
  <si>
    <t xml:space="preserve">Variable: 
Población al mes a evaluar activos y nuevos 
</t>
  </si>
  <si>
    <t>Usuarias con diagnostico de Ca Cuello uterino
Se excluye de los resultados:
1- ASC-US (células escamosas atípicas de significado indeterminado) 
2 -ASC-H (células escamosas atípicas, de significado indeterminado sugestivo de LEI de alto grado
3 -Lesión intraepitelial escamosa (LEI) de bajo grado -HPV (NIC I) (LEI BG)
16- Otras neoplasias
Usarias con justificacion de no realizacion biopsia
1805,1810, 1825, 1830, 1835, 1840</t>
  </si>
  <si>
    <t>De la cohorte general con el filtro del denominador, se identificaran las  usuarias con realización de biopsia para la cual se toma la variable
(AL Fecha de biopsia cervical) fecha valida que sea posterior al tamizaje</t>
  </si>
  <si>
    <t>De la cohorte general de cervix, identificar las variables (X Tamizaje Cáncer de Cuello Uterino) 1 o 4, la variable  (Y Fecha de tamizaje) ultimos 12 meses sin incluir el mes a evaluar, variable (AA Resultado del tamizaje) de 4 a 15, variable  (R Estado afiliación) Activas, variable (K Sexo) Femeninas</t>
  </si>
  <si>
    <t>68.93%</t>
  </si>
  <si>
    <t>62.11%</t>
  </si>
  <si>
    <t>15/12/2025: ajuste del nombre del indicador y puntaje: EYAV// 05/03/2025 Se ajusta  nombre del indicador, se cambia la definición operacional, se ajusta clasificación de medición, definiciones de variables el numerador y denominador, periodo del numerador y denominador, población el numerador, y se complementa las exclusiones del denominador.  05/12/2024. Se cambia a cumplimiento. EYAV</t>
  </si>
  <si>
    <t>RPYMS479X</t>
  </si>
  <si>
    <t>Proporción de mujeres con reporte de biopsia de cuello uterino "NIC II-NIC III", que reciben tratamiento</t>
  </si>
  <si>
    <t>Mujeres con reporte de biopsia de cuello uterino NIC de Alto Grado (NIC II - NIC III), que reciben tratamiento</t>
  </si>
  <si>
    <t>Manejo médico</t>
  </si>
  <si>
    <t>Tratamiento</t>
  </si>
  <si>
    <t>Población del denominador que registran manejo por especialista o tratamiento igual o posterior a la toma de la Biopsia</t>
  </si>
  <si>
    <t>Mujeres con resultado de Biopsia Nic II-III, tomadas en los ultimos 12 meses atrás Sin incluir el mes evaluado</t>
  </si>
  <si>
    <r>
      <t xml:space="preserve">1- RIPS: CUPS Consulta: 890250, 890350, 890450. 
CUPS Conización: 
672001 CONIZACION NCOC
673230 CONIZACION LASER
673400 CONIZACION CON RADIOFRECUENCIA (LETZ) SOD
673401 CONIZACION CON RADIOFRECUENCIA (LETZ) BAJO COLPOSCOPIA
683101	HISTERECTOMÍA SUBTOTAL O SUPRACERVICAL POR LAPAROTOMÍA
683111	HISTERECTOMÍA SUBTOTAL O SUPRACERVICAL, POR LAPAROSCOPIA
684001	HISTERECTOMÍA TOTAL ABDOMINAL CON REMOCIÓN DE MOLA O FETO MUERTO POR LAPAROTOMÍA
684003	HISTERECTOMÍA TOTAL POR LAPAROTOMÍA
684020	HISTERECTOMÍA TOTAL POR LAPAROSCOPIA
684103	HISTERECTOMÍA TOTAL ABDOMINAL AMPLIADA POR LAPAROTOMÍA
684104	HISTERECTOMÍA TOTAL ABDOMINAL AMPLIADA POR LAPAROSCOPIA
672001	CONIZACIÓN CERVICAL
673102	RESECCIÓN DE LESIÓN CUELLO UTERINO
673201	ABLACIÓN DE LESIÓN O TEJIDO DE CUELLO UTERINO
863101	RESECCIÓN DE LESIONES CUTÁNEAS POR CAUTERIZACIÓN, FULGURACIÓN O CRIOTERAPIA EN ÁREA GENERAL, HASTA SEIS LESIONES
863102	RESECCIÓN DE LESIONES CUTÁNEAS POR CAUTERIZACIÓN, FULGURACIÓN O CRIOTERAPIA EN ÁREA GENERAL, MÁS DE SEIS LESIONES
863103	RESECCIÓN DE LESIONES CUTÁNEAS POR CAUTERIZACIÓN, FULGURACIÓN O CRIOTERAPIA EN ÁREA ESPECIAL, HASTA TRES LESIONES
863104	RESECCIÓN DE LESIONES CUTÁNEAS POR CAUTERIZACIÓN, FULGURACIÓN O CRIOTERAPIA EN ÁREA ESPECIAL, ENTRE TRES A DIEZ LESIONES
863105	RESECCIÓN DE LESIONES CUTÁNEAS POR CAUTERIZACIÓN, FULGURACIÓN O CRIOTERAPIA EN ÁREA ESPECIAL, MÁS DE DIEZ LESIONES
2- Módulo de Gestión de casos: Pestaña </t>
    </r>
    <r>
      <rPr>
        <strike/>
        <sz val="10"/>
        <color theme="1"/>
        <rFont val="Calibri Light"/>
        <family val="2"/>
        <scheme val="major"/>
      </rPr>
      <t>Cervix/ Complementarios/</t>
    </r>
    <r>
      <rPr>
        <sz val="10"/>
        <color theme="1"/>
        <rFont val="Calibri Light"/>
        <family val="2"/>
        <scheme val="major"/>
      </rPr>
      <t xml:space="preserve"> : Manejo y direccionamiento: Conducta inicial: (cualquier opción)
Pestaña Tratamiento: Tratamiento (cualquier opción excepto No Aplica y Desconocido)
</t>
    </r>
    <r>
      <rPr>
        <strike/>
        <sz val="10"/>
        <color theme="1"/>
        <rFont val="Calibri Light"/>
        <family val="2"/>
        <scheme val="major"/>
      </rPr>
      <t>3- Cargue información adicional cérvix</t>
    </r>
  </si>
  <si>
    <t xml:space="preserve">1- RES 202 
Variable 93: Fecha valida
Variable 94: opción 4
</t>
  </si>
  <si>
    <t xml:space="preserve">12 meses atrás incluyendo sin incluir el mes a evaluar </t>
  </si>
  <si>
    <t>12 meses atrás  sin incluir el mes evaluado</t>
  </si>
  <si>
    <t>Misma del denominador</t>
  </si>
  <si>
    <t xml:space="preserve">1- Usuarias con diagnostico de Ca Cuello uterino
</t>
  </si>
  <si>
    <t>09/12/2024: Se inicia medición de este indicador, dado que se acordó que alto impacto no recibe las usuarias Nic II-III, por lo tanto, se debe medir desde PYMS</t>
  </si>
  <si>
    <t>La fuente oficial es la cohorte, sin embargo a la fecha no se cuenta con el dato en la cohorte, por lo que se saca el dato de la base del modulo de gestion de casos. Con e filtro del denominador en la cohorte general se cruzan las pacientes del modulo de la variable (CF Fecha de inicio de Tratamiento) Fecha valida postrior al tamizaje</t>
  </si>
  <si>
    <t>De la cohorte general de cervix se deben tomar las siguienetes variables para el denominador, varibale (AL Fecha de biopsia cervical) Fecha valida 12 meses atrás sin incluir el mes a evaluar, variable (AM Resultado de Biopsia Cervical) 4- NIC de Alto Grado: NIC II - NIC III</t>
  </si>
  <si>
    <t>DT cervix (+)</t>
  </si>
  <si>
    <t>39.91%</t>
  </si>
  <si>
    <t>15/12/2025: ajuste de puntaje 11/03/2025 Se ajusta en periodo el numerador.  05/03/2025 Se ajusta definición operacional, clasificaicón de la medición, definición de variables numerador y denominador, Fuente ajuste numerador y denominador, periodo del numerador y denominador, y en Población el denominador.  06/02/2025 Se adicionan en fuente todos los posibles tratamientos para NIC II Y NIC III y ajusta definicion de indicador en denominador.  24/12/2024  Se ajusta definición de numerador y se complementa fuentes del numerador. //17/12/2024 Se complementa definición operativa y se adicionan las fuentes para numerador y denominador.  //05/12/2024. Se cambia a cumplimiento. EYAV</t>
  </si>
  <si>
    <t>RPYMS480X</t>
  </si>
  <si>
    <t>Cumplimiento en la toma de biopsia de cuello uterino en CCU alterada</t>
  </si>
  <si>
    <t>Proporción de mujeres con reporte en CCU de  anormalidad NIC II o mas en el ultimos 3 años, que cumplen con la toma de Biopsia de cuello uterino</t>
  </si>
  <si>
    <t>Resultado de citologías anormales NIC II o mas que tengan fecha de toma de Biopsia valida</t>
  </si>
  <si>
    <t>Número de citologías cérvico uterinas anormales NIC II o mas</t>
  </si>
  <si>
    <t>Ultimos 3 años</t>
  </si>
  <si>
    <t>Misma población denominador, que tenga biopsia valida</t>
  </si>
  <si>
    <t xml:space="preserve">Variable: 
Población actual al mes a evaluar activos y nuevos 
</t>
  </si>
  <si>
    <t>Usuarias con diagnostico de Ca Cuello uterino
Se excluye de los resultados:
1- ASC-US (células escamosas atípicas de significado indeterminado) 
16- Otras neoplasias
Usarias con justificacion de no realizacion biopsia
1805,1810, 1825, 1830, 1835, 1840</t>
  </si>
  <si>
    <t>En la cohorte general con el filtro del denominador, se debe identificar las iguientes variables:
Fecha de biopsia cervical (Fecha valida) que sea posterior al tamizaje</t>
  </si>
  <si>
    <t>En la cohorte general de cervix, se identifican la variable: 
Fecha de tamizajel: Ultimos 3 años
Resultado del tamizaje:del 4 al 15
Se excluyen las usuarias con Diagnostico de Cancer</t>
  </si>
  <si>
    <t>64.14%</t>
  </si>
  <si>
    <t>12/12/2025 Se ajusta meta.  05/12/2024. Indicador nuevo. EYAV</t>
  </si>
  <si>
    <t>RPYMS99X</t>
  </si>
  <si>
    <t>Proporción de mujeres que cumplen la oportunidad entre la toma y el reporte de la biopsia de cuello uterino</t>
  </si>
  <si>
    <t>Proporción de mujeres con oportunidad de 15 días entre la toma de la biopsia y el reporte de la Biopsia de cuello uterino</t>
  </si>
  <si>
    <t>Mujeres con registro de fecha de toma de biopsia de cérvix y que el resultado es menor o igual a 15 días  al calcular la diferencia entre la fecha de reporte de biopsia y la fecha de la toma de la biopsia. (Fecha de reporte- fecha de toma)
NOTA: Los que no tienen reporte de biopsia se saca la diferencia con la fecha actual y si a la fecha actual no han pasado 15 días se excluyen de la medición</t>
  </si>
  <si>
    <t>Total de usuarias que tienen toma de biopsia de cuello uterino
ultimo 12 meses sin incluir el mes a evaluar 
Fecha de biopsia posterior o igual a fecha de afiliación
Fecha de biopsia posterior fecha de tamizaje</t>
  </si>
  <si>
    <t>1- Res 202: 
  Variable 93 "Fecha de Biopsia cervicouterina" - Fecha valida
2- Modulo de Gestión: Pestaña biopsia:
 - Fecha resultado biopsia cervical - fecha válida
3- Modulo carga de archivos/ Otros/ Cérvix: Formato cervix 
Variable: Fecha de resultado Biopsia cervical</t>
  </si>
  <si>
    <t>1- Resolución 202- Fecha valida de toma de biopsia- 
  Variable 93 "Biopsia cervical" - Fecha valida
2- Modulo de gestión de casos cérvix. Pestaña biopsia/ Opción: Fecha de toma de biopsia cervical
3- Modulo carga de archivos/ Otros/ Cérvix: Formato cervix 
Variable: Fecha Biopsia cervical</t>
  </si>
  <si>
    <t>Población denominador
Fecha valida de reporte de biopsia &lt;=15 dias</t>
  </si>
  <si>
    <t>Población al mes a evaluar activos y nuevos</t>
  </si>
  <si>
    <t>De la cohorte general con el filtro de denominador, se toma la variable 
(AV Fecha entrega biopsia) se genera una columna adicional y se calcula la oportunidad (Fecha de reporte variable AV- fecha de toma variable AL) y se toma el dato entre 1 y 15</t>
  </si>
  <si>
    <t>De la cohorte general de cervix para el denominador se toman los filtros de la variale (AL Fecha de biopsia cervical) ultimos 12 meses sin incluir el mes a evaluar, variable (R Estado de afiliación) Activas</t>
  </si>
  <si>
    <t>35.52%</t>
  </si>
  <si>
    <t>43.2%</t>
  </si>
  <si>
    <t>15/12/2025: se cambia puntaje// 11/03/2025 Se ajusta en periodo el numerador. 05/03/2025 Se ajusta nombre del indicador, definición operacional, clasificación de medición, definición de variables numerador y denominador, Fuente del numerador y denominador, periodo del numerador y denominador y población del denominador.   07/02/2025 Se realiza eliminación de los 3 meses de afiliación.</t>
  </si>
  <si>
    <t>RPYMS129X</t>
  </si>
  <si>
    <t>Proporción de mujeres que cumplen con el estandar de oportunidad de 45 días entre el tamizaje y el reporte de la biopsia de cuello uterino</t>
  </si>
  <si>
    <t xml:space="preserve">Proporción de Mujeres con tamizaje alterado  para cancer de cuello uterino (superior a ASCUS) de los ultimos 12 meses, con resultado de biopsia de cuello uterino  antes de 45 días </t>
  </si>
  <si>
    <t xml:space="preserve">Población del denominador que tienen fecha valida de reporte de biopsia de cuello uterino que no supere los 45 días, entre el tamizaje y el reporte de la biopsia.
</t>
  </si>
  <si>
    <t>Total de usuarias entre 25 y 65 años que tienen un tamizaje alterado superior de ASCUS 
Usuarias que tienen toma de biopsia de cuello uterino (cualquier resultado) con fecha de reporte posterior al tamizaje</t>
  </si>
  <si>
    <t xml:space="preserve">Para prueba de tamizaje:
2 - Modulo de gestión: Variable
Fecha resultado Biopsia cervical
3- Modulo carga de archivos/ Otros/ Cérvix: Formato cervix 
Variable: Fecha de resultado Biopsia cervical
</t>
  </si>
  <si>
    <r>
      <t xml:space="preserve">Para toma de la biopsia se puede obtener de:
2 - Res 202
Variable 86: 1 o 4
Variable 87: Fecha valida
Variable 88: 2 al 15
4- Modulo de gestión: 
Pestaña Tamizaje: Fecha CCU (fecha válida)
Resultado según Betesda (Superior a ASCUS de 2 a 15)
</t>
    </r>
    <r>
      <rPr>
        <strike/>
        <sz val="10"/>
        <color theme="1"/>
        <rFont val="Calibri Light"/>
        <family val="2"/>
        <scheme val="major"/>
      </rPr>
      <t xml:space="preserve">
</t>
    </r>
    <r>
      <rPr>
        <sz val="10"/>
        <color theme="1"/>
        <rFont val="Calibri Light"/>
        <family val="2"/>
        <scheme val="major"/>
      </rPr>
      <t>5- Modulo carga de archivos/ Otros/ Cérvix: Formato cervix 
Variable: Fecha de tamizaje/ Resultado tamizaje de 2 a 15</t>
    </r>
  </si>
  <si>
    <t xml:space="preserve">12 meses atrás  sin incluir el mes a evaluar </t>
  </si>
  <si>
    <t>Mujeres del denominador
Registro de reporte de biopsia 45 días o menos desde la prueba de tamización mas reciente</t>
  </si>
  <si>
    <t xml:space="preserve">Mujeres de 25 a 65 años con reporte de tamizaje alterado </t>
  </si>
  <si>
    <t>Para la medición de indicador se debe tomar la diferencia en días entre la fecha del tamizaje y la fecha del reporte de la biopsia, sobre el total de la población del denominador</t>
  </si>
  <si>
    <t xml:space="preserve">De la cohorte general con el filtro del denominador, se identifican a las usuarias que cuentan con biopsia variable 
(AL Fecha de biopsia cervical), se genera una columna adicional donde se calcula la diferencia entre el tamizaje y el reporte de la biopsia (Fecha entrega biopsia AV- Fecha de tamizaje Y) se toma e dias 1 a 45 </t>
  </si>
  <si>
    <t>De la cohorte general de cervix para el denomindaro se toman las variables (K Sexo) Femenino, (L Edad) Entre 25 y 65 años, (R Estado de afiliación) Activas, (X Tamizaje Cáncer de Cuello Uterino) 1 o 4, (Y Fecha de tamizaje) Fecha valida 12 meses atrás sin incluir el mes a evaluar, (AA Resultado del tamizaje) 2 al 15, (AL Fecha de biopsia cervical) fecha valida posterior al tamizajee</t>
  </si>
  <si>
    <t>29.98%</t>
  </si>
  <si>
    <t>54.04%</t>
  </si>
  <si>
    <t>15/12/2025: cambio de puntaje // 11/03/2025 Se ajusta en periodo el numerador. 05/03/2025 Se ajusta nombre del indicador, definición operacional, cambio en clasificación de medición, definición de variables para el numerador y denominador, fuente del numerador y denominador, Periodo del denominador, población del numerador y denominador y de deja observaciones del indicador.  05/12/2024: Se modifica nombre del indicador, se pasa a cumplimiento, y definiciones de variables. EYAV</t>
  </si>
  <si>
    <t>RPYMS481X</t>
  </si>
  <si>
    <t>Oportunidad en el reporte de biopsia para DT cáncer de Cuello Uterino</t>
  </si>
  <si>
    <t>Proporción de mujeres con tamizaje alterado para cancer de cuello uterino (superios a ASCUS), y que les fue realizada la biopsia antes del dia 45 desde la fecha de toma del tamizaje</t>
  </si>
  <si>
    <t xml:space="preserve">Total de usuarias que tienen toma de biopsia de cuello uterino (cualquier resultado) y que tengan menos de 45 dias entre la prueba tamiz y el resultado biopsia de cuello uterino.
</t>
  </si>
  <si>
    <t>Total de usuarias que tienen toma de biopsia de cuello uterino (cualquier resultado)</t>
  </si>
  <si>
    <t>Para prueba de tamizaje:
1- CAC
2 - Modulo de gestión
3 - Formato cérvix
3- Resolución 202:
     * Variable 86: 1 o 2 o 3 o 4 
     * Variable 87:  anterior a biopsia de Cuello uterino (más reciente)</t>
  </si>
  <si>
    <t>Para toma de la biopsia se puede obtener de:
1- CAC
2 - Res 202
3- RIPS (CUPS: 67.1.2.01 BIOPSIA EN (SACABOCADO DE CUELLO UTERINO -EXOCÉRVIX). CUPS: 67.1.2.02 (BIOPSIA DE CUELLO UTERINO CIRCUNFERENCIAL)
4- Modulo de gestión- variable: Fecha resultado biopsia cervical</t>
  </si>
  <si>
    <t>Poblacion del denominador
Registro de reporte de biopsia 45 días o menos desde la prueba de tamización mas reciente</t>
  </si>
  <si>
    <t>población con reporte de Biopsia cuello uterino</t>
  </si>
  <si>
    <t>En la cohorte general con el filtro del denominador, se identifica la variable:
Fecha de biopsia cervical: (cualquier resultado) y que tengan menos de 45 dias entre la prueba tamiz y el resultado biopsia de cuello uterino
Se resta: Fecha de biopsia cervical - Fecha de tamizaje, se toma el promedio en dìas entre 1 y 45</t>
  </si>
  <si>
    <t>De la cohorte general de cervix se toma en cuenta la variable:
Fecha de biopsia cervical (Toda la vida)</t>
  </si>
  <si>
    <t>Cohorte DT-cérvix</t>
  </si>
  <si>
    <t>RPYMS482X</t>
  </si>
  <si>
    <t>Oportunidad en la confirmación diagnostica para DT cáncer de Cuello Uterino</t>
  </si>
  <si>
    <t>Promedio del numero de dias entre biopsia que confirma malignidad y la fecha de la toma de la prueba de tamizaje  mas reciente</t>
  </si>
  <si>
    <t>Oportunidad diagnostica</t>
  </si>
  <si>
    <t>días</t>
  </si>
  <si>
    <t>Diferencia entre los dias trascurridos entre la fecha toma de la biopsia que registra malignidad y la fecha de la prueba de tamizaje mas cercana a esta biopsia. El resultado es numero de dias</t>
  </si>
  <si>
    <r>
      <t xml:space="preserve">Fecha de </t>
    </r>
    <r>
      <rPr>
        <b/>
        <sz val="10"/>
        <color theme="1"/>
        <rFont val="Calibri Light"/>
        <family val="2"/>
        <scheme val="major"/>
      </rPr>
      <t>toma de</t>
    </r>
    <r>
      <rPr>
        <sz val="10"/>
        <color theme="1"/>
        <rFont val="Calibri Light"/>
        <family val="2"/>
        <scheme val="major"/>
      </rPr>
      <t xml:space="preserve"> Biopsia de cuello uterino - Validas- Resultado malignidad
</t>
    </r>
  </si>
  <si>
    <t>Para prueba de tamizaje:
2 - Modulo de gestión
3 - Formato cérvix
3- Resolución 202:
     * Variable 86: 1 o 2 o 3 o 4 
     * Variable 87:  anterior a biopsia de Cuello uterino (más reciente)</t>
  </si>
  <si>
    <t>1 - Res 202-  Biopsia de cuello uterino variable 93: Fecha válida, Resultado Malignidad variable 94 opcion 5 y 6</t>
  </si>
  <si>
    <t xml:space="preserve">Biopsias con resultado de malignidad tomadas en el año vigente </t>
  </si>
  <si>
    <t>Afiliadas activas a la fecha de corte, con resultado de biopsia con malignidad</t>
  </si>
  <si>
    <t>1- Usuarias con diagnostico de cancer de cuello uterino
2- Biopsias malignas que no registren un resultado de tamizaje previo</t>
  </si>
  <si>
    <t>La calificación del indicador es teniendo en cuenta la oportunidad en días.</t>
  </si>
  <si>
    <t>De la cohorte general de cervix, para el denominador se toman las siguentes variables:
Fecha de biopsia cervical: Año vigente
Resultado de Biopsia Cervical: 5 o 6</t>
  </si>
  <si>
    <t>Cohorte cérvix (+)</t>
  </si>
  <si>
    <r>
      <rPr>
        <sz val="10"/>
        <color rgb="FFFF0000"/>
        <rFont val="Calibri Light"/>
        <family val="2"/>
        <scheme val="major"/>
      </rPr>
      <t>15</t>
    </r>
    <r>
      <rPr>
        <sz val="10"/>
        <color rgb="FF000000"/>
        <rFont val="Calibri Light"/>
        <family val="2"/>
        <scheme val="major"/>
      </rPr>
      <t xml:space="preserve"> a 30</t>
    </r>
  </si>
  <si>
    <t>30,1 a 35</t>
  </si>
  <si>
    <t>35,1 a 39</t>
  </si>
  <si>
    <t>&gt;=40</t>
  </si>
  <si>
    <t>25 a 30</t>
  </si>
  <si>
    <t>14.72 Dias</t>
  </si>
  <si>
    <t>12/12/2025 Sin modificación  14/01/2025 Ajuste fuente. 24/12/2024 Se ajusta definición del denominador, se ajusta en periodo numerador y denominador y se ajusta meta. //18/12/2024 Se ajusta definicion de numerador, se complementa exclusiones de denominador y se define las metas teniendo en cuenta la media Nal  por Ind de CAC y fx asociados al procedimiento en dptos del país en zonas especiales. //05/12/2024: Indicador nuevo EYAV</t>
  </si>
  <si>
    <t>RPYMS130X</t>
  </si>
  <si>
    <t>Proporción de usuarias con Cáncer de Cuello Uterino con reporte de prueba Tamiz Previa</t>
  </si>
  <si>
    <t>Pruebas tamización</t>
  </si>
  <si>
    <t>Motivo Egreso: "Descartado" O "Fallecido"</t>
  </si>
  <si>
    <t>Por ser un indicador con población ya diagnosticada con cancer, se debe aplicar los 3 meses de afiliaciones por el tema de los usuarios recibidos por sesiones de otras aseguradoras.</t>
  </si>
  <si>
    <t>De la cohorte general de cervix, se cruan las usuarias identificadas en el denominador, de las usuarias con diagnostico de cáncer de cuello uterino que tienen tamizaje previo</t>
  </si>
  <si>
    <t>Con la base de alto impacto, se identifican las variables: 
Fecha primera estadificación: Año vigente
Zona de tumor: CUELLO UTERINO
Primera estadificación: según "homologacion_cancer": 0-insitu, 1-7- temprano y 8-30- tardio
Sexo: Femenino
Fecha afiliación: Mas de 3 meses afiliados a la aseguradora a "Fecha diagnóstico confirmado"</t>
  </si>
  <si>
    <t>Cohorte de Cáncer</t>
  </si>
  <si>
    <t>90%</t>
  </si>
  <si>
    <t>RPYMS131X</t>
  </si>
  <si>
    <t>Detección Temprana de Cáncer de Cuello Uterino</t>
  </si>
  <si>
    <t>Proporción de personas con diagnostico del cancer de cuello uterino que se hayan identificado en estadio in situ o temprano.</t>
  </si>
  <si>
    <t>Detección Temprana</t>
  </si>
  <si>
    <t>Numero de personas del denominador clasificadas diagnosticadas con en el periodo a evaluar, y que tienen estadio in situ o temprano</t>
  </si>
  <si>
    <t>Numero de personas diagnosticadas con cancer en el periodo a evaluar</t>
  </si>
  <si>
    <t>Base de cancer de alto impacto</t>
  </si>
  <si>
    <t>Poblacion del denominador
población con Cáncer In Situ, Temprano o localizado</t>
  </si>
  <si>
    <t>Afiliados activos- Mujeres con diagnostico de Cáncer especifico según el indicador</t>
  </si>
  <si>
    <t>Para ingresar al conteo se tiene en cuenta la fecha de ingreso o fecha de diagnostico del año Vigente, en caso de contar con 2 fechas diferentes del año, se toma la fecha mas antigua para realizar las validaciones.</t>
  </si>
  <si>
    <t>De la base de alto impacto con el filtro del denominador, indetificar la variable:
Primera estadificación: según "homologacion_cancer": 0-insitu, 1-7- temprano y 8-30</t>
  </si>
  <si>
    <t>Con la base de alto impacto, se identifican las variables: 
Fecha primera estadificación: Año vigente
Zona de tumor: CUELLO UTERINO
Estado de afiliación: Activas</t>
  </si>
  <si>
    <t>2.97%</t>
  </si>
  <si>
    <t>RPYMS102X</t>
  </si>
  <si>
    <t>Cumplimiento en la toma de biopsia de mama en mujeres reporte de Birads 4 o 5</t>
  </si>
  <si>
    <t>Proporción de mujeres con toma de mamografía y resultado Birads 4 o 5, que registran toma de biopsia de mama.</t>
  </si>
  <si>
    <t>DT Mama</t>
  </si>
  <si>
    <t>Número de mujeres  del denominador 
Reporte de Birads 4 o 5 tomadas 
Toma y resultado de biopsia de mama posterior a la mamografia
Fecha mamografia debe ser mayor o igual a al fecha de afiliación</t>
  </si>
  <si>
    <t>Total de mujeres con reporte de mamografía Birads 4 o 5 , 
12 meses atrás incluyendo el mes a evaluar y no se toman los últimos 2 meses.
Fecha mamografia debe ser mayor o igual a la fecha de afiliación</t>
  </si>
  <si>
    <t>1- Resolución 202
     Variable 99: fecha valida 
      Variable 101: 1,2,3,4,5
Nota: No se tiene en cuenta RIPS porque no trae resultado</t>
  </si>
  <si>
    <t>1- Res 202
   Variable 96: fecha valida
   Variable 97: opciones 5, 6
2- Modulo de gestión:
    Pestaña tamización: 5, 6</t>
  </si>
  <si>
    <t>Población denominador
Fecha valida de Biopsia de mama</t>
  </si>
  <si>
    <t>Variable:
Población actual al mes a evaluar activos y nuevos
Mujeres con toma de mamografía Birads 4 o 5
Fecha mamografía: 12 meses atrás incluyendo el mes a evaluar y no se toman los últimos 2 meses
Mamografía posterior o igual a fecha de afiliación</t>
  </si>
  <si>
    <r>
      <t xml:space="preserve">Usuarias con justificacion de no realizacion biopsia
</t>
    </r>
    <r>
      <rPr>
        <b/>
        <sz val="10"/>
        <color theme="1"/>
        <rFont val="Calibri Light"/>
        <family val="2"/>
        <scheme val="major"/>
      </rPr>
      <t>1805,1810, 1825, 1830, 1835, 1840</t>
    </r>
  </si>
  <si>
    <t xml:space="preserve">1. de las usuarias que estan en el denominador se deben hacer una resta entre la fecha de toma de biopsia menos la fecha del tamizaje de mamografia
2. Se debe revisar que  se tenga toma de biopsia y resultado de biopsia
3. se toman todas las usuarias de la resta
</t>
  </si>
  <si>
    <t xml:space="preserve">1. Se debe descargar la cohorte DT Mama
2. se filtran las usuarias con toma de mamografia y resultado Birads 4 y 5 
3. se filtran en la fecha de tamizajes la fecha 12 meses a tras y no se toman los dos ultimos meses .
4. por ultimo se valida que las fechas de los tamizajes de mamografia sean mayor o igual a la fecha de afiliación
</t>
  </si>
  <si>
    <t>66.41%</t>
  </si>
  <si>
    <t>64.13%</t>
  </si>
  <si>
    <t>12/12/2025 Sin modificación  5/03/2025 Se ajusta puntaje.   18/12/2024 AJUSTA - EXCLUSION CAUSAL DE NO REALIZACION. Gabriel</t>
  </si>
  <si>
    <t>RPYMS60X</t>
  </si>
  <si>
    <t>Proporción de mujeres con mamografía reportada como Birads 4 o 5 que cumplen con el estándar de 30 días para la toma de la biopsia</t>
  </si>
  <si>
    <t>Proporción de mujeres con toma de mamografía y resultado Birads 4 o 5, que cumplen con la oportunidad entre la toma de la tamización y la toma de la Biopsia menor o igual a 30 días</t>
  </si>
  <si>
    <t>Número de mujeres del denominador
con reporte de mamografía Birads 4 o 5 con toma de Biopsia de mama que cumple con el estándar de 30 días
* Restar fecha de toma de biopsia - fecha de la toma de la mamografía
* Debe tener fecha de Reporte y Resultado de biopsia de mama</t>
  </si>
  <si>
    <t>Total de mujeres con reporte de mamografía Birads 4 o  5
12 meses atrás incluyendo el mes a evaluar y no se toman los últimos 2 meses
Fecha mamografia debe ser mayor o igual a la fecha de afiliación</t>
  </si>
  <si>
    <r>
      <t xml:space="preserve">1- Res 202
 Variable 99: Fecha válida
 Variable 101: 1-2-3-4-5
2- Modulo de gestión: 
  Pestaña Biopsia: "Fecha toma </t>
    </r>
    <r>
      <rPr>
        <strike/>
        <sz val="10"/>
        <color theme="1"/>
        <rFont val="Calibri Light"/>
        <family val="2"/>
        <scheme val="major"/>
      </rPr>
      <t xml:space="preserve"> </t>
    </r>
    <r>
      <rPr>
        <sz val="10"/>
        <color theme="1"/>
        <rFont val="Calibri Light"/>
        <family val="2"/>
        <scheme val="major"/>
      </rPr>
      <t>biopsia mama" valida y  "Resultado de biopsia de mama"</t>
    </r>
  </si>
  <si>
    <t>1- Res 202
 Variable 96: Fecha valida 
 Variable 97: 5, 6
2- Modulo de gestión: 
  Pestaña tamización: 5,6</t>
  </si>
  <si>
    <t>Población denominador
Fecha valida de toma de Biopsia
diferencia entre Mamografía y Biopsia &lt;=30 días</t>
  </si>
  <si>
    <t>Variable:
Población al mes a evaluar activos y nuevos
Mujeres con toma de mamografía Birads 4 y 5
Fecha mamografía: 12 meses atrás incluyendo el mes a evaluar y no se toman los últimos 2 meses
Mamografía posterior o igual a fecha de afiliación</t>
  </si>
  <si>
    <t xml:space="preserve">Se debe garantizar el cargue del soporte de la no realizacion al modulo de gestion del programa, en los procesos de auditoria del dato, se puede desmacar usuarias de justificacion de no toma por no soportes completos de la informacion reportada
</t>
  </si>
  <si>
    <t>1. de las usuarias que estan en el denominador se deben hacer una resta entre la fecha de toma de biopsia menos la fecha del tamizaje de mamografia
2. Se debe revisar que  se tenga toma de biopsia y resultado de biopsia
3. en la resta se deben tomar las que tengan de 1 a 30 dias entre la fecha de la toma del tamizaje de mama y la fecha de la toma de la biopsia</t>
  </si>
  <si>
    <t>34.63%</t>
  </si>
  <si>
    <t>37.24%</t>
  </si>
  <si>
    <r>
      <t xml:space="preserve">15/12/2025: se incrementa meta y puntaje // 11/03/2025 Se elimina exlcusiones del denominador.  05/03/2025 Se ajusta nombre de indicador, definición operacional, definición de variables, ajuste varaible población, Se ajusta puntaje modificando 4 </t>
    </r>
    <r>
      <rPr>
        <u/>
        <sz val="10"/>
        <rFont val="Calibri Light"/>
        <family val="2"/>
        <scheme val="major"/>
      </rPr>
      <t xml:space="preserve">o </t>
    </r>
    <r>
      <rPr>
        <sz val="10"/>
        <rFont val="Calibri Light"/>
        <family val="2"/>
        <scheme val="major"/>
      </rPr>
      <t>5.</t>
    </r>
  </si>
  <si>
    <t>RPYMS329X</t>
  </si>
  <si>
    <t>Prestacion efectiva para deteccion temprana de Cáncer de Mama</t>
  </si>
  <si>
    <t>Proporcion de usuarias con Birads 4 o 5, que registran toma de Biopsia  menor o igual a 30 dias</t>
  </si>
  <si>
    <t>Retirado</t>
  </si>
  <si>
    <t>Número de mujeres con reporte de mamografía Birads 4 y 5 con TOMA de Biopsia de mama que cumple con el estándar de 30 días
* Restar fecha de TOMA de biopsia - fecha de la toma de la mamografía</t>
  </si>
  <si>
    <t>Total de mujeres con reporte de mamografía Birads 4 y 5
diciembre del año anterior hasta mes anterior al periodo evaluado</t>
  </si>
  <si>
    <t xml:space="preserve">1- Res 202
 Variable 99: Fecha válida
2- Modulo de gestión: 
  Pestaña Biopsia: "Fecha TOMA biopsia mama" valida </t>
  </si>
  <si>
    <t>Posterior o igual a prueba de tamización</t>
  </si>
  <si>
    <t>ultimo mes del año anterior hasta un mes antes del periodo a evaluar</t>
  </si>
  <si>
    <t>Población denominador
Fecha valida de TOMA de Biopsia
diferencia entre Mamografía y Biopsia &lt;=30 días</t>
  </si>
  <si>
    <t>Variable:
Población actual al mes a evaluar activos y nuevos
Mujeres con toma de mamografía Birads 4 y 5</t>
  </si>
  <si>
    <t>Inidicador retirado para la medición de la metodologia 2025</t>
  </si>
  <si>
    <t>35.92%</t>
  </si>
  <si>
    <t>RPYMS132X</t>
  </si>
  <si>
    <t>Oportunidad en la confirmación diagnostica para DT cáncer de mama</t>
  </si>
  <si>
    <r>
      <t>Diferencia entre los dias trascurridos entre la fecha de</t>
    </r>
    <r>
      <rPr>
        <strike/>
        <sz val="10"/>
        <color theme="1"/>
        <rFont val="Calibri Light"/>
        <family val="2"/>
        <scheme val="major"/>
      </rPr>
      <t xml:space="preserve"> </t>
    </r>
    <r>
      <rPr>
        <sz val="10"/>
        <color theme="1"/>
        <rFont val="Calibri Light"/>
        <family val="2"/>
        <scheme val="major"/>
      </rPr>
      <t>toma de la biopsia que registra malignidad y la fecha de la prueba de tamizaje mas cercana a esta biopsia. El resultado es numero de dias</t>
    </r>
  </si>
  <si>
    <r>
      <t xml:space="preserve">Fecha de </t>
    </r>
    <r>
      <rPr>
        <b/>
        <sz val="10"/>
        <color theme="1"/>
        <rFont val="Calibri Light"/>
        <family val="2"/>
        <scheme val="major"/>
      </rPr>
      <t>toma de</t>
    </r>
    <r>
      <rPr>
        <sz val="10"/>
        <color theme="1"/>
        <rFont val="Calibri Light"/>
        <family val="2"/>
        <scheme val="major"/>
      </rPr>
      <t xml:space="preserve"> Biopsia de mama - Validas- Resultado malignidad
</t>
    </r>
  </si>
  <si>
    <t>1- Res 202- 
  * Mamografía: 
   Variable 96: fecha valida    
2- Modulo de gestión</t>
  </si>
  <si>
    <t>1 - Res 202-  Biopsia de mama:
    Variable 99 Fecha válida
     Resultado Malignidad variable 101 opcion 3 y 4</t>
  </si>
  <si>
    <t>La fecha del tamizaje que no sea superior a 2 años para mamografía</t>
  </si>
  <si>
    <t>Biopsias con resultado de malignidad tomadas en el año vigente</t>
  </si>
  <si>
    <t>1- Usuarias con diagnostico de cancer de mama
2- Biopsias malignas que no registren un resultado de tamizaje previo</t>
  </si>
  <si>
    <t>De la cohorte del DT de mama se deben filtrar las usuarias que en fecha de tamizaje de toma de biopsia de mama con resultado con malignidad 3, 4 se deben restar con la variable fecha de tamizaje de mamografia y se debe verificar que esa fecha sea la mas cercana a la fecha de la toma de la biopsia y el resultado debe ser en numero de dias.</t>
  </si>
  <si>
    <t>Para hallar el denominador se deben filtrar de la variable fecha de toma de biopsia de mama y que su resultado sea maligna 3, 4
Se debe realizar un cruce con la base de patologias y desmarcar las usuarias con diagnóstico de cáncer de mama</t>
  </si>
  <si>
    <t>Cohorte mama (+)</t>
  </si>
  <si>
    <t>60.73 Dias</t>
  </si>
  <si>
    <t>12/12/2025 Sin modificación  14/01/2025 Ajuste fuente. 24/12/2024 Se ajusta definición del denominador, se ajusta en periodo numerador y denominador. //18/12/2024 Se ajusta definicion de numerador, se complementa exclusiones de denominador y se define las metas teniendo en cuenta la media Nal  por Ind de CAC y fx asociados al procedimiento en dptos del país en zonas especiales. //9/12/2024: Se cambia el nombre del indicador y la definición operacional. Indicador que no inicio medición el año anterior y se requiere prioritario</t>
  </si>
  <si>
    <t>RPYMS499X</t>
  </si>
  <si>
    <t>Oportunidad en la confirmación diagnostica para DT del cancer de prostata</t>
  </si>
  <si>
    <t>DT Próstata</t>
  </si>
  <si>
    <r>
      <t xml:space="preserve">Fecha de </t>
    </r>
    <r>
      <rPr>
        <b/>
        <sz val="10"/>
        <color theme="1"/>
        <rFont val="Calibri Light"/>
        <family val="2"/>
        <scheme val="major"/>
      </rPr>
      <t>toma de</t>
    </r>
    <r>
      <rPr>
        <sz val="10"/>
        <color theme="1"/>
        <rFont val="Calibri Light"/>
        <family val="2"/>
        <scheme val="major"/>
      </rPr>
      <t xml:space="preserve"> Biopsia colorrectal - Validas- Resultado malignidad
</t>
    </r>
  </si>
  <si>
    <t xml:space="preserve">1- Res 202
variable 73 fecha valida (PSA)
variable 64 fecha valida (Tacto Rectal)
2- Módulo de casos
</t>
  </si>
  <si>
    <r>
      <t xml:space="preserve">1- Módulo DT Prostata: pestaña Biopsia, opciones:
Fecha </t>
    </r>
    <r>
      <rPr>
        <strike/>
        <sz val="10"/>
        <color theme="1"/>
        <rFont val="Calibri Light"/>
        <family val="2"/>
        <scheme val="major"/>
      </rPr>
      <t>Resultado</t>
    </r>
    <r>
      <rPr>
        <sz val="10"/>
        <color theme="1"/>
        <rFont val="Calibri Light"/>
        <family val="2"/>
        <scheme val="major"/>
      </rPr>
      <t xml:space="preserve"> toma de Biopsia de prostata  (posterior a fecha de tamizaje)
Resultado Biopsia de prostata "Malignidad"</t>
    </r>
  </si>
  <si>
    <t>La fecha del tamizaje que no sea superior a 5 años</t>
  </si>
  <si>
    <t>Afiliads activas a la fecha de corte, con resultado de biopsia con malignidad</t>
  </si>
  <si>
    <t>1- Usuarios con diagnostico de cancer de prostata
2- Biopsias malignas que no registren un resultado de tamizaje previo</t>
  </si>
  <si>
    <t>En la cohorte general con el filtro del denominador, se debe identificar la diferencia entre los dias trascurridos entre la fecha del resultado toma de la biopsia que registra malignidad y la fecha de la prueba de tamizaje mas cercana a esta biopsia. El resultado es numero de dias
Se toma la variable:
Clasificación de Resultado de PSA: Positivo
Resultado mas reciente de Tacto Rectal: 4
Fecha toma Biopsia de Prostata: Año vigente
Resultado de Biopsia Prostata: Con malignidad</t>
  </si>
  <si>
    <t>De la cohorte general de Próstata se deben identificar las siguientes variables:
Fecha toma Biopsia de Prostata: Año vigente</t>
  </si>
  <si>
    <t>Cohorte prostata (+)</t>
  </si>
  <si>
    <t>19.92 Dias</t>
  </si>
  <si>
    <t>12/12/2025 Sin modificación  14/01/2025 Se ajuste en definición de variable el numerador y se cambia meta en general. 24/12/2024 Se ajusta definición del denominador, se ajusta en periodo numerador y denominador. //18/12/2024 Se ajusta definicion de numerador y denominadro, se incluyen fuentes para numerador y denominador, se ajusta exclusiones en denominador  y se complementan metas. //9/12/2024: Indicador nuevo</t>
  </si>
  <si>
    <t>RPYMS490X</t>
  </si>
  <si>
    <t>Promedio en días, para la confirmación diagnostica para DT del cancer colorrectal desde la tamización</t>
  </si>
  <si>
    <t>Promedio del numero de dias entre biopsia que confirma malignidad y la fecha de la toma de la prueba de tamizaje mas reciente</t>
  </si>
  <si>
    <t>DT colorrectal</t>
  </si>
  <si>
    <t>Diferencia entre los dias trascurridos entre la fecha  toma de la biopsia que registra malignidad y la fecha de la prueba de tamizaje mas cercana a esta biopsia. El resultado es numero de dias</t>
  </si>
  <si>
    <r>
      <t xml:space="preserve">Fecha de </t>
    </r>
    <r>
      <rPr>
        <b/>
        <sz val="10"/>
        <color theme="1"/>
        <rFont val="Calibri Light"/>
        <family val="2"/>
        <scheme val="major"/>
      </rPr>
      <t xml:space="preserve">toma de </t>
    </r>
    <r>
      <rPr>
        <sz val="10"/>
        <color theme="1"/>
        <rFont val="Calibri Light"/>
        <family val="2"/>
        <scheme val="major"/>
      </rPr>
      <t xml:space="preserve">Biopsia colorrectal - Validas- Resultado malignidad
</t>
    </r>
  </si>
  <si>
    <t xml:space="preserve">1- Res 202
variable 67 fecha valida (SOMFI)
variable 66 fecha valida (Colonsocopia)
2- Módulo de casos
</t>
  </si>
  <si>
    <t>1- Módulo DT Colorrectal: pestaña Bipsia, opciones:
Fecha toma de Biopsia de colon  (posterior a fecha de tamizaje)
Resultado Biopsia de colon "Malignidad"</t>
  </si>
  <si>
    <t>La fecha del tamizaje que no sea superior a 2 años para SOMFI y 10 años para Colonoscopia</t>
  </si>
  <si>
    <t>Afiliados activas a la fecha de corte, con resultado de biopsia con malignidad</t>
  </si>
  <si>
    <t>1- Población afiliada con diagnostico de cancer colorrectal
2- Biopsias malignas que no registren un resultado de tamizaje previo</t>
  </si>
  <si>
    <t xml:space="preserve">Para hallar el numerador se toma de la base del DT colorrectal y de la variable Fecha de toma de biopsia se realiza una resta con la fecha del tamizaje de SOMFI mas cercana a la fecha de la biopsia con malignidad y el resultado debe ser en numero que correspondera en el numero de dias.  </t>
  </si>
  <si>
    <t>Para hallar el denominador se debe descargar la cohorte del Dt colorrectal y se debe filtrar la variable fecha de toma de biopsia colorrectal con resultado de malignidad
Se debe validar que la fecha de las biopsias sea año vigente, ademas se debe validar que la fecha de la toma de la biopsia es posterior a la fecha del tamizaje de SOMFI o colonoscopia</t>
  </si>
  <si>
    <t>Cohorte colorrectal (+)</t>
  </si>
  <si>
    <t>3.68 Dias</t>
  </si>
  <si>
    <t>15/12/2025: se ajusta nombre del indicador. // 12/12/2025 Sin modificación  14/01/2025 Se ajuste en definición de variable el numerador y se cambia meta en general. 24/12/2024 Se ajusta definición del denominador, se ajusta en periodo numerador y denominador. //18/12/2024 Se ajusta definicion de numerador y denominadro, se incluyen fuentes para nuimerador y denominador, se complementa exclusiones en denominador  y se define metas. //9/12/2024: Indicador nuevo</t>
  </si>
  <si>
    <t>RPYMS133X</t>
  </si>
  <si>
    <t>Proporción de mujeres con Cáncer de Mama con reporte de prueba Tamiz Previa</t>
  </si>
  <si>
    <t>Para hallar el numerador, de las usuarias de la cohorte de alto impacto que resultaron del denominador se cruza con el Dt de mama y de la variable fecha de tamizaje se cruza con la variable diagnostico confirmado y se toman las usuarias las usuarias que tengan una fecha de tamizaje mas cercana a la fecha del diagnostico confirmado</t>
  </si>
  <si>
    <t>Para hallar el denominador de este indicador se debe tomar la base de alto impacto de cancer de mama y se deben identificar las usuarias con cancer de mama en la variable zona de tumor Mama y se debe homologar en la variable primera estadificación tomando los que esten insitu que son los 0, los tempranos que son del 1 al 13 y los avanzados que son del 14 al 30, se debe filtrar de la variable fecha de ingreso a la base el año vigente, de la variable sexo se deben tomar los de sexo F , se debe hacer un calculo entre la fecha del diagnóstico confirmado de la base de Alto impacto y la fecha de afiliación y se toman las que tienen mas de 3 meses
Por ultimo se deben tomar de la variable estado de egreso se toman todos menos los fallecidos y descartados.</t>
  </si>
  <si>
    <t>RPYMS134X</t>
  </si>
  <si>
    <t>Detección Temprana de Cáncer de Mama</t>
  </si>
  <si>
    <t>Para hallar el numerador se deben tomar de las usuarias del denominador y se toman las que tienen en la variable estadificación las que estan en insitu o temprano osea 0 o 1 al 13 CA mama</t>
  </si>
  <si>
    <t>Para hallar el denominador se debe tomar de la base de cancer de alto impacto y se seleccionan las usuarias con cáncer de mama que en la variable fecha de ingreso a la base del mes evaluado</t>
  </si>
  <si>
    <t>Nancy Fortich / Gabriel Puente</t>
  </si>
  <si>
    <t>RPYMS56X</t>
  </si>
  <si>
    <t>Proporción de toma de pruebas de tamizaje para cancer de próstata en población menor de 50 años</t>
  </si>
  <si>
    <t>Proporción de hombres menores de 50 años con factores de riesgo, con tamizaje combinado para cáncer de próstata (PSA y Tacto Rectal)</t>
  </si>
  <si>
    <t>Tacto rectal y PSA</t>
  </si>
  <si>
    <t>BDUA - Hombres entre 40 y 49 años - 
Etnia: Negra. 
Con toma y resultado de PSA 
con toma y resultado tacto rectal
Edad a la fecha de los 2 procedimientos entre 40 y 49 años
Ultimos 5 años
Resultado de tamizaje válido (excepto 998 - Riesgo no evaluado y 0 - No aplica)</t>
  </si>
  <si>
    <t xml:space="preserve">BDUA - Hombres entre 40 y 49 años
Etnia: negra
</t>
  </si>
  <si>
    <t>Resolución 202 (variable 73 y 109 y variables 22 y 64)</t>
  </si>
  <si>
    <t>Registró PSA y tacto rectal en los últimos 5 años
Edad al corte entre 40 - 49 años
PSA entre 40 -49 años
Tacto Rectal entre 40 -49 años</t>
  </si>
  <si>
    <t xml:space="preserve">Con la base de población actual nueva, con el filtro del denominador realizar el cruce con la cohorte general de Próstata para validar los pacientes que cuentan con tamizaje:
</t>
  </si>
  <si>
    <t>Para el denomindaro se descarga la poblacion actual nueva con los siguientes filtros:
1. Sexo: Masculino
2. Edad:40 a 49 años
3. PERTENENCIA ETNICA: 5 - Negro(a), Mulato(a), Afrocolombiano(a) o Afro descendiente</t>
  </si>
  <si>
    <t>DT próstata</t>
  </si>
  <si>
    <t>8.53%</t>
  </si>
  <si>
    <t>4.18%</t>
  </si>
  <si>
    <t>15/12/2025: se ajusta nombre del indicador, eyav // 06/02/2025 Se elimina de la ficha técnica en el denominador, los 3 meses de afiliación a la EPS 4/12/2024: Se cambia Iinformativo, EYAV.</t>
  </si>
  <si>
    <t>RPYMS57X</t>
  </si>
  <si>
    <r>
      <t xml:space="preserve">Cobertura de tamizaje Cáncer de Próstata con tamizaje combinado </t>
    </r>
    <r>
      <rPr>
        <sz val="10"/>
        <color rgb="FFFF0000"/>
        <rFont val="Calibri Light"/>
        <family val="2"/>
        <scheme val="major"/>
      </rPr>
      <t>en los últimos 5 años</t>
    </r>
  </si>
  <si>
    <t>Hombres de 50 a 75 años y afros a partir de los 40 años, que registran reporte de Tamizaje de próstata combinado PSA y Tacto rectal en los ultimos 5 años</t>
  </si>
  <si>
    <t>población del denominador con:
* toma y resultado de PSA 
* toma y resultado tacto rectal: Resultado 4 ó 5
Resultado de tamizaje válido (excepto 998 - Riesgo no evaluado y 0 - No aplica) PSA
procedimientos realizados en los ultimos 5 años</t>
  </si>
  <si>
    <t xml:space="preserve">Población objeto
</t>
  </si>
  <si>
    <t>Resolución 202
*variable 73  Fecha Toma PSA
varible 109 Resultado PSA:  0.001 hasta 997
variables 64  Fecha Toma TR
variable 22 Resultado Tacto Rectal  4 ó 5</t>
  </si>
  <si>
    <t xml:space="preserve">Registró PSA y tacto rectal en los últimos 5 años
Edad al corte
PSA
Tacto Rectal </t>
  </si>
  <si>
    <t xml:space="preserve">Población actual al mes a evaluar activos y nuevos
Hombres entre 50 y 75 años, y población afro (variable etnia) de 40 a 49 años
</t>
  </si>
  <si>
    <t xml:space="preserve">
Usuarios con diagnostico de cancer de prostata
Hombres de 40 a 49 años que no tengan etnia AFRO</t>
  </si>
  <si>
    <t>De la cohorte general de prostata para el numerador se deben tener en cuenta los siguientes filtros:
1. Sexo: Masculino
2. Edad entre 50 y 75 años
3. Estado de afiliación: Activo
4. Tamizaje PSA vigente de los ultimos 5 años
5. Tamizaje Tacto Rectal vigente de los ultimos 5 años
Se deben excluir los pacientes con diagnostico de cáncer</t>
  </si>
  <si>
    <t xml:space="preserve">Para el denominador se debe descargar la base de poblacio´n actual nueva con los siguientes filtros:
1. Sexo:Masculino
2. Edad: Etre 50 y 75 años
3. Estado afiliación: Activo
</t>
  </si>
  <si>
    <t>12.13%</t>
  </si>
  <si>
    <t>17.41%</t>
  </si>
  <si>
    <t>15/12/2025: ajuste definición operacional, definición denominador, población denominador, exclusciones tipo de indicador, puntaje, meta, eyav // 18/12/2024 Se ajusta en definicion el denominador, se ajusta en población el denominador y se adiciona exlusion en denominador. //4/12/2024: Se cambia informativo, se cambia nombre del indicador, EYAV.</t>
  </si>
  <si>
    <t>RPYMS87X</t>
  </si>
  <si>
    <t>Cobertura de tamizaje para cancer de próstata con PSA</t>
  </si>
  <si>
    <t>Hombres de 50 a 75 años y afros a partir de los 40 años, que registran Tamizaje de próstata PSA según esquema (Últimos 5 años)</t>
  </si>
  <si>
    <t>PSA</t>
  </si>
  <si>
    <t>Número de hombres entre 50 y 75 años
Registro prueba de tamización DT de cáncer de próstata (PSA)
Últimos 5 años incluyendo mes evaluado
con Resultado de tamizaje válido (excepto 998 - Riesgo no evaluado y 0 - No aplica)
Edad calculada al corte y  la prueba: 50 a 75 años</t>
  </si>
  <si>
    <t xml:space="preserve">Total de hombres entre 50 y 75 años 
</t>
  </si>
  <si>
    <t>1- Res 202:  Variable 73
2- RIPS: PSA CUPS 906611 - 906610</t>
  </si>
  <si>
    <t>Registró PSA en los últimos 5 años
Edad al corte entre 50 - 75 años
PSA entre 50 - 75 años</t>
  </si>
  <si>
    <t xml:space="preserve">Población actual al mes a evaluar activos y nuevos
Hombres entre 50 y 75 años
</t>
  </si>
  <si>
    <t>De la cohorte general de prostata para el numerador se deben tener en cuenta los siguientes filtros:
1. Sexo: Masculino
2. Edad entre 50 y 75 años
3. Estado de afiliación: Activo
4.Fecha mas reciente de PSA de los ultimos 5 años
5. Vigencia: S
Se deben excluir los pacientes con diagnostico de cáncer</t>
  </si>
  <si>
    <t xml:space="preserve">Para el denominador se debe descargar la base de poblacion actual nueva con los siguientes filtros:
1. Sexo:Masculino
2. Edad: Etre 50 y 75 años
3. Estado afiliación: Activo
</t>
  </si>
  <si>
    <t>39.67%</t>
  </si>
  <si>
    <t>45.53%</t>
  </si>
  <si>
    <t>15/12/2025: Se ajusta nombre del indicador, eyav16/10/2025 Se incluye en la fuente del numerador el CUPS 906611 - 906610 PSA.  06/02/2025 Se elimina de la ficha técnica en el denominador, los 3 meses de afiliación a la EPS 4/12/2024: Se cambia meta, y se pasa a informativo, EYAV.</t>
  </si>
  <si>
    <t>RPYMS140X</t>
  </si>
  <si>
    <t>Cumplimiento en el tamizaje de PSA en el año</t>
  </si>
  <si>
    <t>Hombres de 50 a 75 años y afros a partir de los 40 años,  que registran Tamizaje de próstata PSA en el año</t>
  </si>
  <si>
    <t>Poblacion del denominador con:
Registro prueba de tamización DT de cáncer de próstata (PSA)
Año vigente
Resultado de tamizaje válido (excepto 998 - Riesgo no evaluado y 0 - No aplica)</t>
  </si>
  <si>
    <r>
      <t>Poblacion objeto
activos al mes evaluado, sin tamizaje de PSA en los últimos 5 años</t>
    </r>
    <r>
      <rPr>
        <strike/>
        <sz val="10"/>
        <color theme="1"/>
        <rFont val="Calibri Light"/>
        <family val="2"/>
        <scheme val="major"/>
      </rPr>
      <t xml:space="preserve">
</t>
    </r>
    <r>
      <rPr>
        <sz val="10"/>
        <color theme="1"/>
        <rFont val="Calibri Light"/>
        <family val="2"/>
        <scheme val="major"/>
      </rPr>
      <t>Dividido en 12 multiplicado por mes a evaluar</t>
    </r>
  </si>
  <si>
    <t>1-BASE DE DATOS DE AFILIACIONES (CIERRE MES)
2-Cohorte DT prótata
varible: Fecha mas reciente de PSA
Nota: Teniendo en cuenta que en el denominador no se incluyen usuarios con tamizaje vigente, éste se deberá cruzar con la cohorte DT próstata</t>
  </si>
  <si>
    <t>Que no tengan vigencia de tamizaje de PSA o la que la pierdan en el año vigente</t>
  </si>
  <si>
    <t xml:space="preserve">Población del denominador
Registró PSA en el año vigente
</t>
  </si>
  <si>
    <t>Población al mes a evaluar activos y nuevos
Hombres entre 50 y 75 años  y población afro (variable etnia) de 40 a 49 años
Dividido en 12 multiplicado por mes a evaluar</t>
  </si>
  <si>
    <t>Todo lo que cumpla en el numerador debe estar incluido en denominador
Tener en cuenta los tamizajes año vigente que cumplan con la frecuencia de uso, deben quedar inmersos en el denominador</t>
  </si>
  <si>
    <t>se debe realizar el tamizaje al 20% en un año para cumplir con la cobertura del tamizaje de 100%  en 5 años, se mantiene meta  de cumplimiento por linea de base de cobertura NEPS.</t>
  </si>
  <si>
    <t>Con la cohorte general de prostata se ideentifican los siguientes filtros:
Sexo: Masculino
Edad: Entre 50 y 75 años
Estado afiliación: Activos
Se valida la vigencia de la misma forma que en el denominador
PSA (vigencia de 5 años) por lo cual se toma todo 2025 hasta el 31 de diciembre como vigente, por lo cual para el filtro de vigencia se excluyen los años 2024,2023, 2022, 2021
Y se toman los tamizajes realizados en el 2025</t>
  </si>
  <si>
    <t>Para el denominador se toma la base de poblaciòn actual nueva, la cual se descarga con filtro de Edad entre 50 y 75 años, sexo masculino, activos. Se descuentan los usuarios que cuenten con tamizaje vigente, para PSA la vigencia es de 5 años (Se retiran los años 2024,2023,2022, 2021)
Con ese total se divide en 12 (meses) y se multiplica por el mes a evaluar (2 si es febrero)</t>
  </si>
  <si>
    <t>906610
906611</t>
  </si>
  <si>
    <t>22.05%</t>
  </si>
  <si>
    <t>15.33%</t>
  </si>
  <si>
    <t>15/12/2025: Ajuste del nombre del indicador, definición del numerador, población del denominador y puntaje // 16/10/2025 Se incluye en la fuente del numerador los CUPS 906610 PSA. 11/03/2025 Se ajusta la regla de exclusiones del denominador.  05/03/2025 Se ajusta nombre del indicador, definición operacional, definición del denominador, Fuentes para numerador y denominador, periodo del denominador, población numerador y exclusiones del denominador.  07/02/2025 Se ajusta definición del denominador y se incluyen exclusiones en el denominador. 06/02/2025 Se elimina de la ficha técnica en el denominador los 3 meses de afiliación a la EPS. 4/12/2024: Se cambia meta, se ajsuta puntaje.EYAV.</t>
  </si>
  <si>
    <t>RPYMS142X</t>
  </si>
  <si>
    <t>Cumplimiento en el tamizaje de tacto rectal en el año</t>
  </si>
  <si>
    <t>Hombres de 50 a 75 años y afros a partir de los 40 años, que registran Tamizaje de próstata tacto rectal en el año</t>
  </si>
  <si>
    <t>Tacto rectal</t>
  </si>
  <si>
    <t>Población del denominador con:
Registro prueba de tamización DT de cáncer de próstata (tacto Rectal)
año vigente</t>
  </si>
  <si>
    <t>Poblacion objeto
activos al mes evaluado, sin tamizaje de Tacto Rectal en los últimos 5 años
Dividido en 12 multiplicado por mes a evaluar</t>
  </si>
  <si>
    <t>1- Res 202:  Variable 64</t>
  </si>
  <si>
    <t>1-BASE DE DATOS DE AFILIACIONES (CIERRE MES)
2-Cohorte DT prótata
varible: Fecha mas reciente de tacto rectal
Nota: Teniendo en cuenta que en el denominador no se incluyen usuarios con tamizaje vigente, éste se deberá cruzar con la cohorte DT próstata</t>
  </si>
  <si>
    <t xml:space="preserve">
Que no tengan vigencia el tamizaje de tacto rectal o la que la pierdan en el año vigente</t>
  </si>
  <si>
    <t xml:space="preserve">Población del denominador
Registró Tacto Rectal año vigente
</t>
  </si>
  <si>
    <t xml:space="preserve">Población al mes a evaluar activos y nuevos
Hombres entre 50 y 75 años  y población afro (variable etnia) de 40 a 49 años
</t>
  </si>
  <si>
    <t>Que no tengan vigencia de tamizaje de tacto restal o la que la pierdan en el año vigente.</t>
  </si>
  <si>
    <t>Con la cohorte general de prostata se toma la variable
Sexo: Masculino
Edad:Entre 50 y 75 años
Estado afiliación: Activos
Teniendo en cuenta que se toman los que no tiene la vigencia activa, se toma la varible Fecha mas reciente de Tacto Rectal: Año vigente (enero y febrero)</t>
  </si>
  <si>
    <t>De la cohorte general de prostata se valida vigencia del tamizaje de tacto rectal, teniendo en cuenta la frecuencia de uso de tamziaje
TACTO RECTAL cada 5 años, por lo tanto se excluyen las fechas: 2024,2023,2022,2021, se toma como vigente todo 2025 hasta el 31 de dicembre 
Con ese ddato se divide en 12 (meses) y se multiplica por el mes a evaluar 2 (febrero)</t>
  </si>
  <si>
    <t>8.35%</t>
  </si>
  <si>
    <t>8.44%</t>
  </si>
  <si>
    <t>15/12/2025: se modifica: puntaje del indicador, denominador- numerador, meta, poblacion denominador y se deja observaciones del indicador.  // 11/03/2025 Se ajusta la regla de exclusiones del denominador.  05/03/2025 Se ajusta nombre del indicador, definición operacional, definición del denominador, Fuentes para numerador y denominador, periodo del denominador, población numerador y exclusiones del denominador.   06/02/2025 Se elimina de la ficha técnica en el denominador, los 3 meses de afiliación a la EPS 4/12/2024: Se cambia meta, EYAV.</t>
  </si>
  <si>
    <t>RPYMS500X</t>
  </si>
  <si>
    <r>
      <t xml:space="preserve">Proporción de hombres </t>
    </r>
    <r>
      <rPr>
        <sz val="10"/>
        <color rgb="FFFF0000"/>
        <rFont val="Calibri Light"/>
        <family val="2"/>
        <scheme val="major"/>
      </rPr>
      <t>tamizajdos</t>
    </r>
    <r>
      <rPr>
        <sz val="10"/>
        <color theme="1"/>
        <rFont val="Calibri Light"/>
        <family val="2"/>
        <scheme val="major"/>
      </rPr>
      <t xml:space="preserve"> con tacto rectal alterado y PSA alterado, que recibieron manejo medico</t>
    </r>
  </si>
  <si>
    <r>
      <t xml:space="preserve">Hombres con pruebas de tamizaje anormal </t>
    </r>
    <r>
      <rPr>
        <sz val="10"/>
        <color rgb="FFFF0000"/>
        <rFont val="Calibri Light"/>
        <family val="2"/>
        <scheme val="major"/>
      </rPr>
      <t>tomadas 12 meses atrás, sin incluir el mes evaluad</t>
    </r>
    <r>
      <rPr>
        <sz val="10"/>
        <color theme="1"/>
        <rFont val="Calibri Light"/>
        <family val="2"/>
        <scheme val="major"/>
      </rPr>
      <t>o, a quienes se les dio manejo medico</t>
    </r>
  </si>
  <si>
    <t>Manejo medico</t>
  </si>
  <si>
    <t>Población del denominador con pruebas de tamizaje anormal, que recibieron manejo medico con alguna de las siguientes opciones:
Valoración por urologia, o ecografia, o biopsia; posterior al resultado de la prueba</t>
  </si>
  <si>
    <t>Total hombres con pruebas de tamizaje anormal (PSA y Tacto Rectal)
* Periodo: 12 meses atrás incluyendo el mes evaluado y sin tomar los último mes (a la tamización mas reciente):
* PSA y TACTO RECTAL mas reciente 
* Prueba Tamizaje tacto rectal (variable 22)= 4
* Resultado Tamizaje (variable 109):  Los rangos de anormalidad del antígeno prostático acorde con la edad (edad a la fecha de tamizaje) según Osterling y colaboradores son:
40 a 49 años (&gt;2,5 ng/ml)
50 a 59 años (&gt;3,5 ng/ml)
60 a 69 años (&gt;4,5 ng/ml) 
70 a 75 años (&gt;6,5 ng/ml).</t>
  </si>
  <si>
    <t xml:space="preserve">1- RIPS AP:
CUPS 890294 - 890394 (Urologia)
CUPS 881502 (Ecografía transrectal) 881362 (Ecografía de Prostata transabdominal)
CUPS 601101 - 601102 - 601103 - 601104 - 601201 - 601301 - 601501 - 601502  (Biopsia)
2- Modulo de Gestión próstata:
Manejo y direccionamiento: Fecha conducta (válida) y Conducta (cualquier opción)
</t>
  </si>
  <si>
    <t>1- Res 202: 
* Tacto rectal: Variable 64 "fecha válida" y Variable 22  "Resultado: 4 -Próstata anormal"
* PSA: Variable 73 "Fecha" y Variable 109 - "Resultado de PSA": Los rangos de anormalidad del antígeno prostático acorde con la edad según Osterling y colaboradores son: de 40 a 49 años (&gt; o = 2,5 ng/ml), de 50 a 59 años (&gt;o =3,5 ng/ml), de 60 a 69 años (&gt;o =4,5 ng/ml) y de 70 a 75 años (&gt;o =6,5 ng/ml).</t>
  </si>
  <si>
    <t>Pruebas de tamizaje alterado tomadas 12 meses atrás incluyendo mes evaluado</t>
  </si>
  <si>
    <t>Pruebas de tamizaje alterado tomadas 12 mesese atrás, sin incluir el mes evaluado</t>
  </si>
  <si>
    <t>Población del denominador con alguno de los manejos medicos definidos</t>
  </si>
  <si>
    <t>Afiliados activos
Hombres con pruebas de tamizaje anormal</t>
  </si>
  <si>
    <t>De la cohorte general de Próstata con el filtro del denominador, se identifica la variable
Fecha mas reciente  de Valoración por Urologia: Se toma fecha valida, que sea posterior al tamizaje</t>
  </si>
  <si>
    <t>De la cohorte general de Próstata se toman las variables
Fecha mas reciente de PSA: 12 meses atrás sin incluir el mes a evaluar 2024 y 2025
Clasificación de Resultado de PSA: Positivo
Fecha mas reciente de Tacto Rectal: 12 meses atrás sin incluir el mes a evaluar 2024 y 2025
Resultado mas reciente de Tacto Rectal: 4 (positivo)</t>
  </si>
  <si>
    <t>36.59%</t>
  </si>
  <si>
    <t>RPYMS143X</t>
  </si>
  <si>
    <t>Oportunidad entre el tamizaje y el reporte de biopsia para DT cáncer de prostata en los ultimos 12 meses</t>
  </si>
  <si>
    <t>Proporción de hombres que cumplen con la oportunidad de 30 días o menos entre la toma de la Prueba de tamización y el reporte de la Biopsia de Próstata; en los ultimos 12 meses</t>
  </si>
  <si>
    <t xml:space="preserve">usuarios que tienen toma de biopsia de prostata (cualquier resultado) y que tengan menos de 30 dias entre la prueba tamiz y el resultado biopsia.
Para el cálculo tomar la fecha del resultado de la biopsia de próstata (resta) fecha de tamización, el resultado se promedia en días el cual debe ser menor a 30 días.
Regla: La fecha de resultado de la biopsia debe ser posterior a la fecha de la toma de la biopsia
</t>
  </si>
  <si>
    <t>Total de usuarios que tienen toma de biopsia de prostata (cualquier resultado)
Biopsia posterior a la fecha de tamizaje
Ultimos 12 meses sin incluir el mes evaluado</t>
  </si>
  <si>
    <t>Para prueba de tamizaje
2 - Modulo de gestión- variable
Fecha toma biopsia de próstata
Fecha de resultado de biopsia próstata
3 Res 202
variable 64 "Fecha válidad Tacto rectal"
variable 73 "Fecha toma válida PSA"
 y 109 "Resultado "</t>
  </si>
  <si>
    <t xml:space="preserve">Para toma de la biopsia se puede obtener de:
2- RIPS 601101  BIOPSIA CERRADA (PERCUTÁNEA) (AGUJA) DE PRÓSTATA POR ABORDAJE TRANSRECTAL.
3- Modulo de gestión- variable: Fecha toma biopsia de próstata </t>
  </si>
  <si>
    <t>12 meses atrás  sin incluir el mes a evaluar</t>
  </si>
  <si>
    <t xml:space="preserve">12 meses atrás, sin incluir el mes a evaluar </t>
  </si>
  <si>
    <t>población del denominador con registro de reporte de biopsia 30 días o menos desde la prueba de tamizaje</t>
  </si>
  <si>
    <t>Afiliados activos hombres con reporte de Biopsia Próstata (cualquier resultado)</t>
  </si>
  <si>
    <t>De la cohorte general de Próstata con el filtro del denominador, se tiene en cuenta la variable:
Fecha de entrega de resultado de Biopsia de Prostata
Para el cálculo tomar la fecha del resultado de la biopsia de próstata (resta) fecha de tamización, el resultado se promedia en días y se toma entre 1 y 30</t>
  </si>
  <si>
    <t>De la cohorte general de Próstata se toman las variables:
Edad:Entre 50 y 75 años
Fecha toma Biopsia de Prostata: Ultimos 12 meses sin tomar el mes a evaluar febrero 2024 y febrero 2025
Con cualquier resultado, que tengan fecha valida, posterior al tamizaje</t>
  </si>
  <si>
    <t>0.16%</t>
  </si>
  <si>
    <t>2.89%</t>
  </si>
  <si>
    <t>15/12/2025 se modifica poblacion del denominador (deja de medir sobre edades y se concentra en hombres con tamizaje alterado) y meta de especiales.jxar  //11/03/2025 Se ajusta regla en la definición del numerador y en periodo se corrige el numerador.  05/03/2025 Se ajusta nombre del indicador, definición operativa, clasificación de medición, definición de variables del numerador y denominador, Fuente del nomerador y denominador, Periodo del denominador, Población del numerador y denominador, se elimina la observación del indicador y se ajusta la meta en General y Especial esto último avalado por la jefe Elsa.  09/12/2024 Se ajusta que la fecha de la biopsia sea posterior a la fecha del tamizaje 
Se incluyen exclusiones en el denominador</t>
  </si>
  <si>
    <t>RPYMS501X</t>
  </si>
  <si>
    <r>
      <t xml:space="preserve">Oportunidad entre el tamizaje y el reporte de biopsia para DT cáncer de prostata </t>
    </r>
    <r>
      <rPr>
        <sz val="10"/>
        <color rgb="FFFF0000"/>
        <rFont val="Calibri Light"/>
        <family val="2"/>
      </rPr>
      <t>en cualquier momento de la vida</t>
    </r>
  </si>
  <si>
    <t>Proporción de hombres que cumplen con la oportunidad de 30 días entre la toma de la Prueba de tamización y el reporte de la Biopsia de Próstata, en cualquier momento de la vida</t>
  </si>
  <si>
    <r>
      <rPr>
        <sz val="10"/>
        <color rgb="FF000000"/>
        <rFont val="Calibri Light"/>
        <family val="2"/>
      </rPr>
      <t xml:space="preserve">Usuarios que tienen toma de biopsia de prostata (cualquier resultado) y que </t>
    </r>
    <r>
      <rPr>
        <sz val="10"/>
        <color rgb="FFFF0000"/>
        <rFont val="Calibri Light"/>
        <family val="2"/>
      </rPr>
      <t xml:space="preserve">tengan entre 0 y </t>
    </r>
    <r>
      <rPr>
        <sz val="10"/>
        <color rgb="FF000000"/>
        <rFont val="Calibri Light"/>
        <family val="2"/>
      </rPr>
      <t xml:space="preserve"> 30 dias entre la prueba tamiz</t>
    </r>
    <r>
      <rPr>
        <sz val="10"/>
        <color rgb="FFFF0000"/>
        <rFont val="Calibri Light"/>
        <family val="2"/>
      </rPr>
      <t xml:space="preserve"> (PSA o Tacto rectal)</t>
    </r>
    <r>
      <rPr>
        <sz val="10"/>
        <color rgb="FF000000"/>
        <rFont val="Calibri Light"/>
        <family val="2"/>
      </rPr>
      <t xml:space="preserve"> y el resultado biopsia.
</t>
    </r>
  </si>
  <si>
    <r>
      <rPr>
        <sz val="10"/>
        <color rgb="FF000000"/>
        <rFont val="Calibri Light"/>
        <family val="2"/>
        <scheme val="major"/>
      </rPr>
      <t>Total de usuarios que tienen toma de biopsia de prostata (cualquier resultado)</t>
    </r>
    <r>
      <rPr>
        <sz val="10"/>
        <color rgb="FFFF0000"/>
        <rFont val="Calibri Light"/>
        <family val="2"/>
        <scheme val="major"/>
      </rPr>
      <t xml:space="preserve"> que tenga fecha valida posterior al tamizaje (PSA o Tacto rectal)</t>
    </r>
  </si>
  <si>
    <t xml:space="preserve">Para prueba de tamizaje
1- CAC
2 - Modulo de gestión
3 Res 202
variable 73 y 109 </t>
  </si>
  <si>
    <t>Para toma de la biopsia se puede obtener de:
1- Modulo de gestión:
variable: Fecha resultado biopsia próstata
variable: Resultado de biopsia opciones:
2- Adicionales
Nombre de la actividad: Biopsia de próstata
Resultado de biopsia opciones</t>
  </si>
  <si>
    <t>Poblacion del denominador
población con registro de reporte de biopsia 30 días o menos desde la prueba de tamización</t>
  </si>
  <si>
    <t>población con reporte de Biopsia Próstata (cualquier resultado)</t>
  </si>
  <si>
    <t>Se ajusta indicador a Informativo - es remplazado por indicador RPYMS388X</t>
  </si>
  <si>
    <t>Para el numerador, de la cohorte general de prostata con el filtro del denominador, se identifican las siguientes variables:
1. Fecha mas reciente de PSA
Se mide la diferencia en días entre la realización de la biopsia de prostata y el tamizaje, que debe estar entre 1 y 30 días</t>
  </si>
  <si>
    <t>Para el denominador, de la cohorte general de prostata identificar el siguiente filtro:
1. Fecha toma Biopsia de Prostata: Toda la vida, que tenga fecha valida posterior al tamizaje</t>
  </si>
  <si>
    <t>RPYMS502X</t>
  </si>
  <si>
    <r>
      <t xml:space="preserve">Proporción de hombres que cumplen la oportunidad en la confirmación diagnostica para DT cáncer de prostata </t>
    </r>
    <r>
      <rPr>
        <sz val="10"/>
        <color rgb="FFFF0000"/>
        <rFont val="Calibri Light"/>
        <family val="2"/>
        <scheme val="major"/>
      </rPr>
      <t>en cualquier momento de la vida</t>
    </r>
  </si>
  <si>
    <t>Proporción de hombres con tamizaje alterado para cancer de prostata (cualquiera tamizaje), y que les fue realizada la biopsia antes del dia 30 desde la fecha de toma del tamizaje cuyo resultado tambien fue positivo</t>
  </si>
  <si>
    <r>
      <rPr>
        <sz val="10"/>
        <color rgb="FF000000"/>
        <rFont val="Calibri Light"/>
        <family val="2"/>
      </rPr>
      <t>Total de usuarios que tienen toma de biopsia de prostata (POSITIVA PARA CANCER)</t>
    </r>
    <r>
      <rPr>
        <sz val="10"/>
        <color rgb="FFFF0000"/>
        <rFont val="Calibri Light"/>
        <family val="2"/>
      </rPr>
      <t xml:space="preserve"> y que tenga entre 0 y  30 dias</t>
    </r>
    <r>
      <rPr>
        <sz val="10"/>
        <color rgb="FF000000"/>
        <rFont val="Calibri Light"/>
        <family val="2"/>
      </rPr>
      <t xml:space="preserve"> entre la prueba tamiz</t>
    </r>
    <r>
      <rPr>
        <sz val="10"/>
        <color rgb="FFFF0000"/>
        <rFont val="Calibri Light"/>
        <family val="2"/>
      </rPr>
      <t xml:space="preserve"> (PSA o Tacto rectal)</t>
    </r>
    <r>
      <rPr>
        <sz val="10"/>
        <color rgb="FF000000"/>
        <rFont val="Calibri Light"/>
        <family val="2"/>
      </rPr>
      <t xml:space="preserve"> y el resultado biopsia.
</t>
    </r>
  </si>
  <si>
    <r>
      <rPr>
        <sz val="10"/>
        <color rgb="FF000000"/>
        <rFont val="Calibri Light"/>
        <family val="2"/>
      </rPr>
      <t xml:space="preserve">Total de usuarios que tienen toma de biopsia de próstata (POSITIVA para CANCER)  </t>
    </r>
    <r>
      <rPr>
        <sz val="10"/>
        <color rgb="FFFF0000"/>
        <rFont val="Calibri Light"/>
        <family val="2"/>
      </rPr>
      <t>con tenga fecha valida posterior al tamizaje (PSA o Tacto rectal)</t>
    </r>
  </si>
  <si>
    <t>Biopsia Positiva
1- Modulo de gestión:
variable: Fecha válida resultado biopsia próstata
variable: Resultado de biopsia opciones:
   *Grado 3: Predominan Glándulas mal formadas  
   *Grado 4 -  Únicamente Glándulas mal formadas o mezcla con componente sin glándulas
2- Adicionales
Nombre de la actividad: Biopsia de próstata
Fecha válida
Resultado de biopsia opciones:
   *Grado 3: Predominan Glándulas mal formadas  
   *Grado 4 -  Únicamente Glándulas mal formadas o mezcla con componente sin glándulas
Para prueba de tamizaje
3- Res 202
variable 73 y 109  (fecha y resultado PSA)
variable 64 y 22  (fecha y resultado Tacto Rectal)</t>
  </si>
  <si>
    <r>
      <rPr>
        <sz val="10"/>
        <color rgb="FF000000"/>
        <rFont val="Calibri Light"/>
        <family val="2"/>
      </rPr>
      <t xml:space="preserve">Para toma de la biopsia se puede obtener de:
1- Modulo de gestión:
variable: Fecha resultado biopsia </t>
    </r>
    <r>
      <rPr>
        <sz val="10"/>
        <color rgb="FFFF0000"/>
        <rFont val="Calibri Light"/>
        <family val="2"/>
      </rPr>
      <t xml:space="preserve">próstata
variable: Resultado de biopsia opciones:
   *Grado 3: Predominan Glándulas mal formadas  
   *Grado 4 -  Únicamente Glándulas mal formadas o mezcla con componente sin glándulas
2- Adicionales
Nombre de la actividad: Biopsia de próstata
</t>
    </r>
    <r>
      <rPr>
        <sz val="10"/>
        <color rgb="FF000000"/>
        <rFont val="Calibri Light"/>
        <family val="2"/>
      </rPr>
      <t>Resultado de biopsia opciones:
   *Grado 3: Predominan Glándulas mal formadas  
   *Grado 4 -  Únicamente Glándulas mal formadas o mezcla con componente sin glándulas</t>
    </r>
  </si>
  <si>
    <t>Poblacion del denominador
Registro de reporte de biopsia 30 días o menos desde la prueba de tamización mas reciente</t>
  </si>
  <si>
    <t>población con reporte de Biopsia próstata positiva</t>
  </si>
  <si>
    <t>Para el numerador, de la cohorte general de prostata con el filtro del denominador, se identifican las siguientes variables:
1. Fecha mas reciente de PSA
2. Resultado de Biopsia Prostata: Positiva
Se mide la diferencia en días entre la realización de la biopsia de prostata y el tamizaje, que debe estar entre 1 y 30 días</t>
  </si>
  <si>
    <t>Para el denominador, de la cohorte general de prostata identificar el siguiente filtro:
1. Fecha toma Biopsia de Prostata: Toda la vida, que tenga fecha valida posterior al tamizaje
2. Resultado de Biopsia Prostata: Positiva</t>
  </si>
  <si>
    <t>RPYMS144X</t>
  </si>
  <si>
    <t>Proporción de usuarios con Cáncer de próstata con reporte de prueba Tamiz Previa en los ultimos 5 años</t>
  </si>
  <si>
    <t>ulitmos 5 años al mes evaluado</t>
  </si>
  <si>
    <t>Para el numerador, se debe cruzar la población de la cohorte de alto impacto, con la cohorte general de prostata, para identificar que pacientes tenian tamizaje previo al diagnostico
1. Fecha mas reciente de PSA: Toda la vida</t>
  </si>
  <si>
    <t>Para el denominador, se debe tomar como fuente la base de alto impacto, los pacientes con Diagnostico de cancer de prostata: Año vigente</t>
  </si>
  <si>
    <t>RPYMS145X</t>
  </si>
  <si>
    <t>Con la cohorte de alto impacto con el filtro del denominador, identificar la variable:
1. Primera estadificación: in situ o temprano</t>
  </si>
  <si>
    <t>RPYMS203X</t>
  </si>
  <si>
    <t>Oportunidad en dias para el reporte de la biopsia colorrectal con relacion a la toma del mismo</t>
  </si>
  <si>
    <t>Proporción de personas con oportunidad de 15 días o menos, entre la toma y el reporte de la Biopsia colon y recto</t>
  </si>
  <si>
    <t>población del denominador con registro de fecha de toma de biopsia de colón y recto y que el resultado sea menor o igual a 15 días, 
Diferencia con la fecha de reporte de biopsia. (Fecha de reporte- fecha de toma)</t>
  </si>
  <si>
    <t>Hombres y mujeres de 50 a 75 años con registro de fecha de toma de biopsia de Colon y recto
ultimos 12 meses sin incluir el mes evaluado 
Toma de biopsia posterior o igual a fecha de afiliación</t>
  </si>
  <si>
    <t xml:space="preserve">1. Modulo variables
Fecha toma biopsia y fecha resultado de biopsia
</t>
  </si>
  <si>
    <r>
      <t xml:space="preserve">Para toma de la biopsia se puede obtener de:
</t>
    </r>
    <r>
      <rPr>
        <b/>
        <sz val="10"/>
        <color theme="1"/>
        <rFont val="Calibri Light"/>
        <family val="2"/>
        <scheme val="major"/>
      </rPr>
      <t xml:space="preserve">2- </t>
    </r>
    <r>
      <rPr>
        <sz val="10"/>
        <color theme="1"/>
        <rFont val="Calibri Light"/>
        <family val="2"/>
        <scheme val="major"/>
      </rPr>
      <t>RIPS: CUPS: 452601-452602 , 452502)
3- Modulo de gestión: variable pestaña biopsia: Fecha resultado biopsia colon</t>
    </r>
  </si>
  <si>
    <t xml:space="preserve">12 meses atrás sin incluir el mes evaluado </t>
  </si>
  <si>
    <t>Población del denominador que tiene toma de biopsia colorrectal, y cuyo resultado fue emitido con fecha valida menor a 15 días desde la toma</t>
  </si>
  <si>
    <r>
      <t xml:space="preserve">Hombres y mujeres de 50 a 75 años activos y nuevos </t>
    </r>
    <r>
      <rPr>
        <strike/>
        <sz val="10"/>
        <color theme="1"/>
        <rFont val="Calibri Light"/>
        <family val="2"/>
        <scheme val="major"/>
      </rPr>
      <t xml:space="preserve"> </t>
    </r>
    <r>
      <rPr>
        <sz val="10"/>
        <color theme="1"/>
        <rFont val="Calibri Light"/>
        <family val="2"/>
        <scheme val="major"/>
      </rPr>
      <t>que tiene toma de biopsia colorrectal</t>
    </r>
  </si>
  <si>
    <t>1.. se debe hacer una columna con la resta entre la fecha de la toma de la biopsia y le fecha del resultado de la biopsia
2. se debe filtrar los usuarios que el resultado de la resta sean menor o igual a 15 dias se debe excluir los 0 ese filtro se realiza en la variable que se crea para hallar la diferencia</t>
  </si>
  <si>
    <t xml:space="preserve">1. se debe filtrar la variable fecha de toma de biopsia y se debe seleccionar las fechas de los ultimos 12 meses, no se toma el ultimo mes
2. Se debe filtrar la variable edad y se deben tomar hombres de 50 a 75 años
3. se debe agregar una columna donde se valide que la fecha de la biopsia sea posterior o igual a la fecha de afiliación
</t>
  </si>
  <si>
    <t>49%</t>
  </si>
  <si>
    <t>41.9%</t>
  </si>
  <si>
    <t>15/12/2025 Se ajusta nombre de indicador. //05/03/2025 Se ajusta clasificación de medición, ajuste en definición de varaibles numerador y denominador, fuente numerador y denominador, periodo del denominador, población numerador y denominador y la meta de población especial.  4/12/2024 Se ajusta Definición operación operacional, nombre del indicador y definición de variables de numerador y denominador</t>
  </si>
  <si>
    <t>RPYMS491X</t>
  </si>
  <si>
    <t>Oportunidad en dias para la entrega de resultado de biopsia con relacion a la prueba de tamizaje</t>
  </si>
  <si>
    <t xml:space="preserve">Proporcion de personas con toma de biopsia colorrectal (cualquier resultado) que tienen menos de 45 dias entre la prueba tamiz y el resultado de la biopsia.
</t>
  </si>
  <si>
    <t xml:space="preserve">Total de personas que tienen toma de biopsia de colorrectal (cualquier resultado) y que tengan menos de 45 dias entre la prueba tamiz y el resultado biopsia.
</t>
  </si>
  <si>
    <t>Total de personas que tienen toma de biopsia colorrectal (cualquier resultado)</t>
  </si>
  <si>
    <t xml:space="preserve">Para prueba de tamizaje
1- CAC
2 - Modulo de gestión
3 - datos adicionales
4- Resolución 202:
     * Variable 66 "colonoscopia" - fecha valida
     * Variable 67 
Fecha mas reciente (anterior a Biopsia)
</t>
  </si>
  <si>
    <r>
      <t xml:space="preserve">Para toma de la biopsia se puede obtener de:
1- CAC
</t>
    </r>
    <r>
      <rPr>
        <b/>
        <sz val="10"/>
        <color theme="1"/>
        <rFont val="Calibri Light"/>
        <family val="2"/>
        <scheme val="major"/>
      </rPr>
      <t>2- RIPS: CUPS:  OBSERVACION CODIGO INACTIVO: 452501 BIOPSIA DE INTESTINO GRUESO VÍA ENDOSCÓPICA ( SE REEMPLAZA, 452601-452602 , 452502)</t>
    </r>
    <r>
      <rPr>
        <sz val="10"/>
        <color theme="1"/>
        <rFont val="Calibri Light"/>
        <family val="2"/>
        <scheme val="major"/>
      </rPr>
      <t xml:space="preserve">
3- Modulo de gestión: variable pestaña biopsia: Fecha resultado biopsia colon</t>
    </r>
  </si>
  <si>
    <t>población con registro de reporte de biopsia 45 días o menos desde la prueba de tamización mas reciente</t>
  </si>
  <si>
    <t>población con reporte de Biopsia colon y recto</t>
  </si>
  <si>
    <t xml:space="preserve">Para hallar el numerador se debe tomar de la base de la cohorte del DT colorrectal las usuarias del denominador y realizar una resta entre las variables fecha de toma de biopsia menos la fecha del tamizaje que este sea el mas reciente y se toman las que tengan de 0 a 45 dias </t>
  </si>
  <si>
    <t>Para Hallar el denominador se debe tomar de la base de la cohorte del DT Colorrectal y se debe tomar de la variable fecha de toma de biopsia fecha valida con cualquier resultado valido en la variable resultado de biopsia de colon y recto</t>
  </si>
  <si>
    <t>47.67%</t>
  </si>
  <si>
    <t>15/12/2025 Se ajusta nombre del indicador, definición operacional /Claudia - meta /EYAV. 05/12/2024: Indicador nuevo, derivado del 137X. EYAV</t>
  </si>
  <si>
    <t>RPYMS492X</t>
  </si>
  <si>
    <t>Proporción de personas con tamizaje alterado para cancer colorrectal (cualquiera de las tamizaciones), y que les fue realizada la biopsia antes del dia 45 desde la fecha de toma del tamizaje; cuyo resultado tambien fue positivo</t>
  </si>
  <si>
    <t xml:space="preserve">Total de usuarias que tienen toma de biopsia de colorrectal (POSITIVA PARA CANCER) y que tengan menos de 45 dias entre la prueba tamiz y el resultado biopsia.
</t>
  </si>
  <si>
    <t>Total de usuarios que tienen toma de biopsia de colorrectal (POSITIVA PARA CANCER)</t>
  </si>
  <si>
    <r>
      <t xml:space="preserve">Para toma de la biopsia se puede obtener de:
1- CAC
</t>
    </r>
    <r>
      <rPr>
        <b/>
        <sz val="10"/>
        <color rgb="FFFF0000"/>
        <rFont val="Calibri Light"/>
        <family val="2"/>
        <scheme val="major"/>
      </rPr>
      <t>2- RIPS: CUPS:  OBSERVACION CODIGO INACTIVO: 452501 BIOPSIA DE INTESTINO GRUESO VÍA ENDOSCÓPICA ( SE REEMPLAZA, 452601-452602 , 452502)</t>
    </r>
    <r>
      <rPr>
        <sz val="10"/>
        <color rgb="FFFF0000"/>
        <rFont val="Calibri Light"/>
        <family val="2"/>
        <scheme val="major"/>
      </rPr>
      <t xml:space="preserve">
3- Modulo de gestión: variable pestaña biopsia: Fecha resultado biopsia colon</t>
    </r>
  </si>
  <si>
    <t>población con reporte de Biopsia colon y recto positiva</t>
  </si>
  <si>
    <t xml:space="preserve">Para hallar el numerador se debe tomar de la base de la cohorte del DT colorrectal con las usuarias del denominador se realizar una resta entre las variables fecha de toma de biopsia 12 meses a tras incluyendo el mes a evaluar, menos la fecha del tamizaje que este sea el mas reciente y se toman las que tengan de 0 a 45 dias </t>
  </si>
  <si>
    <t>Para Hallar el denominador se debe tomar de la base de la cohorte del DT Colorrectal y se debe tomar de la variable fecha de toma de biopsia fecha valida  que sea 12 meses a tras y no se toman los dos ultimos meses y la variable resultado de biopsia de colon y recto positiva para cancer</t>
  </si>
  <si>
    <t>15/12/2025: se ajusta nombre del indicador, eyav // 05/12/2024: Se modifica nombre del indicador, se pasa a cumplimiento y definiciones de variables. EYAV</t>
  </si>
  <si>
    <t>RPYMS138X</t>
  </si>
  <si>
    <t>Proporción de usuarias con Cáncer Colorrectal con reporte de prueba Tamiz Previa</t>
  </si>
  <si>
    <t>Para hallar el numerador se debe tomar de la base de alto impacto de las usuarias del denominador aquellas con estadios insitu o temprano y que al cruzarlas con el Dt Colorrectal tengan fecha de tamizaje anterior a la fecha de la confirmación diagnostica, se debe desmarcar en la variable motivo de egreso los descartados y fallecidos</t>
  </si>
  <si>
    <t>Para hallar el denominador se debe tomar la base de alto impacto de cancer colorrectal se debe validar que en la variable estadio sea insitu que es el 0 Temprano que es del 1 al 13 y avanzado que es de 14 al 30, se debe validar que la fecha del diagnostico confirmado sea del año vigente, por ultimo de la variable motivo de egreso se debe desmarcar los usuarios fallecidos o descartados
Para el denominador se debe hacer un cruce entre con la fecha del diagnostico confirmado y la fecha de afiliación para quitar los que no lleven mas de 3 meses afiliados a la aseguradora</t>
  </si>
  <si>
    <t>RPYMS52X</t>
  </si>
  <si>
    <t>Cobertura de personas con atención integral de la ruta de PYMS, de acuerdo al esquema definido</t>
  </si>
  <si>
    <t>Personas que cumplen con la totalidad de las atenciones definidas en el curso de vida en el que se encuentra de la Ruta PYMS</t>
  </si>
  <si>
    <t>Cursos vida</t>
  </si>
  <si>
    <t>Atención integral</t>
  </si>
  <si>
    <t>Número de personas que recibe la totalidad de las atenciones definidas en el esquema del curso de vida en que se encuentra, de la ruta de promoción y mantenimiento de la salud</t>
  </si>
  <si>
    <t>Total de la población por cada curso de vida</t>
  </si>
  <si>
    <t xml:space="preserve">1- RIPS
2 - Res202
3- Formato datos adicionales
4- Módulos de gestión: Vacunación, Mama, Cérvix
</t>
  </si>
  <si>
    <t xml:space="preserve">
Afiliados con atenciones de acuerdo a esquemas definidos por momento de curso de vida</t>
  </si>
  <si>
    <t>Población actual al mes a evaluar activos y nuevos 
Total de población afiliada</t>
  </si>
  <si>
    <t>Para esta evaluación se deben tomar en el numerador las atenciones de acuerdo a la edad del usuario y las actividades del momento del curso de vida, así:
- Primera Infancia: 
* Atención en salud por medicina general o especialista en pediatría o medicina familiar: 6 veces en el momento (1 m, 4-5m, 12-18m, 24-29m, 3a, 5 a) (lo pondría por lo menos una vez en el momento)
* Atención en salud por profesional de enfermería: 6 veces en el momento (2-3m, 6-8m, 9-11m, 18-23m, 30-35m, 4a) (lo pondría por lo menos una vez en el momento)
* Atención en salud buscar por odontología: 1 vez cada año a partir de los 6 meses (lo pondría por lo menos una vez en el momento, se tiene en cuenta una vez en la vida mientras la progresividad de la implementación de esta actividad por la Resolución 276)
* Atención por profesional de enfermería, medicina general o nutrición para la promoción y apoyo de la lactancia materna: al primer mes (no se incluiría por el momento dado que no se tendría fuente para tomar el dato)
* Aplicación de barniz de flúor: 2 veces al año a partir del año de edad
* Remoción de Placa bacteriana: 2 veces al año a partir del año de edad
* Vacunación: Esquema completo de acuerdo a la edad 
* Fortificación casera con micronutrientes en polvo: 3 veces durante el momento: 6-8 m, 12-18m, 18-23 m (una vez durante esos momentos)
* Suplementación con micronutrientes: 2 veces al año a partir de los 2 años de edad
* U13Desparasitación intestinal: 2 veces al año a partir del año de edad
- Infancia: 
* Atención en salud por medicina general o especialista en pediatría o medicina familiar: 3 veces en el momento 6,8 y 10 años
* Atención en salud por profesional de enfermería: 3 veces en el momento 7,9,y 11 años
* Atención en salud buscar por odontología: 1 vez cada año (lo pondría por lo menos una vez en el momento, se tiene en cuenta una vez en la vida mientras la progresividad de la implementación de esta actividad por la Resolución 276)
* Tamizaje para anemia, hemoglobina y hematocrito: 1 vez entre los 10 y 13 años
* Aplicación de barniz de flúor: 2 veces al año
* Remoción de Placa bacteriana: 2 veces al año 
* Vacunación: por lo menos una aplicación de VPH, y Tétano en solo mujeres
- Adolescencia:
* Atención en salud por medicina general o medicina familiar: 3 veces en el momento: 12, 14 y 16 años
* Atención en salud por profesional de enfermería: 3 veces en el momento 13, 15 y 17 años
* Atención en salud bucal por odontología: 1 vez cada año (lo pondría por lo menos una vez en el momento, se tiene en cuenta una vez en la vida mientras la progresividad de la implementación de esta actividad por la Resolución 276)
* Tamizaje para anemia hemoglobina y hematocrito: 1 vez entre 14 y 17 años
* Aplicación de barniz de flúor: 2 veces al año
* Remoción de Placa bacteriana: 2 veces al año
* Vacunación: por lo menos una aplicación de VPH, y Tétano en solo mujeres
- Juventud:
* Atención en salud por medicina general o medicina familiar: 2 veces en el momento, una vez entre 18 - 23 y una vez 24 - 28
* Atención en salud bucal por odontología: una vez cada 2 años (lo pondría por lo menos una vez en el momento, se tiene en cuenta una vez en la vida mientras la progresividad de la implementación de esta actividad por la Resolución 276)
* Remoción de placa bacteriana: 1 vez cada año
* Vacunación: por lo menos una aplicación de tétano en mujeres durante el momento 
- Adultez:
* Atención en salud por medicina general o medicina familiar: 7 veces en el momento: entre 29 y 34, 35 y 39, 40 y 44, 45 y 49, 50 y 52, 53 y 55, 56 y 59
* Atención en salud bucal por profesional de odontología: una vez cada dos años (lo pondría por lo menos una vez en el momento, se tiene en cuenta una vez en la vida mientras la progresividad de la implementación de esta actividad por la Resolución 276)
* Tamizaje de riesgo cardiovascular y metabólico: glicemia basal, perfil lipídico, creatinina y uroanálisis 1 vez 
- Vejez:
* Atención en salud por medicina general o medicina familiar: por lo menos una vez cada 3 años 
* Atención en salud bucal por profesional de odontología: una vez cada dos años (lo pondría por lo menos una vez en el momento, se tiene en cuenta una vez en la vida mientras la progresividad de la implementación de esta actividad por la Resolución 276)
* Tamizaje de riesgo cardiovascular y metabólico: glicemia basal, perfil lipídico, creatinina y uroanálisis 1 vez
* Remoción de placa bacteriana: 1 vez cada dos años</t>
  </si>
  <si>
    <t>Todas</t>
  </si>
  <si>
    <t>3.07%</t>
  </si>
  <si>
    <t>3.43%</t>
  </si>
  <si>
    <t>12/12/2025 Sin modificación 12/02/2025 Se actualiza programa o estrategia. 9/12/2024: Se ajusta nombre del indicador y definición operacional, EYAV</t>
  </si>
  <si>
    <t>RPYMS52aX</t>
  </si>
  <si>
    <t>Cobertura de personas con Valoración Integral de la RPYMS de acuerdo al esquema definido</t>
  </si>
  <si>
    <t>Personas que cumplen con al menos (1) una de las valoraciones integrales, (por profesional en salud de medicina o enfermería ), definidas en el curso de vida en el que se encuentra</t>
  </si>
  <si>
    <t>Numero de personas por cada curso de vida, que registra al menos una atención por profesional en salud de medicina o enfermería en el curso de vida en que se encuentra</t>
  </si>
  <si>
    <t>Primera Infancia - Infancia
- Medicina General, Medicina Familiar o Pediatría:
*RIPS: CUPS más la finalidad 4 o (Res 2275 - CUPS con finalidad 11) o CUPS más CIE-10: Z001
89.0.2.01 (consulta de primera vez por medicina general)
89.0.3.01 (Consulta de control o seguimiento por medicina general)
89.0.2.83 (consulta de primera vez por especialista en pediatría)
89.0.3.83 (Consulta de control o seguimiento por especialista en pediatría)
89.0.2.63 (consulta de primera vez por especialista en medicina familiar)
89.0.3.63 (Consulta de control o seguimiento por especialista en medicina familiar)
- Enfermería:
*RIPS: CUPS 
89.0.2.05 (Consulta de primera vez por enfermería)
89.0.3.05 (Consulta de control o de seguimiento por enfermería)
Adolescencia:
- Medicina General o Medicina Familiar:
*RIPS: CUPS más finalidad 5 o (Res 2275 - CUPS con finalidad 11)  o CUPS más CIE-10: Z003
89.0.2.01 (consulta de primera vez por medicina general)
89.0.3.01 (Consulta de control o seguimiento por medicina general)
89.0.2.63 (consulta de primera vez por especialista en medicina familiar)
89.0.3.63 (Consulta de control o seguimiento por especialista en medicina familiar)
- Enfermería:
*RIPS: CUPS más finalidad 4 o 5 o (Res 2275 - CUPS con finalidad 11)  o CUPS más CIE-10: Z003
89.0.2.05 (Consulta de primera vez por enfermería)
89.0.3.05 (Consulta de control o de seguimiento por enfermería)
Juventud:
- Medicina General o Medicina Familiar:
*CUPS más finalidad 5  o (Res 2275 - CUPS con finalidad 11) o CUPS más CIE-10: Z003
89.0.2.01 (consulta de primera vez por medicina general)
89.0.3.01 (Consulta de control o seguimiento por medicina general)
89.0.2.63 (consulta de primera vez por especialista en medicina familiar)
89.0.3.63 (Consulta de control o seguimiento por especialista en medicina familiar)
*RES 202: Variable 52 - Fecha Valida
Adultez y Vejez
- Medicina General o Medicina Familiar:
*RIPS:  CUPS más finalidad 7 o (Res 2275 - CUPS con finalidad 11):
89.0.2.01 (consulta de primera vez por medicina general)
89.0.3.01 (Consulta de control o seguimiento por medicina general)
89.0.2.63 (consulta de primera vez por especialista en medicina familiar)
89.0.3.63 (Consulta de control o seguimiento por especialista en medicina familiar)
*RES 202: Variable 52 - Fecha Valida
NOTA: Se tiene en cuenta la edad a la fecha de afiliación y edad a entrada en vigencia de la RPYMS (01/02/2019)</t>
  </si>
  <si>
    <t>Según Esquema</t>
  </si>
  <si>
    <t xml:space="preserve">
Afiliados con atenciones por profesional de medicina o enfermería de acuerdo al esquema definido en la RPYMS</t>
  </si>
  <si>
    <t>Población afiliada  mes a evaluar activos y nuevos 
Total de población afiliada</t>
  </si>
  <si>
    <t>No se incluyen las atenciones derivadas de factores de riesgo o criterio clínico</t>
  </si>
  <si>
    <t>Se retiran del denominador usuarios suspendidos, cancelados o retirados</t>
  </si>
  <si>
    <t>Para esta evaluación se deben tomar en el numerador las atenciones de acuerdo a la edad del usuario y del momento del curso de vida, así:
- Primera Infancia: 
* Atención en salud por medicina general o especialista en pediatría , medicina familiar o profesional de enfermería: 12 veces en el momento (1 m,2-3m, 4-5m, 6-8m,  9-11m, 12-17m, 18-23m, 24-29m, 30-35m, 3a, 4a, 5a) ( por lo menos una vez en el momento)
- Infancia: 
* Atención en salud por medicina general o especialista en pediatría, medicina familiar o profesional de enfermería: 6 veces en el momento 6,7, 8,9, 10 y 11 años ( por lo menos una vez en el momento)
- Adolescencia:
* Atención en salud por medicina general, medicina familiar o profesional de enfermería: 6 veces en el momento: 12, 13, 14,15, 16 y 17 años (por lo menos una vez en el momento) 
- Juventud:
* Atención en salud por medicina general o medicina familiar: 2 veces en el momento, una vez entre 18 - 23 y una vez 24 - 28 (por lo menos una vez en el momento)
- Adultez:
* Atención en salud por medicina general o medicina familiar: 7 veces en el momento: entre 29 y 34, 35 y 39, 40 y 44, 45 y 49, 50 y 52, 53 y 55, 56 y 59 años (por lo menos una vez en el momento)
- Vejez:
* Atención en salud por medicina general o medicina familiar: por lo menos una vez cada 3 años (por lo menos una vez en el momento)
NOTA: Se tiene en cuenta la edad a la fecha de afiliación y edad a entrada en vigencia de la RPYMS (01/02/2019)</t>
  </si>
  <si>
    <t>38.61%</t>
  </si>
  <si>
    <t>36.88%</t>
  </si>
  <si>
    <t>12/12/2025 Sin modificación  31/03/2025 Se actualiza a ultima Resolución de Cups 2275/2023 en variable fuente.  12/02/2025 Se actualiza programa o estrategia.  9/12/2024: Se ajusta nombre del indicador y definición operacional, EYAV</t>
  </si>
  <si>
    <t>RPYMS230X</t>
  </si>
  <si>
    <t>Demanda inducida efectiva por canalización extramural</t>
  </si>
  <si>
    <t>Proporción de personas canalizadas desde el Modelo de Gestión extramural a los servicios de salud, que posteriormente registran atenciones de la RPYMS</t>
  </si>
  <si>
    <t>DI-Educación salud</t>
  </si>
  <si>
    <t>Demanda Inducida</t>
  </si>
  <si>
    <t>Efectividad DI</t>
  </si>
  <si>
    <t>Población afiliada que registra VPS en los ultimos 12 meses, y que registra una actividad de la RPYMS en los 3 meses siguientes a la realización de la visita, (incluye el mismo dia de la VPS)</t>
  </si>
  <si>
    <t>Población afiliada que registra VPS en los ultimos 12 meses</t>
  </si>
  <si>
    <t>1. RIPS
2. Res 202</t>
  </si>
  <si>
    <t>Sistema Procex- modulo comunitario- Usuarios con visita de primera vez</t>
  </si>
  <si>
    <t>12 meses atrás incluyendo el mes a evaluar y no se toman los últimos 3 meses</t>
  </si>
  <si>
    <t>Afiliados con atenciones de acuerdo a esquemas definidos por momento de curso de vida</t>
  </si>
  <si>
    <t>Población actual al mes a evaluar activos y nuevos 
Total de población afiliada del régimen Subsidiado</t>
  </si>
  <si>
    <t>Se requiere que todos los usuarios que reciben visita preventiva a través de los PIS de manera extramural y son canalizados a las IPS reciban las atenciones según curso de vida y esquema</t>
  </si>
  <si>
    <t>65.91%</t>
  </si>
  <si>
    <t>66.76%</t>
  </si>
  <si>
    <t>RPYMS389X</t>
  </si>
  <si>
    <t>Cobertura de participación en sesiones educativas en salud grupales</t>
  </si>
  <si>
    <t>Proporción de población que han recibido educacion en salud grupal en cualquier programa dentro de su curso de vida</t>
  </si>
  <si>
    <t>Educación en salud</t>
  </si>
  <si>
    <t>Educación salud</t>
  </si>
  <si>
    <t>Educación grupal</t>
  </si>
  <si>
    <r>
      <t xml:space="preserve">Población que registra asistencia a las sesiones de educacion en salud grupal </t>
    </r>
    <r>
      <rPr>
        <b/>
        <sz val="10"/>
        <color theme="1"/>
        <rFont val="Calibri Light"/>
        <family val="2"/>
        <scheme val="major"/>
      </rPr>
      <t>en cualquier momento de la vida</t>
    </r>
    <r>
      <rPr>
        <sz val="10"/>
        <color theme="1"/>
        <rFont val="Calibri Light"/>
        <family val="2"/>
        <scheme val="major"/>
      </rPr>
      <t xml:space="preserve">
Población general
Programa de Educacion en salud
</t>
    </r>
  </si>
  <si>
    <t xml:space="preserve">Población general 
</t>
  </si>
  <si>
    <t>Sistema Procex- modulo demanda inducida- 
RIPS - CUPS 9901*</t>
  </si>
  <si>
    <t>BDUA</t>
  </si>
  <si>
    <t>Historico</t>
  </si>
  <si>
    <t>poblacion que registra educacion en salud en la historia clinica</t>
  </si>
  <si>
    <t xml:space="preserve">Población general
</t>
  </si>
  <si>
    <t>Resolución 2364 de 2023</t>
  </si>
  <si>
    <t>8.12%</t>
  </si>
  <si>
    <t>11.75%</t>
  </si>
  <si>
    <t>RPYMS389AX</t>
  </si>
  <si>
    <t>Cumplimiento en la participación en sesiones educativas en salud grupales de la población en el curso de vida de Primera infancia</t>
  </si>
  <si>
    <t>Proporción de población que han recibido educacion en salud Grupal en el curso de vida de primera infancia</t>
  </si>
  <si>
    <t>Población que registra asistencia a las sesiones de educacion en salud Grupal durante el curso de vida de la primera infancia
Edad a la actividad de 0 a 5 años
año vigente</t>
  </si>
  <si>
    <t>Población de 0 a 5 años
Dividido en 12 y multiplicado por mes a evaluar</t>
  </si>
  <si>
    <t>poblacion que registra educacion en salud en la historia clinica durante el curso de vida de la primera infancia</t>
  </si>
  <si>
    <t xml:space="preserve">Población de 0 a 5 años
</t>
  </si>
  <si>
    <t>15.41%</t>
  </si>
  <si>
    <t>12/12/2025 Sin modificación  31/03/2025 Se ajusta la variable "Curso de vida" con el nombre según el ciclo que corresponde.   11/02/2025 Se realiza eliminación de los 3 meses de afiliación. 31/12/2024 De acuerdo al anexo 3 de la Resolucion 02717 del 2024 Ajuste UPC - la meta para ese indicador es del 22% y NEPS esta en el 22%, se deja.</t>
  </si>
  <si>
    <t>RPYMS389BX</t>
  </si>
  <si>
    <t>Cumplimiento en la participación en sesiones educativas en salud grupales de la población en el curso de vida de Infancia</t>
  </si>
  <si>
    <t>Proporción de población que han recibido educacion en salud Grupal en el curso de vida de infancia</t>
  </si>
  <si>
    <t>Población que registra asistencia a las sesiones de educacion en salud Grupal durante el curso de vida de infancia
Edad a la actividad de 6 a 11 años
año vigente</t>
  </si>
  <si>
    <t>Población de 6 a 11 años
Dividido en 12 y multiplicado por mes a evaluar</t>
  </si>
  <si>
    <t>poblacion que registra educacion en salud en la historia clinica durante el curso de vida de infancia</t>
  </si>
  <si>
    <t xml:space="preserve">Población de 6 a 11 años
</t>
  </si>
  <si>
    <t>7.09%</t>
  </si>
  <si>
    <t>9.76%</t>
  </si>
  <si>
    <t>12/12/2025 Sin modificación  11/02/2025 Se realiza eliminación de los 3 meses de afiliación.  31/12/2024 De acuerdo al anexo 3 de la Resolucion 02717 del 2024 Ajuste UPC - la meta para ese indicador es del 12% y NEPS esta en el 12%, se deja. Se ajusta la variable "Curso de vida" con el nombre según el ciclo que corresponde.</t>
  </si>
  <si>
    <t>RPYMS389CX</t>
  </si>
  <si>
    <t>Cumplimiento en la participación en sesiones educativas en salud grupales de la población en el curso de vida de Adolescencia</t>
  </si>
  <si>
    <t>Proporción de población que han recibido educacion en salud Grupal en el curso de vida de Adolescencia</t>
  </si>
  <si>
    <t>Población que registra asistencia a las sesiones de educacion en salud Grupal durante el curso de vida de la Adolescencia
Edad a la actividad de 12 a 17 años
año vigente</t>
  </si>
  <si>
    <t>Población de 12 a 17 años
Dividido en 12 y multiplicado por mes a evaluar</t>
  </si>
  <si>
    <t>poblacion que registra educacion en salud en la historia clinica durante el curso de vida de la Adolescencia</t>
  </si>
  <si>
    <t xml:space="preserve">Población de 12 a 17 años
</t>
  </si>
  <si>
    <t>7.36%</t>
  </si>
  <si>
    <t>9.98%</t>
  </si>
  <si>
    <t>12/12/2025 Sin modificación  11/02/2025 Se realiza eliminación de los 3 meses de afiliación.  31/12/2024 De acuerdo al anexo 3 de la Resolucion 02717 del 2024 Ajuste UPC - la meta para ese indicador es del 12% y NEPS esta en el 12% - Se ajusta la variable "Curso de vida" con el nombre según el ciclo que corresponde.</t>
  </si>
  <si>
    <t>RPYMS389DX</t>
  </si>
  <si>
    <t>Cumplimiento en la participación en sesiones educativas en salud grupales de la población en el curso de vida de Juventud</t>
  </si>
  <si>
    <t>Proporción de población que han recibido educacion en salud Grupal en el curso de vida de Juventud</t>
  </si>
  <si>
    <t>Población que registra asistencia a las sesiones de educacion en salud Grupal durante el curso de vida de la Juventud
Edad a la actividad de 18 a28 años
año vigente</t>
  </si>
  <si>
    <t>Población de 18 a 28 años
Dividido en 12 y multiplicado por mes a evaluar</t>
  </si>
  <si>
    <t>poblacion que registra educacion en salud en la historia clinica durante el curso de vida de la Juventud</t>
  </si>
  <si>
    <t>Población de 18  a 28 años</t>
  </si>
  <si>
    <t>5.94%</t>
  </si>
  <si>
    <t>12/12/2025 Sin modificación  11/02/2025 Se realiza eliminación de los 3 meses de afiliación.  31/12/2024 De acuerdo al anexo 3 de la Resolucion 02717 del 2024 Ajuste UPC - la meta para ese indicador es del 6% y NEPS esta en el 6%, se deja. Se ajusta la variable "Curso de vida" con el nombre según el ciclo que corresponde.</t>
  </si>
  <si>
    <t>RPYMS389EX</t>
  </si>
  <si>
    <t>Cumplimiento en la participación en sesiones educativas en salud grupales de la población en el curso de vida de Adultez</t>
  </si>
  <si>
    <t>Proporción de población que han recibido educacion en salud Grupal en el curso de vida de Adultez</t>
  </si>
  <si>
    <t>Población que registra asistencia a las sesiones de educacion en salud Grupal durante el curso de vida de la Adultez
Edad a la actividad de 19 a 59 años
año vigente</t>
  </si>
  <si>
    <t>Población de 29 a 59 años
Dividido en 12 y multiplicado por mes a evaluar</t>
  </si>
  <si>
    <t>poblacion que registra educacion en salud en la historia clinica durante el curso de vida de la Adultez</t>
  </si>
  <si>
    <t xml:space="preserve">Población de 29 a 59 años
</t>
  </si>
  <si>
    <t>4.24%</t>
  </si>
  <si>
    <t>5.55%</t>
  </si>
  <si>
    <t>12/12/2025 Sin modificación  11/02/2025 Se realiza eliminación de los 3 meses de afiliación.  31/12/2024 De acuerdo al anexo 3 de la Resolucion 02717 del 2024 Ajuste UPC - la meta para ese indicador es del 7% y NEPS esta en el 7% sigue igual.  Se ajusta la variable "Curso de vida" con el nombre según el ciclo que corresponde.</t>
  </si>
  <si>
    <t>RPYMS389FX</t>
  </si>
  <si>
    <t>Cumplimiento en la participación en sesiones educativas en salud grupales de la población en el curso de vida de Vejez</t>
  </si>
  <si>
    <t>Proporción de población que han recibido educacion en salud Grupal en el curso de vida de Vejez</t>
  </si>
  <si>
    <t>Población que registra asistencia a las sesiones de educacion en salud Grupal durante el curso de vida de la Vejez
Edad a la actividad de 60 años y mas
año vigente</t>
  </si>
  <si>
    <t>Población de 60 años y mas
Dividido en 12 y multiplicado por mes a evaluar</t>
  </si>
  <si>
    <t>poblacion que registra educacion en salud en la historia clinica durante el curso de vida de la Vejez</t>
  </si>
  <si>
    <t xml:space="preserve">Población de 60 años y mas
</t>
  </si>
  <si>
    <t>4.21%</t>
  </si>
  <si>
    <t>12/12/2025 Sin modificación  11/02/2025 Se realiza eliminación de los 3 meses de afiliación.  31/12/2024 De acuerdo al anexo 3 de la Resolucion 02717 del 2024 Ajuste UPC - la meta para ese indicador es del 13% y NEPS esta en el 13% se deja.  Se ajusta la variable "Curso de vida" con el nombre según el ciclo que corresponde.</t>
  </si>
  <si>
    <t>RPYMS104X</t>
  </si>
  <si>
    <t>IPS con cargue oportuno de la Resolución 202</t>
  </si>
  <si>
    <t>Proporción de IPS que realizan cargue Exitoso y Oportuno del Anexo técnico de la Res 202 al sistema de información SIGIRES</t>
  </si>
  <si>
    <t>Administrativo</t>
  </si>
  <si>
    <t>Cargue información</t>
  </si>
  <si>
    <t>Número de IPS con cargue efectivo en la fecha de corte definida</t>
  </si>
  <si>
    <t>Número de IPS que deben cargar</t>
  </si>
  <si>
    <t>Modulo Cargue Res 202</t>
  </si>
  <si>
    <t>Formato RPYMS104</t>
  </si>
  <si>
    <t xml:space="preserve">El reporte debe ser realizado con el usuario de la IPS, para proceder a la validacion de oportunidad y calidad, entendiendose como
OPORTUNO (1 Punto): Cargue realizado de acuerdo a cronograma entregado por Neps
CALIDAD (1 Punto): Cargue exitoso </t>
  </si>
  <si>
    <t>Seguimiento al Cargue</t>
  </si>
  <si>
    <t>91.71%</t>
  </si>
  <si>
    <t>96.87%</t>
  </si>
  <si>
    <t xml:space="preserve">15/12/2025: se ajusta observacion del indicador para que se tenga en cuenta el cronograma que entregue Neps // 17/07/2024 Se ajusta el tiempo de oportunidad por el cambio en las fechas de cargue del 25 al 4 de cada mes </t>
  </si>
  <si>
    <t>RPYMS105X</t>
  </si>
  <si>
    <t>Cumplimiento en la entrega de informes</t>
  </si>
  <si>
    <t>Proporción de informes objeto de reporte por la IPS con cargue Exitoso y Oportuno  al sistema de información SIGIRES</t>
  </si>
  <si>
    <t>Número de informes de Nueva EPS que las IPS entregan y que cumplen con oportunidad y calidad (Cargue RIPS; Datos Adicionales; Cérvix -Mama; TBC; Implante Subdérmico)</t>
  </si>
  <si>
    <t>Número de informes de Nueva EPS que las IPS entregan (Cargue RIPS; Datos Adicionales; Cérvix -Mama; TBC; Implante Subdérmico)</t>
  </si>
  <si>
    <t>Formato RPYMS105</t>
  </si>
  <si>
    <t>Evaluacion entregada directamente por los PGR de la Zona de influencia, teniendo en cuenta la fecha de reporte del informe,  se podra evaluar el comportamiento del mes anterior de la IPS</t>
  </si>
  <si>
    <t>97.18%</t>
  </si>
  <si>
    <t>97.43%</t>
  </si>
  <si>
    <t>RPYMS110X</t>
  </si>
  <si>
    <t>IPS vacunadoras con cargue efectivo al sistema de información</t>
  </si>
  <si>
    <t>Proporción de IPS que realizan cargue Exitoso y Oportuno de los informes masivos de vacunacion (PAIWEB, plantilla menores, plantilla Adultos) al sistema de información SIGIRES</t>
  </si>
  <si>
    <t>Número de IPS vacunadoras con cargue Exitoso (1) y  Oportuno (1)  en la fecha de corte definida de información de vacunación</t>
  </si>
  <si>
    <t>Número total las IPS vacunadoras
Este indicador tiene 3 formatos de cargue a traves del modulo de cargue de vacunacion:
Menores (2): Se evalua, si esta como SI evaluar alguno de los siguientes  indicadores 34-106-107 y 170
General   (2): Se evalua, si esta como SI evaluar alguno de los siguientes los indicadores 90-91-92-93-223-224
PAIWEB  (2): se evalua si en el FPS esta como SI evaluar, (es el unico de validacion directa con el FPS, teniendo en cuenta las dificultades presentadas en el aplicativo) - IPS de Bogota se valida con PAI Distrital.</t>
  </si>
  <si>
    <t xml:space="preserve">1 - Módulo carga de archivos - Vacunación
* Formato Diario
* Plantilla EPS menores
* PAIWEB 2
Cargue Exitoso de alguno de los Formatos durante la vigencia de reporte de la evaluación
</t>
  </si>
  <si>
    <t>IPS marcadas como SI en alguno de los siguientes indicadores RPYMS34,106-107,170,90,91,92,93,223-224</t>
  </si>
  <si>
    <t xml:space="preserve">Este indicador tiene 3 formatos de cargue a traves del modulo de cargue de vacunacion:
Menores (2): Se evalua, si esta como SI evaluar alguno de los siguientes indicadores 34-106-107 y 
General  (2): Se evalua, si esta como SI evaluar alguno de los siguientes los indicadores 90-91-92-93-223-224
PAIWEB (2): se evalua si en el FPS esta como SI evaluar, (es el unico de validacion directa con el FPS, tebiendo en cuenta las dificultades presentadas en el aplicativo)
El reporte debe ser realizado con el usuario de la IPS, debe contener informacion de al menos 1 dosis reportada, para proceder a la validacion de oportunidad y calidad, entendiendose como
OPORTUNO (1 Punto): Cargue realizado entre el 05 del mes anterior y el 04 del mes evaluado
CALIDAD (1 Punto): Cargue exitoso </t>
  </si>
  <si>
    <t>74.05%</t>
  </si>
  <si>
    <t>75%</t>
  </si>
  <si>
    <t>RPYMS350X</t>
  </si>
  <si>
    <t>Tasa de incidencia de  Infección Respiratoria Aguda en Menores de 5 años</t>
  </si>
  <si>
    <t>Es el número de casos nuevos de infección respiratoria aguda en menores de 5 años por cada 100.000 menores de 5 años</t>
  </si>
  <si>
    <t>Morbilidad trazadora</t>
  </si>
  <si>
    <t>IRA</t>
  </si>
  <si>
    <t>Incidencia</t>
  </si>
  <si>
    <r>
      <t>Número de personas únicas</t>
    </r>
    <r>
      <rPr>
        <sz val="10"/>
        <color rgb="FFA6088F"/>
        <rFont val="Calibri Light"/>
        <family val="2"/>
        <scheme val="major"/>
      </rPr>
      <t xml:space="preserve"> </t>
    </r>
    <r>
      <rPr>
        <sz val="10"/>
        <color rgb="FFFF0000"/>
        <rFont val="Calibri Light"/>
        <family val="2"/>
        <scheme val="major"/>
      </rPr>
      <t xml:space="preserve">con edad entre </t>
    </r>
    <r>
      <rPr>
        <sz val="10"/>
        <rFont val="Calibri Light"/>
        <family val="2"/>
        <scheme val="major"/>
      </rPr>
      <t>de 0 a 4 años con diagnóstico confirmado nuevo de infección respiratoria aguda</t>
    </r>
  </si>
  <si>
    <r>
      <rPr>
        <sz val="10"/>
        <color theme="1"/>
        <rFont val="Calibri Light"/>
        <family val="2"/>
        <scheme val="major"/>
      </rPr>
      <t xml:space="preserve"> SIVIGILA Datos basicos eventos: 345, 346, 348</t>
    </r>
    <r>
      <rPr>
        <sz val="10"/>
        <color rgb="FFFF0000"/>
        <rFont val="Calibri Light"/>
        <family val="2"/>
        <scheme val="major"/>
      </rPr>
      <t xml:space="preserve">
Confirmadas:  (tip_cas_ = 3, 4, ó  5 Y ajuste_ = 0, 3, 4 ,5 o 7) o ( ajuste = 3, 4 o 5 ) </t>
    </r>
    <r>
      <rPr>
        <sz val="10"/>
        <rFont val="Calibri Light"/>
        <family val="2"/>
        <scheme val="major"/>
      </rPr>
      <t xml:space="preserve">
RIPS CIE 10: J00-J22</t>
    </r>
  </si>
  <si>
    <t>Su incidencia mundial varía entre 150 y 1.500 casos por cada 100.000 habitantes, con una tasa de mortalidad estimada de 20 casos por cada 100.000 habitantes. - INS</t>
  </si>
  <si>
    <t>&lt;=150</t>
  </si>
  <si>
    <t>&gt;150</t>
  </si>
  <si>
    <t>19842.74</t>
  </si>
  <si>
    <t>18036.81</t>
  </si>
  <si>
    <t>05/12/2025 Ajuste para que el dato del campo "Indicador Actividad" en la visual de tableros el dato a mostrar sea "No aplica" , de igual forma ajustar la estimacion al ultimo resultado del INS corte 2024, Se aprueba cambio en varible fuente numerador se agrega opción casos confirmados.  //31/03/2025 Se ajusta fuente del numerador incluyendo eventos sivigila.</t>
  </si>
  <si>
    <t>RPYMS349X</t>
  </si>
  <si>
    <t>Tasa de incidencia de Enfermedad Diarreica Aguda en menores de 5 años</t>
  </si>
  <si>
    <t>Es el número de casos nuevos de enfermedad diarreica aguda en menores de  5 años por cada 100.000 menores de 5 años</t>
  </si>
  <si>
    <t>EDA</t>
  </si>
  <si>
    <t>Número de personas únicas menores de 0 a 4 años  con diagnóstico confirmado nuevo de enfermedad diarreica aguda</t>
  </si>
  <si>
    <t>SIVIGILA Datos basicos evento 605 (Confirmadas:  (tip_cas_ = 3, 4, ó  5 Y ajuste_ = 0, 3, 4 ,5 o 7) o ( ajuste = 3, 4 o 5 ) 
RIPS CIE 10: A000-A090</t>
  </si>
  <si>
    <t>El comportamiento de la morbilidad por EDA en menores de 5 años en Colombia se ubica entre 80 a 200 casos por cada 1000 hb_Fuente SIVIGILA , Instituto Nacional de Salud, Informe Periodo epidemiológico XI Colombia, 2022</t>
  </si>
  <si>
    <t>&lt;=80</t>
  </si>
  <si>
    <t>&gt;80</t>
  </si>
  <si>
    <t>3114.95</t>
  </si>
  <si>
    <t>2766.77</t>
  </si>
  <si>
    <t>05/12/2025 Se modifica meta del indicador.Ajuste para que el dato de la variable  "Indicador Actividad" en la visual de tableros el dato a mostrar sea "No aplica" , de igual forma ajustar la estimacion al ultimo resultado del INS corte 2024. //31/03/2025 Se ajusta fuente del numerador incluyendo evento sivigila.</t>
  </si>
  <si>
    <t>RPYMS353X</t>
  </si>
  <si>
    <t>Tasa de Incidencia de otitis media supurativa en niños menores de 5 años</t>
  </si>
  <si>
    <t>Es el número de casos de diagnóstico de otitis media supurativa por cada 100.000 habitantes</t>
  </si>
  <si>
    <t>Otitis media supurativa</t>
  </si>
  <si>
    <t>Registro individual de atención
Edad: menores de  0 a 4 años
diagnóstico: Otitis media supurativa (CIE 10: H600 a H664)</t>
  </si>
  <si>
    <t>RIPS: Diagnóstico: Otitis media supurativa (CIE 10: H600 a H664):
H660: Otitis media supurativa aguda
H661: Otitis media tubo timpánica supurativa crónica
H662: Otitis media supurativa crónica aticoantral
H663: Otras otitis medias crónicas supurativas
H664: Otitis media supurativa, sin otra especificación</t>
  </si>
  <si>
    <t>Total poblacion de 5 años con diagnostico</t>
  </si>
  <si>
    <t>MSPS - Para el período de estudio se encontró un total de 6.921.261 atenciones relacionadas con las alteraciones del oído. En este período el reporte de atenciones relacionadas con el grupo de las otitis fue de 3.474.131, equivalentes a una prevalencia de atención poblacional de 7.207,56 x 100.000 habitantes(2009 a 2014)</t>
  </si>
  <si>
    <t>&lt;=480</t>
  </si>
  <si>
    <t>&gt;480</t>
  </si>
  <si>
    <t>312.94</t>
  </si>
  <si>
    <t>242.08</t>
  </si>
  <si>
    <t>05/12/2025 Se modifica meta del indicador Ajuste para que el dato de la variable "Indicador Actividad" en la visual de tableros el dato a mostrar sea "No aplica", No ajustes en indicador. // 9/12/2024: sin modificación</t>
  </si>
  <si>
    <t>RPYMS355X</t>
  </si>
  <si>
    <t>Tasa de Incidencia de Meningitis Tuberculosa</t>
  </si>
  <si>
    <t>Número de casos nuevos de meningitis tuberculosa  por cada 100.000 habitantes</t>
  </si>
  <si>
    <t>meningitis tuberculosa</t>
  </si>
  <si>
    <t>Número de casos nuevos de meningitis tuberculosa</t>
  </si>
  <si>
    <t>total afiliados</t>
  </si>
  <si>
    <t xml:space="preserve">CIE 10: A170 (meningitis tuberculosa)
</t>
  </si>
  <si>
    <t>Total poblacion con diagnostico</t>
  </si>
  <si>
    <t>INS - Con corte a 2020 (preliminar), en el país la tasa de incidencia de tuberculosis de todas las formas está en 20,88 por 100 000 habitantes y ha presentado una reducción de 6,81 en comparación con el 2019, donde se encontraba en 27,69 por 100 000 habitantes. El tipo de tuberculosis con mayor incidencia es la pulmonar con una tasa de 17,06 por 100 000 habitantes y ha presentado una reducción de 5,89 comparado con el 2019. La tuberculosis extrapulmonar con una tasa de 3,82 por 100 000 habitantes ha presentado una reducción de 0,92 comparada con el año anterior. (figura 1).</t>
  </si>
  <si>
    <t>&lt;=0,7</t>
  </si>
  <si>
    <t>&gt;0,7</t>
  </si>
  <si>
    <t>0.6</t>
  </si>
  <si>
    <t>0.67</t>
  </si>
  <si>
    <t>05/12/2025 Ajuste para que el dato de la variable "Indicador Actividad" en la visual de tableros el dato a mostrar sea "No aplica", de igual forma ajustar la estimacion al ultimo resultado para INS dato 2024// 31/03/2025 Se ajusta fuente del numerador eliminando evento sivigila 530 y exclusión del numerador.</t>
  </si>
  <si>
    <t>RPYMS356X</t>
  </si>
  <si>
    <t>Tasa de Incidencia de Difteria</t>
  </si>
  <si>
    <t>Número de casos nuevos de difteria  por cada 100.000 habitantes</t>
  </si>
  <si>
    <t>Difteria</t>
  </si>
  <si>
    <t>Número de casos nuevos de difteria</t>
  </si>
  <si>
    <t xml:space="preserve"> SIVIGILA DATOS BASICOS EVENTO 230 
CIE 10: A36 (A360, A361, A362, A363, A368, A369)</t>
  </si>
  <si>
    <t>INS- la difteria ya no se considera una amenaza importante, el fenómeno de migración y los recientes brotes en países vecinos y sumando a esto que con la pandemia por COVID-19 se presentó una disminución en las coberturas de vacunación, hay una amenaza permanente en la presentación de casos de difteria en el territorio nacional. A semana epidemiológica (SE) 41 de 2021 se han notificado 7 casos al Sistema nacional de vigilancia (Sivigila) de los cuales 5 fueron descartados, 1 permanece probable y 1 caso fue confirmado por laboratorio; en comparación con los años anteriores se observa una diminución mayor al 80 % para los años 2018 y 2019 y del 50 % para los años 2017 y 2020 (Figura 1).</t>
  </si>
  <si>
    <t>Tomar el archivo datos básicos cargado previo a la fecha de cierre de cargue para el perioro evaluado y filtrar
 - “ESTADO” = “Activo”
- "COD_EVE" = 230
- “AJUSTE” = Seleccionar todas excepto “6”, “D” y “R”
- “FECHA_NOTIFICACION” = año vigente
(num/den x 100.000)</t>
  </si>
  <si>
    <t>Corresponde al total de población afiliada del corte evaluado (dato Procex)</t>
  </si>
  <si>
    <t>Población actual 
Datos básicos: corte cargado previo a la fecha de cierre de cargue de información para el periodo evaluado</t>
  </si>
  <si>
    <t>&lt;=0,01</t>
  </si>
  <si>
    <t>&gt;0,01</t>
  </si>
  <si>
    <t>0.07</t>
  </si>
  <si>
    <t>0.04</t>
  </si>
  <si>
    <t>05/12/2025 Ajuste para que el dato de la variable "Indicador Actividad" en la visual de tableros el dato a mostrar sea "No aplica", de igual forma ajustar la estimacion al ultimo resultado para INS dato 2024// 9/12/2024: sin modificación.</t>
  </si>
  <si>
    <t>RPYMS357X</t>
  </si>
  <si>
    <t>Tasa de Incidencia de Tétanos Accidental</t>
  </si>
  <si>
    <t>Número de casos nuevos de Tétanos  por cada 100.000 habitantes</t>
  </si>
  <si>
    <t>Tetanos</t>
  </si>
  <si>
    <t xml:space="preserve">Número de casos nuevos de Tétanos </t>
  </si>
  <si>
    <t xml:space="preserve"> SIVIGILA DATOS BASICOS EVENTO 760 
CIE 10: A35X</t>
  </si>
  <si>
    <t>INS- En la vigilancia de tétanos accidental entre los años 2013 a 201 confirmados se presentó en el año 2014 y 2015, la 9 , el mayor número de casos mayor incidencia por 100 000 habitantes fue de 0,12 en el 2014 y de 0,10 en el 2015 incidencia 0,07 por 100 000 habitantes</t>
  </si>
  <si>
    <t>datos basicos SIVIGILA</t>
  </si>
  <si>
    <t>05/12/2025 Ajuste para que el dato de la variable "Indicador Actividad" en la visual de tableros el dato a mostrar sea "No aplica", de igual forma ajustar la estimacion al ultimo resultado para INS dato 2024.  // 9/12/2024: sin modificación.</t>
  </si>
  <si>
    <t>RPYMS358X</t>
  </si>
  <si>
    <t>Tasa de Incidencia de Meningitis por Haemophilus influenzae (Hi)</t>
  </si>
  <si>
    <t>Número de casos nuevos de meningitis por Haemophilus influenzae (Hi) por cada 100.000 habitantes</t>
  </si>
  <si>
    <t>meningitis por Haemophilus influenzae (Hi)</t>
  </si>
  <si>
    <t>Número de casos nuevos de meningitis por Haemophilus influenzae (Hi)</t>
  </si>
  <si>
    <t>SIVIGILA DATOS BASICOS EVENTO 510 
CIE 10: G000</t>
  </si>
  <si>
    <t>INS - Para la población general a nivel nacional la tasa de incidencia para H. influenzae fue de 0,1 casos por cada 100000 habitantes</t>
  </si>
  <si>
    <t>&lt;=0,1</t>
  </si>
  <si>
    <t>&gt;0,1</t>
  </si>
  <si>
    <t>05/12/2025 Se modifica meta del indicador Ajuste para que el dato de la variable "Indicador Actividad" en la visual de tableros el dato a mostrar sea "No aplica", de igual forma ajustar la estimacion al ultimo resultado para INS dato 2024.  // 9/12/2024: sin modificación.</t>
  </si>
  <si>
    <t>RPYMS359X</t>
  </si>
  <si>
    <t>Tasa de Incidencia de Hepatitis B</t>
  </si>
  <si>
    <t>Es el número de casos nuevos de hepatitis B por cada 100.000 habitantes</t>
  </si>
  <si>
    <t>Número de casos nuevos de personas con hepatitis B</t>
  </si>
  <si>
    <t xml:space="preserve">SIVIGILA DATOS BASICOS EVENTO 340 
CIE 10: B160, B161, B162, B169 </t>
  </si>
  <si>
    <t>INS - Colombia está entre los países con moderada endemia, con una incidencia de hepatitis B en el 2018 de 4,0 casos por 100 000 habitantes</t>
  </si>
  <si>
    <t>&lt;=4</t>
  </si>
  <si>
    <t>&gt;4</t>
  </si>
  <si>
    <t>12.09</t>
  </si>
  <si>
    <t>25.58</t>
  </si>
  <si>
    <t>RPYMS360X</t>
  </si>
  <si>
    <t>Tasa de Incidencia de Tos ferina</t>
  </si>
  <si>
    <t>Número de casos nuevos de tos ferina por cada 100.000 habitantes</t>
  </si>
  <si>
    <t>Tos ferina</t>
  </si>
  <si>
    <t>Número de casos nuevos de tos ferina</t>
  </si>
  <si>
    <t xml:space="preserve">  SIVIGILA DATOS BASICOS EVENTO 800  
CIE 10: A370, A371, A378, A379</t>
  </si>
  <si>
    <t>INS - Los indicadores de incidencia de la Tosferina presentan comportamientos divergentes entre los diferentes grupos, siendo la incidencia en menores de 1 año la que presenta con los datos preliminares la incidencia más alta. El cálculo de la incidencia nacional de Tosferina en población general es de 0,06 casos por 100.000 habitantes, para el grupo de edad de menores de 5 años la incidencia se ubicó en 0,59 casos por 100.000 menores de 5 y en menores de un año la incidencia fue de 2,61 casos.</t>
  </si>
  <si>
    <t>Tomar el archivo datos básicos cargado previo a la fecha de cierre de cargue para el perioro evaluado y filtrar
 - “ESTADO” = “Activo”
- "COD_EVE" = 800
- “AJUSTE” = Seleccionar todas excepto “6”, “D” y “R”
- “FECHA_NOTIFICACION” = año vigente
(num/den x 100.000)</t>
  </si>
  <si>
    <t>&lt;=0,02</t>
  </si>
  <si>
    <t>&gt;0,02</t>
  </si>
  <si>
    <t>1.48</t>
  </si>
  <si>
    <t>3.17</t>
  </si>
  <si>
    <t>RPYMS361X</t>
  </si>
  <si>
    <t>Tasa de Incidencia de Neumonia Streptococcus pneumoniae (Spn)</t>
  </si>
  <si>
    <t>Número de casos nuevos de neumonia Streptococcus pneumoniae (Spn) por cada 100.000 habitantes</t>
  </si>
  <si>
    <t>neumonia Streptococcus pneumoniae (Spn)</t>
  </si>
  <si>
    <t>Número de casos nuevos de neumonia Streptococcus pneumoniae (Spn)</t>
  </si>
  <si>
    <t>CIE 10: J13X</t>
  </si>
  <si>
    <t xml:space="preserve">OPS - En las Américas, se estimó la incidencia de la infección por el neumococo en 358 casos por 100.000 niños en 2015 así como la causa de 5.700 muertes. Entre las causas de muerte por infecciones neumocócicas, la neumonía representa 81% y la meningitis 12%. En cuanto a la meningitis bacteriana en niños menores de 5 años, hay aproximadamente 1.2 millones de casos y 180.000 muertes anuales. En una revisión sistemática publicada en el 2013, la Región de las Américas presenta una incidencia anual de 16,6 casos por 100.000 niños menores de 5 años1. Adicionalmente el manejo de las infecciones neumocócicas se complica ante el incremento de la resistencia a la penicilina y a otros antibióticos lo cual se ha comprobado a través del aislamiento de casos de resistencia desde 1967 en diferentes lugares del mundo. </t>
  </si>
  <si>
    <t>&lt;=16</t>
  </si>
  <si>
    <t>&gt;16</t>
  </si>
  <si>
    <t>6.55</t>
  </si>
  <si>
    <t>6.39</t>
  </si>
  <si>
    <t>05/12/2025Se modifica meta del indicador  Ajuste para que el dato de la variable "Indicador Actividad" en la visual de tableros el dato a mostrar sea "No aplica", de igual forma ajustar la estimacion al ultimo resultado para INS dato 2024.  // 9/12/2024: sin modificación.</t>
  </si>
  <si>
    <t>RPYMS362X</t>
  </si>
  <si>
    <t>Tasa de Incidencia de Rubeola</t>
  </si>
  <si>
    <t>Número de casos nuevos de rubeola por cada 100.000 habitantes</t>
  </si>
  <si>
    <t>Rubeola</t>
  </si>
  <si>
    <t>Número de casos nuevos de rubeola</t>
  </si>
  <si>
    <t xml:space="preserve"> SIVIGILA DATOS BASICOS EVENTO 710 
CIE 10: B060, B068, B069</t>
  </si>
  <si>
    <t xml:space="preserve">INS - En Colombia hasta la semana epidemiológica 20 de 2022 se han notificado al Sistema Nacional de Vigilancia en Salud Pública, 395 casos sospechosos de sarampión y rubéola, un 17 % más que en el mismo periodo de 2021. Del total de casos el 87,6 % (346) fue descartado por laboratorio, 0,7 % (3) por unidad de análisis y el 11 % (46) casos se encuentran en estudio. En lo transcurrido del año, no se han confirmado casos de sarampión ni de rubéola en el territorio nacional. </t>
  </si>
  <si>
    <t>Tomar el archivo datos básicos cargado previo a la fecha de cierre de cargue para el perioro evaluado y filtrar
 - “ESTADO” = “Activo”
- "COD_EVE" = 710
- “AJUSTE” = Seleccionar todas excepto “6”, “D” y “R”
- “FECHA_NOTIFICACION” = año vigente
(num/den x 100.000)</t>
  </si>
  <si>
    <t>&lt;=10.0</t>
  </si>
  <si>
    <t>&gt;10.0</t>
  </si>
  <si>
    <t>&gt;0</t>
  </si>
  <si>
    <t>RPYMS363X</t>
  </si>
  <si>
    <t>Tasa de Incidencia de Parotiditis</t>
  </si>
  <si>
    <t>Número de casos nuevos de parotiditis por cada 100.000 habitantes</t>
  </si>
  <si>
    <t>Parotiditis</t>
  </si>
  <si>
    <t>Número de casos nuevos de parotiditis</t>
  </si>
  <si>
    <t xml:space="preserve"> SIVIGILA DATOS BASICOS EVENTO 620  
CIE 10: B260, B261, B263, B268, B269</t>
  </si>
  <si>
    <t>INS - La incidencia para parotiditis ha tenido un comportamiento promedio de 23,8 casos por cada 100 000 habitantes en 13 años observados. A partir de estos registros se identificaron dos ciclos epidémicos entre los años 2010 a 2012 y 2017 a 2019 con una incidencia pico de 20 a 38 casos por cada 100 000 habitantes</t>
  </si>
  <si>
    <t>Tomar el archivo datos básicos cargado previo a la fecha de cierre de cargue para el perioro evaluado y filtrar
 - “ESTADO” = “Activo”
- "COD_EVE" = 620
- “AJUSTE” = Seleccionar todas excepto “6”, “D” y “R”
- “FECHA_NOTIFICACION” = año vigente
(num/den x 100.000)</t>
  </si>
  <si>
    <t>&gt;20</t>
  </si>
  <si>
    <t>12.65</t>
  </si>
  <si>
    <t>13.37</t>
  </si>
  <si>
    <t>RPYMS364X</t>
  </si>
  <si>
    <t>Tasa de Incidencia de Sarampión</t>
  </si>
  <si>
    <t>Número de casos nuevos de sarampión por cada 100.000 habitantes</t>
  </si>
  <si>
    <t>Sarampión</t>
  </si>
  <si>
    <t>Número de casos nuevos de sarampión</t>
  </si>
  <si>
    <t>SIVIGILA DATOS BASICOS EVENTO  730  
CIE 10: B050 B051, B052, B053, B054, B058, B059</t>
  </si>
  <si>
    <t>INS - En Colombia hasta la semana epidemiológica 20 de 2022 se han notificado al Sistema Nacional de Vigilancia en Salud Pública, 395 casos sospechosos de sarampión y rubéola, un 17 % más que en el mismo periodo de 2021. Del total de casos el 87,6 % (346) fue descartado por laboratorio, 0,7 % (3) por unidad de análisis y el 11 % (46) casos se encuentran en estudio. En lo transcurrido del año, no se han confirmado casos de sarampión ni de rubéola en el territorio nacional. 
Deac</t>
  </si>
  <si>
    <t>Tomar el archivo datos básicos cargado previo a la fecha de cierre de cargue para el perioro evaluado y filtrar
 - “ESTADO” = “Activo”
- "COD_EVE" = 730
- “AJUSTE” = Seleccionar todas excepto “6”, “D” y “R”
- “FECHA_NOTIFICACION” = año vigente
(num/den x 100.000)</t>
  </si>
  <si>
    <t>&gt;2,0</t>
  </si>
  <si>
    <t>0.4</t>
  </si>
  <si>
    <t>0.65</t>
  </si>
  <si>
    <t>RPYMS365X</t>
  </si>
  <si>
    <t>Tasa de incidencia de Hepatitis A</t>
  </si>
  <si>
    <t>Es el número de casos nuevos de hepatitis A por cada 100.000 habitantes</t>
  </si>
  <si>
    <t>Hepatitis A</t>
  </si>
  <si>
    <t>Número de casos nuevos de personas con hepatitis A</t>
  </si>
  <si>
    <t>SIVIGILA DATOS BASICOS EVENTO  330   
CIE 10: B150, B159</t>
  </si>
  <si>
    <t>INS - Incidencia de hepatitis A, semana 18 de 2021 está en 0,23 casos por cada 100 000 habitantes, siendo la incidencia más baja para la virosis en todos los periodos anuales, presentándose un 92 % menos que el 2019 y un 81 % menos que el 2020</t>
  </si>
  <si>
    <t>Tomar el archivo datos básicos cargado previo a la fecha de cierre de cargue para el perioro evaluado y filtrar
 - “ESTADO” = “Activo”
- "COD_EVE" = 330
- “AJUSTE” = Seleccionar todas excepto “6”, “D” y “R”
- “FECHA_NOTIFICACION” = año vigente
(num/den x 100.000)</t>
  </si>
  <si>
    <t>&lt;=0,23</t>
  </si>
  <si>
    <t>&gt;0,23</t>
  </si>
  <si>
    <t>4.7</t>
  </si>
  <si>
    <t>2.86</t>
  </si>
  <si>
    <t>RPYMS366X</t>
  </si>
  <si>
    <t>Tasa de incidencia de Varicela</t>
  </si>
  <si>
    <t>Es el número de casos nuevos de varicela por cada 100.000 habitantes</t>
  </si>
  <si>
    <t>Varicela</t>
  </si>
  <si>
    <t>Número de casos nuevos de personas con varicela</t>
  </si>
  <si>
    <t>SIVIGILA DATOS BASICOS EVENTO  831 (individual) 
CIE 10: B010, B011, B018, b019</t>
  </si>
  <si>
    <t>INS - La varicela reporta una tasa de incidencia de 270 casos por cada 100 000 habitantes y una tasa de hospitalización de. 3,5 casos por cada 100 000 habitantes en .</t>
  </si>
  <si>
    <t>Tomar el archivo datos básicos cargado previo a la fecha de cierre de cargue para el perioro evaluado y filtrar
 - “ESTADO” = “Activo”
- "COD_EVE" = 831
- “AJUSTE” = Seleccionar todas excepto “6”, “D” y “R”
- “FECHA_NOTIFICACION” = año vigente
(num/den x 100.000)</t>
  </si>
  <si>
    <t>&lt;=50,0</t>
  </si>
  <si>
    <t>&gt;50.0</t>
  </si>
  <si>
    <t>&lt;=50.0</t>
  </si>
  <si>
    <t>&gt;50,0</t>
  </si>
  <si>
    <t>37.04</t>
  </si>
  <si>
    <t>30.99</t>
  </si>
  <si>
    <t>05/12/2025 Se modifica meta del indicadorAjuste para que el dato de la variable "Indicador Actividad" en la visual de tableros el dato a mostrar sea "No aplica", de igual forma ajustar la estimacion al ultimo resultado para INS dato 2024. //31/03/2025 Se ajusta fuente del numerador, se elimina el colectivo.</t>
  </si>
  <si>
    <t>RPYMS193X</t>
  </si>
  <si>
    <t>Proporción de recuperación de niños menores de cinco años con desnutrición aguda</t>
  </si>
  <si>
    <t>Proporción de niños de 0 a 59 meses con desnutrición aguda moderada o severa en manejo ambulatorio que registran recuperación nutricional</t>
  </si>
  <si>
    <t>Desnutrición menores 5 años</t>
  </si>
  <si>
    <t>Recuperación nutricional</t>
  </si>
  <si>
    <t xml:space="preserve">Número de niños de 0 a 59 meses con desnutrición aguda moderada o severa con manejo ambulatorio, que presentan recuperación nutricional. </t>
  </si>
  <si>
    <t>Número de niños de 0 a 59 meses con desnutrición aguda moderada o severa con manejo ambulatorio</t>
  </si>
  <si>
    <t>Cohorte de desnutrición:
Variable "Z-score Peso/Talla" se encuentre entre  "≥ -1 a ≤ +1" y la "Fecha del Peso" y "Fecha de la Talla" sea posterior a la variable "fec_con_"
Estado activo</t>
  </si>
  <si>
    <t>1. SIVIGILA  
Evento 113: 
Fecha de consulta  (fec_con_): últimos 12 meses
"Ajuste_": todos, excepto 6 y D
Score P/T(zscore_pt): &lt; - 2DS o sin dato
"pac_hos_" = "2 y vacías"
Estado: activo
2. RIPS
CIE 10: E43X; E441; E40X; E41X; E42X; E46X
Fecha de la consulta: Últimos 12 meses  incluido el mes a evaluar
Estado: activo</t>
  </si>
  <si>
    <t>Niños y niñas de 0 a 59 meses  con diagnóstico de Desnutrición aguda, moderada o severa, que presentan recuperación nutricional, estado activo.</t>
  </si>
  <si>
    <t>Niños y niñas de 0 a 59 meses  con diagnóstico de Desnutrición aguda, moderada o severa, estado activo.
Edad calculada a "fec_con_" (fecha de consulta)</t>
  </si>
  <si>
    <t>Excluir de SIVIGILA, evento 113, variable "ajuste" los 6 y D</t>
  </si>
  <si>
    <t>IPS Primaria 
indicador incluido en la resolución 2350 de 2020
Se considera recuperación nutricional, que el niño cambie de clasificación nutricional, según indicador Peso para la Talla/ longitud. En adecuado o riesgo de desnutrición aguda.</t>
  </si>
  <si>
    <t>1. SIVIGILA EVENTO 113.
2. Seleccionar niños en edad de 0-59 meses a la fecha de consulta (Columna Edad en meses a la fecha de la consulta (SIVIGILA))
3. Estado Activo (ESTADO AC)
4. Fecha de consulta  (fec_con_): últimos 12 meses incluyendo el mes a evaluar
5. "Ajuste_": todos, excepto 6 y D
6. "pac_hos_" = "2 y vacias "
7. Con P/T  "≥ -1 a ≤ +1" y la "Fecha del Peso" y "Fecha de la Talla" sea posterior a la variable "fec_con_"</t>
  </si>
  <si>
    <t>1. SIVIGILA EVENTO 113.
2. Seleccionar niños en edad de 0-59 meses a la fecha de consulta (Columna Edad en meses a la fecha de la consulta (SIVIGILA))
3. Estado Activo (ESTADO AC)
4. Fecha de consulta  (fec_con_): últimos 12 meses incluyendo el mes a evaluar.
5. "Ajuste_": todos, excepto 6 y D
6. Con P/T &lt; - 2DS o sin dato (DATO_ZSCORE_PT)
7. "pac_hos_" = "2 y vacias "</t>
  </si>
  <si>
    <t>Cohorte desnutrición V2</t>
  </si>
  <si>
    <t>12/12/2025 Sin modificación  31/03/2025 Se ajusta el orden de la información de acuerdo a cada variable.  9/12/2024: Se debe iniciar medición para 2025, porque actualmente no se esta midiendo, EYAV.</t>
  </si>
  <si>
    <t>RPYMS194X</t>
  </si>
  <si>
    <t>Proporción de niños menores de cinco años con desnutrición aguda con recuperación nutricional antes de 120 días.</t>
  </si>
  <si>
    <t>Proporción de niños de 0 a 59 meses con desnutrición aguda moderada o severa en manejo ambulatorio que registran recuperación nutricional en 120 días o menos posterior al inicio de tratamiento</t>
  </si>
  <si>
    <t xml:space="preserve">Número de niños de 0 a 59 meses con desnutrición aguda con manejo ambulatorio, que presentan recuperación nutricional, menor o igual a 120 días posterior a la "Fecha de la consulta" </t>
  </si>
  <si>
    <t>Número de niños de 0 a 59 meses con desnutrición aguda con manejo ambulatorio</t>
  </si>
  <si>
    <t>Excluir de SIVIGILA, evento 113, variable "ajuste" los 6-D</t>
  </si>
  <si>
    <t>IPS Primaria 
Se considera recuperación nutricional, que el niño cambie de clasificación nutricional, según indicador Peso para la Talla/ longitud. En adecuado o riesgo de desnutrición aguda.</t>
  </si>
  <si>
    <t>1. SIVIGILA EVENTO 113.
2. Seleccionar niños en edad de 0-59 meses a la fecha de consulta (Columna Edad en meses a la fecha de la consulta (SIVIGILA))
3. Estado Activo (ESTADO AC)
4. Fecha de consulta  (fec_con_): últimos 12 meses incluyendo el mes a evaluar
5. "Ajuste_": todos, excepto 6 y D
6. "pac_hos_" = "2 y vacias "
7. Con P/T  "≥ -1 a ≤ +1" y la "Fecha del Peso" y "Fecha de la Talla" sea posterior a la variable "fec_con_"no mayor a 120 días de la "fec_con_".</t>
  </si>
  <si>
    <t>1.54%</t>
  </si>
  <si>
    <t>RPYMS195X</t>
  </si>
  <si>
    <t>Proporción de niños con Desnutrición Aguda que no completaron el tratamiento</t>
  </si>
  <si>
    <t>Proporción de niños  de 0 a 59 meses con desnutrición aguda moderada o severa en manejo ambulatorio que  registran abandono o deserción.</t>
  </si>
  <si>
    <t>Seguimiento DNT</t>
  </si>
  <si>
    <t>Número de niños de 0 a 59 meses identificados con desnutrición aguda moderada o severa que no completaron el tratamiento - criterio de cierre del caso "Abandono o deserción"</t>
  </si>
  <si>
    <t>Modulo de Desnutrición en Procex
Manejo: Ambulatorio
Criterio de Cierre: Abandono o deserción
Estado nutricional: diferente a "Riesgo de desnutrición" o "peso adecuado para la talla"</t>
  </si>
  <si>
    <t>Niños y niñas de 0 a 59 meses  con diagnóstico de Desnutrición aguda, moderada o severa, que no completaron tratamiento, estado activo.</t>
  </si>
  <si>
    <t xml:space="preserve">IPS Primaria </t>
  </si>
  <si>
    <t>Se ajusta meta teniendo en cuenta que se debe garantizar que eel 90% de los niños o mas tengan recuperacion nutricional.</t>
  </si>
  <si>
    <t>1. SIVIGILA EVENTO 113.
2. Seleccionar niños en edad de 0-59 meses a la fecha de consulta (Columna Edad en meses a la fecha de la consulta (SIVIGILA))
3. Estado Activo (ESTADO AC)
4. Fecha de consulta  (fec_con_): últimos 12 meses incluyendo el mes a evaluar
5. "Ajuste_": todos, excepto 6 y D
6. Con P/T &lt; - 2DS o sin dato (DATO_ZSCORE_PT)
7. "pac_hos_" = "2 y vacias "
8. crierio de cierre "abandono o deserción"</t>
  </si>
  <si>
    <t>1. SIVIGILA EVENTO 113.
2. Seleccionar niños en edad de 0-59 meses a la fecha de consulta (Columna Edad en meses a la fecha de la consulta (SIVIGILA))
3. Estado Activo (ESTADO AC)
4. Fecha de consulta  (fec_con_): últimos 12 meses incluyendo el mes a evaluar
5. "Ajuste_": todos, excepto 6 y D
6. Con P/T &lt; - 2DS o sin dato (DATO_ZSCORE_PT)
7. "pac_hos_" = "2 y vacias "</t>
  </si>
  <si>
    <t>Cohorte desnutrición</t>
  </si>
  <si>
    <t>&lt;10%</t>
  </si>
  <si>
    <t>12/12/2025 Sin modificación  31/03/2025 Se ajusta el orden de la información de acuerdo a cada variable.</t>
  </si>
  <si>
    <t>RPYMS196X</t>
  </si>
  <si>
    <t>Proporción de niños con desnutrición aguda, con control posterior al egreso hospitalario</t>
  </si>
  <si>
    <t>Número de niños de 0 a 59 meses hospitalizados por desnutrición aguda moderada o severa con egreso hospitalario; que registran valoración por medicina, enfermería o nutrición en los primeros 15 días posterior al egreso hospitalario</t>
  </si>
  <si>
    <t>Seguimiento</t>
  </si>
  <si>
    <t>Número de niños y niñas de 0 a 59 meses hospitalizados por desnutrición aguda moderada o severa con egreso hospitalario que registran valoración por medicina, enfermería o nutrición menor o igual 15 días posterior a la fecha del egreso hospitalario</t>
  </si>
  <si>
    <t>Número de niños y niñas de 0 a 59 meses hospitalizados por desnutrición aguda moderada o severa con egreso hospitalario.</t>
  </si>
  <si>
    <t>Número de niños y niñas  de 0 a 59 meses con desnutrición aguda moderada o severa que registran al menos una atención por medicina, enfermería o nutrición menor o igual 15 días posterior a la fecha del egreso hospitalario.
1. RIPS: fecha de atención hasta 15 días posterior a la fecha del egreso hospitalario, correspondientes a las atenciones de los siguientes CUPS:
*CUPS:
890283 - CONSULTA DE PRIMERA VEZ POR ESPECIALISTA EN PEDIATRIA
890383 - CONSULTA DE CONTROL O DE SEGUIMIENTO POR ESPECIALISTA EN PEDIATRIA
890483 - INTERCONSULTA POR ESPECIALISTA EN PEDIATRIA
890783 - CONSULTA DE URGENCIAS POR ESPECIALISTA EN PEDIATRIA
890205 - CONSULTA DE PRIMERA VEZ POR ENFERMERIA
890305 - CONSULTA DE CONTROL O DE SEGUIMIENTO POR ENFERMERIA
990204 - EDUCACION INDIVIDUAL EN SALUD, POR ENFERMERIA
E890157 - VISITA DOMICILIARIA POR AUXILIAR DE ENFERMERIA
890263 - CONSULTA DE PRIMERA VEZ POR ESPECIALISTA EN MEDICINA FAMILIAR
890363 - CONSULTA DE CONTROL O DE SEGUIMIENTO POR ESPECIALISTA EN MEDICINA FAMILIAR
890216 - CONSULTA DE PRIMERA VEZ POR ESPECIALISTA EN SALUD FAMILIAR Y COMUNITARIA
890316 - CONSULTA DE CONTROL O DE SEGUIMIENTO POR ESPECIALISTA EN SALUD FAMILIAR Y COMUNITARIA
890416 - INTERCONSULTA POR ESPECIALISTA EN SALUD FAMILIAR Y COMUNITARIA
890463 - INTERCONSULTA POR ESPECIALISTA EN MEDICINA FAMILIAR
890763 - CONSULTA DE URGENCIAS POR ESPECIALISTA EN MEDICINA FAMILIAR
E890201 - CONSULTA DE PRIMERA VEZ POR ESPECIALISTA EN PEDIATRIA POR TELESALUD O TELEMEDICINA
E890383 - CONSULTA DE CONTROL O DE SEGUIMIENTO POR ESPECIALISTA EN PEDIATRIA POR TELESALUD O TELEMEDICINA
890201 - CONSULTA DE PRIMERA VEZ POR MEDICINA  GENERAL
890301 - CONSULTA DE CONTROL O DE SEGUIMIENTO POR   MEDICINA GENERAL
890306 - CONSULTA DE CONTROL O DE SEGUIMIENTO POR  NUTRICIÓN O DIETÉTICA
890101 - ATENCIÓN VISITA DOMICILIARIA POR MEDICINA GENERAL
890105 - ATENCIÓN VISITA DOMICILIARIA POR ENFERMERÍA
890106 - ATENCIÓN VISITA DOMICILIARIA POR NUTRICIÓN Y DIETÉTICA
890206 - CONSULTA DE PRIMERA VEZ POR NUTRICIÓN Y DIETÉTICA</t>
  </si>
  <si>
    <t>1. SIVIGILA  
Evento 113: 
Fecha de consulta  (fec_con_): últimos 12 meses
"Ajuste_": todos, excepto 6 y D
Score P/T(zscore_pt): &lt; - 2DS o sin dato
"pac_hos_" = "1"
"fec_hos_" posterior a "fec_con_"
Estado: activo
2. Censo hospitalario: variable "Fecha Egreso" válida posterior a la "fec_hos_"</t>
  </si>
  <si>
    <t>Niños y niñas de 0 a 59 meses  con diagnóstico de Desnutrición aguda, moderada o severa, con control post egreso hospitalario, estado activo.</t>
  </si>
  <si>
    <t xml:space="preserve">Niños y niñas de 0 a 59 meses  con diagnóstico de Desnutrición aguda, moderada o severa, estado activo.
Edad calculada a "fec_con_" (fecha de consulta)
</t>
  </si>
  <si>
    <t>1. SIVIGILA EVENTO 113. Seleccionar niños en edad de 0-59 meses a la fecha de consulta (Columna Edad en meses a la fecha de la consulta (SIVIGILA))
2. Estado Activo (ESTADO AC)
3. Fecha de consulta  (fec_con_): últimos 12 meses incluyendo el mes a evaluar
3. "Ajuste_": todos, excepto 6 y D
4. Con P/T &lt; - 2DS o sin dato (DATO_ZSCORE_PT)
5. "pac_hos_" = "1 "
6. Registrar la fecha de atención hasta 15 días posterior a la fecha del egreso hospitalario. (Columna: Fecha valoración posterior al egreso hospitalario)</t>
  </si>
  <si>
    <t xml:space="preserve">1. SIVIGILA EVENTO 113. Seleccionar niños en edad de 0-59 meses a la fecha de consulta (Columna Edad en meses a la fecha de la consulta (SIVIGILA))
2. Estado Activo (ESTADO AC)
3. Fecha de consulta  (fec_con_): últimos 12 meses incluyendo el mes a evaluar
3. "Ajuste_": todos, excepto 6 y D
4. Con -2 DE o vacio (DATO_ZSCORE_PT)
5.  "pac_hos_" = "1 "
7. Censo hospitalario: variable "Fecha Egreso" válida posterior a la "fec_hos_" </t>
  </si>
  <si>
    <t>43.21%</t>
  </si>
  <si>
    <t>RPYMS202X</t>
  </si>
  <si>
    <t>Proporción de niños con desnutrición aguda, con seguimiento ambulatorio</t>
  </si>
  <si>
    <t>Proporción de niños de 0 a 59 meses con desnutrición aguda moderada o severa en manejo ambulatorio que registran mínimo 2 seguimientos en 30 días posteriores a la fecha de notificación</t>
  </si>
  <si>
    <t>Número de niños de 0 a 59 meses identificados con desnutrición aguda moderada o severa que registran al menos 2 valoraciones por medicina, enfermeria o nutrición, en los siguientes 30 días a la fecha de notificación.</t>
  </si>
  <si>
    <t>Niños y niñas de 0 a 59 meses  con diagnóstico de Desnutrición aguda, moderada o severa, con seguimiento ambulatorio, estado activo.</t>
  </si>
  <si>
    <r>
      <t xml:space="preserve">1. SIVIGILA EVENTO 113.
2. Seleccionar niños en edad de 0-59 meses a la fecha de consulta (Columna Edad en meses a la fecha de la consulta (SIVIGILA))
3. Estado Activo (ESTADO AC)
4. Fecha de consulta  (fec_con_): últimos 12 meses incluyendo el mes a evaluar
5. "Ajuste_": todos, excepto 6 y D
6. Con P/T &lt; - 2DS o sin dato (DATO_ZSCORE_PT)
7. "pac_hos_" = "2 y vacias "
8. Con al menos </t>
    </r>
    <r>
      <rPr>
        <sz val="10"/>
        <color rgb="FFFF0000"/>
        <rFont val="Calibri Light"/>
        <family val="2"/>
        <scheme val="major"/>
      </rPr>
      <t>1</t>
    </r>
    <r>
      <rPr>
        <sz val="10"/>
        <rFont val="Calibri Light"/>
        <family val="2"/>
        <scheme val="major"/>
      </rPr>
      <t xml:space="preserve"> atención (por med, nutr o enf: )menor o igual a 30 días posterior a la fecha de consulta (fec_con_) 
*CUPS:
890283 - CONSULTA DE PRIMERA VEZ POR ESPECIALISTA EN PEDIATRIA
890383 - CONSULTA DE CONTROL O DE SEGUIMIENTO POR ESPECIALISTA EN PEDIATRIA
890483 - INTERCONSULTA POR ESPECIALISTA EN PEDIATRIA
890783 - CONSULTA DE URGENCIAS POR ESPECIALISTA EN PEDIATRIA
890205 - CONSULTA DE PRIMERA VEZ POR ENFERMERIA
890305 - CONSULTA DE CONTROL O DE SEGUIMIENTO POR ENFERMERIA
990204 - EDUCACION INDIVIDUAL EN SALUD, POR ENFERMERIA
E890157 - VISITA DOMICILIARIA POR AUXILIAR DE ENFERMERIA
890263 - CONSULTA DE PRIMERA VEZ POR ESPECIALISTA EN MEDICINA FAMILIAR
890363 - CONSULTA DE CONTROL O DE SEGUIMIENTO POR ESPECIALISTA EN MEDICINA FAMILIAR
890216 - CONSULTA DE PRIMERA VEZ POR ESPECIALISTA EN SALUD FAMILIAR Y COMUNITARIA
890316 - CONSULTA DE CONTROL O DE SEGUIMIENTO POR ESPECIALISTA EN SALUD FAMILIAR Y COMUNITARIA
890416 - INTERCONSULTA POR ESPECIALISTA EN SALUD FAMILIAR Y COMUNITARIA
890463 - INTERCONSULTA POR ESPECIALISTA EN MEDICINA FAMILIAR
890763 - CONSULTA DE URGENCIAS POR ESPECIALISTA EN MEDICINA FAMILIAR
E890201 - CONSULTA DE PRIMERA VEZ POR ESPECIALISTA EN PEDIATRIA POR TELESALUD O TELEMEDICINA
E890383 - CONSULTA DE CONTROL O DE SEGUIMIENTO POR ESPECIALISTA EN PEDIATRIA POR TELESALUD O TELEMEDICINA
890201 - CONSULTA DE PRIMERA VEZ POR MEDICINA  GENERAL
890301 - CONSULTA DE CONTROL O DE SEGUIMIENTO POR   MEDICINA GENERAL
890306 - CONSULTA DE CONTROL O DE SEGUIMIENTO POR  NUTRICIÓN O DIETÉTICA
890101 - ATENCIÓN VISITA DOMICILIARIA POR MEDICINA GENERAL
890105 - ATENCIÓN VISITA DOMICILIARIA POR ENFERMERÍA
890106 - ATENCIÓN VISITA DOMICILIARIA POR NUTRICIÓN Y DIETÉTICA
890206 - CONSULTA DE PRIMERA VEZ POR NUTRICIÓN Y DIETÉTICA</t>
    </r>
  </si>
  <si>
    <t>8.4%</t>
  </si>
  <si>
    <t>RPYMS240X</t>
  </si>
  <si>
    <t>Proporción de casos notificados por DNT aguda y severa que sobreviven</t>
  </si>
  <si>
    <t>Proporción de niños menores de cinco años notificados con desnutrición que no fallecen</t>
  </si>
  <si>
    <t>Ranking INS</t>
  </si>
  <si>
    <t>INS</t>
  </si>
  <si>
    <t>Usuarios con Desnutrición que fallecen</t>
  </si>
  <si>
    <t>AMBOS</t>
  </si>
  <si>
    <t>Numero de personas afiliadas que han sido notificadas en SIVIGILA:
Fecha Consulta "fec_Not_": Últimos 12 meses
Evento: 113
"Ajuste_" Excepto: 6 o D o R
que no registran en evento "591" con ajuste diferente a 6 o D y conclasificacion Final "1"</t>
  </si>
  <si>
    <t>Numero de personas afiliadas que han sido notificadas en SIVIGILA:
Fecha Consulta "fec_Not_": Últimos 12 meses
Niños menores menores de 5 años
Evento: 113
"Ajuste_" Excepto: 6 o D o R
"Ajuste_": 0 y 7
Score P/T(zscore_pt): &lt; - 2DS  o
Perímetro braquial (per_braqui): &lt;11,5 cm</t>
  </si>
  <si>
    <t>SIVIGILA
Evento: 113 - 591
"Ajuste_" Excepto: 6 o D o R
NO registran en evento "591"</t>
  </si>
  <si>
    <t>SIVIGILA
Evento: 113
"Ajuste_" Excepto: 6 o D o R</t>
  </si>
  <si>
    <t>Usuarios notificados SIVIGILA evento 113 y no registran en evento 591</t>
  </si>
  <si>
    <t>Usuarios notificados SIVIGILA evento 113</t>
  </si>
  <si>
    <t>indicador Ranking INS
incluye usuarios Activos; Suspendidos y Cancelados</t>
  </si>
  <si>
    <t>99.43%</t>
  </si>
  <si>
    <t>99.26%</t>
  </si>
  <si>
    <t>12/12/2025 Sin modificación.  //9/12/2024: sin modificación</t>
  </si>
  <si>
    <t>RPYMS219X</t>
  </si>
  <si>
    <t>Proporción de casos de meningitis con clasificación final</t>
  </si>
  <si>
    <t>Proporción de casos de meningitis notificados al SIVIGILA, clasificación como confirmados o casos descartados.</t>
  </si>
  <si>
    <t>Seguimiento a confirmación o descarte del evento.</t>
  </si>
  <si>
    <t>Numero de personas afiliadas que han sido notificadas en SIVIGILA:
Fecha Notificación "fec_Not_": Últimos 12 meses sin tomar los últimos 2 meses
Evento: 535
"Ajuste_" Opción 3 o 6
o
"Tip_Cas": Opción 3</t>
  </si>
  <si>
    <t>Numero de personas afiliadas que han sido notificadas en sivigila:
Fecha NOTIFICACIÓN "fec_Not_": Últimos 12 meses sin tomar los últimos 2 meses
Evento: 535
"Ajuste_" Excepto: D o R</t>
  </si>
  <si>
    <t>SIVIGILA
Evento: 535
"Ajuste_" Opción 3 o 6</t>
  </si>
  <si>
    <t>SIVIGILA
Evento: 535
"Ajuste_" Excepto: D o R</t>
  </si>
  <si>
    <t>Usuarios notificados SIVIGILA evento 535</t>
  </si>
  <si>
    <t>"Ajuste_" Excepto: D o R</t>
  </si>
  <si>
    <t>IPS Notificadora
Usuarios en estado Activo
indicador Ranking INS</t>
  </si>
  <si>
    <t>Tomar el archivo dispuesto en OneDrive del evento, carpeta cohortes/ Indicador medido Procex, filtrar variable “Numerador RPYMS219X” que se construye al generar los siguientes filtros: 
- casos del denominador que: 
- “AJUSTE” = “3” o “6”
o
- “TIP_CAS”= 3</t>
  </si>
  <si>
    <t>Tomar el archivo dispuesto en OneDrive del evento, carpeta cohortes/ Indicador medido Procex, filtrar variable “Denominador RPYMS219X” que se construye al generar los siguientes filtros: 
- “ESTADO” = “AC”
- “AJUSTE” = Seleccionar todas excepto “D” y “R”
-“FECHA_NOTIFICACION” = Seleccionar 12 meses atrás sin tomar los últimos dos meses
- “ACTIVO_IPS_NOTIFICADORA” = “S”</t>
  </si>
  <si>
    <t>Archivos informes meningitis</t>
  </si>
  <si>
    <t>98.68%</t>
  </si>
  <si>
    <t>98.53%</t>
  </si>
  <si>
    <t>RPYMS236X</t>
  </si>
  <si>
    <t>Proporción de usuarios con dengue con signos de alarma hospitalizados</t>
  </si>
  <si>
    <t>Proporción de casos de dengue con signos de alarma notificados al SIVIGILA que registran hospitalización.</t>
  </si>
  <si>
    <t>Seguimiento a hospitalización de dengue con signos de alarma</t>
  </si>
  <si>
    <t>Numero de personas afiliadas que han sido notificadas en SIVIGILA:
Fecha Notificacion "fec_Not_": Últimos 12 meses
Evento: 210
"Ajuste_" Excepto: 6 o D o R
"ClasFinal" opción 2
"fec_hos_": Fecha valida</t>
  </si>
  <si>
    <t>Numero de personas afiliadas que han sido notificadas en si vigila:
Fecha Consulta "fec_Not_": Últimos 12 meses
Evento: 210
"Ajuste_" Excepto: 6 o D o R
"ClasFinal" opción 2</t>
  </si>
  <si>
    <t>SIVIGILA
Evento: 210
"Ajuste_" Excepto: 6 o D o R
"ClasFinal" opción 2</t>
  </si>
  <si>
    <t>Usuarios notificados con Dengue con signos de alarma evento 210 de SIVIGILA</t>
  </si>
  <si>
    <t>indicador Ranking INS
IPS Notificadora - dse validara el evento relacionado con Dengue mas reciente</t>
  </si>
  <si>
    <t>Tomar el archivo dispuesto en OneDrive del evento, carpeta cohortes/ Indicador medido, filtrar variable “Numerador RPYMS236X” que se construye al generar los siguientes filtros: 
- casos del denominador que: 
- “FEC_HOS” = fecha válida</t>
  </si>
  <si>
    <t>Tomar el archivo dispuesto en OneDrive del evento, carpeta cohortes/ Indicador medido, filtrar variable “Denominador RPYMS236X” que se construye al generar los siguientes filtros: 
- “ESTADO” = “AC”
- “CODIGO_EVENTO” = 210
- “CLASFINAL” = 2
- “AJUSTE” = Seleccionar todas excepto “6”, “D” y “R”
- “FECHA_NOTIFICACION” = Seleccionar 12 meses atrás, incluyendo el más reciente es el periodo a evaluar
- “ACTIVO_IPS_NOTIFICADORA” = “S”</t>
  </si>
  <si>
    <t>Archivos informes dengue</t>
  </si>
  <si>
    <t>81.97%</t>
  </si>
  <si>
    <t>RPYMS237X</t>
  </si>
  <si>
    <t>Proporción de usuarios con dengue grave hospitalizados</t>
  </si>
  <si>
    <t>Proporción de casos de dengue grave notificados al SIVIGILA que registran hospitalización.</t>
  </si>
  <si>
    <t>Seguimiento a hospitalización de dengue grave</t>
  </si>
  <si>
    <t>Numero de personas afiliadas que han sido notificadas en SIVIGILA:
Fecha Consulta "fec_Not_": Últimos 12 meses
Evento: 220
"Ajuste_" Excepto: 6 o D o R
"ClasFinal" opción 3
"fec_hos_": Fecha valida</t>
  </si>
  <si>
    <t>Numero de personas afiliadas que han sido notificadas en si vigila:
Fecha Consulta "fec_Not_": Últimos 12 meses
Evento: 220
"Ajuste_" Excepto: 6 o D o R
"ClasFinal" opción 3</t>
  </si>
  <si>
    <t xml:space="preserve">SIVIGILA
Evento: 220
"Ajuste_" Excepto: 6 o D o R
"ClasFinal" opción 3
</t>
  </si>
  <si>
    <t>SIVIGILA
Evento: 220
"Ajuste_" Excepto: 6 o D o R
"ClasFinal" opción 3</t>
  </si>
  <si>
    <t>Usuarios notificados con Dengue Grave evento 220 de SIVIGILA</t>
  </si>
  <si>
    <t>Tomar el archivo dispuesto en OneDrive del evento, carpeta cohortes/ Indicador medido, filtrar variable “Numerador RPYMS237X” que se construye al generar los siguientes filtros: 
- casos del denominador que: 
- “FEC_HOS” = fecha válida</t>
  </si>
  <si>
    <t>Tomar el archivo dispuesto en OneDrive del evento, carpeta cohortes/ Indicador medido, filtrar variable “Denominador RPYMS237X” que se construye al generar los siguientes filtros: 
- “ESTADO” = “AC”
- “CODIGO_EVENTO” = 220
- “CLASFINAL” = 3
- “AJUSTE” = Seleccionar todas excepto “6”, “D” y “R”
- “FECHA_NOTIFICACION” = Seleccionar 12 meses atrás, incluyendo el más reciente es el periodo a evaluar
- “ACTIVO_IPS_NOTIFICADORA” = “S”</t>
  </si>
  <si>
    <t>96.66%</t>
  </si>
  <si>
    <t>90.69%</t>
  </si>
  <si>
    <t>RPYMS238X</t>
  </si>
  <si>
    <t>Proporción de casos notificados como sospechoso de Malaria complicada hospitalizados</t>
  </si>
  <si>
    <t>Proporción de casos de Malaria complicada notificados al SIVIGILA que registran hospitalización.</t>
  </si>
  <si>
    <t>Seguimiento a hospitalización de malaria complicada</t>
  </si>
  <si>
    <t>Numero de personas afiliadas que han sido notificadas en SIVIGILA:
Fecha Consulta "fec_Not_": Últimos 12 meses
Evento: 465
"Ajuste_" Excepto: 6 o D o R
"complic" opción 1
"fec_hos_": Fecha valida</t>
  </si>
  <si>
    <t>Numero de personas afiliadas que han sido notificadas en si vigila:
Fecha Consulta "fec_Not_": Últimos 12 meses
Evento: 465
"Ajuste_" Excepto: 6 o D o R
"complic" opción 1</t>
  </si>
  <si>
    <t>SIVIGILA
Evento: 465
"Ajuste_" Excepto: 6 o D o R
"complic" opción 1</t>
  </si>
  <si>
    <t>Usuarios notificados SIVIGILA evento 465</t>
  </si>
  <si>
    <t>IPS NOTIFICADORA
SOLO SE TOMA POBLACION ACTIVA
indicador Ranking INS</t>
  </si>
  <si>
    <t>Tomar el archivo dispuesto en OneDrive del evento, carpeta cohortes/ Indicador medido, filtrar variable “Numerador RPYMS238X” que se construye al generar los siguientes filtros: 
- casos del denominador que: 
- “FEC_HOS” = fecha válida</t>
  </si>
  <si>
    <t>Tomar el archivo dispuesto en OneDrive del evento, carpeta cohortes/ Indicador medido, filtrar variable “Denominador RPYMS238X” que se construye al generar los siguientes filtros: 
- “ESTADO” = “AC”
- “AJUSTE” = Seleccionar todas excepto “6”, “D” y “R”
- “COMPLICACI” = 1
- “FECHA_NOTIFICACION” = Seleccionar 12 meses atrás, incluyendo el más reciente es el periodo a evaluar
- “ACTIVO_IPS_NOTIFICADORA” = “S”</t>
  </si>
  <si>
    <t>Archivos informes malaria</t>
  </si>
  <si>
    <t>94.42%</t>
  </si>
  <si>
    <t>95.28%</t>
  </si>
  <si>
    <t>RPYMS239X</t>
  </si>
  <si>
    <t xml:space="preserve">Proporción de casos notificados por Parálisis Flácida Aguda (PFA) con valoración neurológica de 60 días </t>
  </si>
  <si>
    <t>Proporción de casos  de PFA notificados al SIVIGILA que registran  valoración neurológica a los 60 días.</t>
  </si>
  <si>
    <t>Seguimiento de valoración neurológica</t>
  </si>
  <si>
    <t>Numero de personas afiliadas que han sido notificadas en SIVIGILA:
Fecha notificacion "fec_Not_" Últimos 12 meses sin tomar los últimos 2 meses
Evento: 610
"Fec_Seg": Fecha entre 53 y 67 dias posterior  a fecha de Fecha inicio de paralisis "ini_par": más "antigua"</t>
  </si>
  <si>
    <t xml:space="preserve">Numero de personas afiliadas que han sido notificadas en si vigila:
Fecha Consulta "fec_Not_": Últimos 12 meses sin tomar los últimos 2 meses
Evento: 610
Fecha más antigua de notificación
</t>
  </si>
  <si>
    <t xml:space="preserve">SIVIGILA
Evento: 610
</t>
  </si>
  <si>
    <t>SIVIGILA
Evento: 610</t>
  </si>
  <si>
    <t>Usuarios notificados SIVIGILA evento 610</t>
  </si>
  <si>
    <t>indicador Ranking INS
IPS primaria usuarios activos</t>
  </si>
  <si>
    <t>El indicador de valoración neurológica a los 30, 60 y 90 días posteror a la parálisis el cual tiene como objetivo configurar y clasificación final de los casos, independiente si el resultado de laboratorio para poliovirus es negativo; ya que su finalidad es conocer si la PFA dejo secuelas o parálisis residual, continúa siendo bajo sin sobrepasar el 50 %, la gestión está a cargo de las EPAB quienes deben garantizar el acceso al servicio de salud para las valoraciones correspondientes (12). Fuente: Informe de Evento Primer Semestre Parálisis Flácida Aguda, 202</t>
  </si>
  <si>
    <t>Tomar el archivo dispuesto en OneDrive del evento, carpeta cohortes/ Indicador medido, filtrar variable “Numerador RPYMS239X” que se construye al generar los siguientes filtros: 
- casos del denominador que: 
- “dif días” esté entre 57 y 67; esta variable mide la diferencia entre “INI_PAR” y “FEC_SEG”</t>
  </si>
  <si>
    <t>Tomar el archivo dispuesto en OneDrive del evento, carpeta cohortes/ Indicador medido, filtrar variable “Denominador RPYMS239X” que se construye al generar los siguientes filtros: 
- “ESTADO” = “AC”
- “AJUSTE” = Seleccionar todas excepto “D” y “R”
- “FECHA_NOTIFICACION” = Seleccionar los últimos 12 meses sin tomar los últimos dos.</t>
  </si>
  <si>
    <t>Archivos informes PFA</t>
  </si>
  <si>
    <t>42.85%</t>
  </si>
  <si>
    <t>43.33%</t>
  </si>
  <si>
    <t>12/12/2025 Sin modificación.  6/03/2024 Según concepto del INS es válida la Fecha de valoración neurológica si se realiza entre 53 y 67 dias posterior  a fecha de Fecha inicio de paralisis, por lo que se ajusta, porque estaba entre 60 y 67 días. Tambien se agrega la explicacion de la meta.</t>
  </si>
  <si>
    <t>RPYMS226X</t>
  </si>
  <si>
    <t>Captación de Sintomáticos Respiratorios</t>
  </si>
  <si>
    <t>Proporción de usuarios reportados como Sintomáticos Respiratorios en el año</t>
  </si>
  <si>
    <t>Transmisibles</t>
  </si>
  <si>
    <t>SR</t>
  </si>
  <si>
    <t>Número de usuarios identificados como sintomáticos respiratorios
Fecha de reporte: Año vigente</t>
  </si>
  <si>
    <t>Base IPS Histórica SR (Base Nacional):
2.5% de las consultas de primera vez en consulta externa por cualquier causa, derivada del año inmediatamente anterior al evaluado a mayores de 15 años.
Dividido en 12 multiplicado por el mes a evaluar
IPS Nueva:
2.5% de la población mayor de 15 años
Dividido en 12 multiplicado por el mes a evaluar</t>
  </si>
  <si>
    <t>1 - Resolución 202
Mes de reporte: Año vigente
Variable 18: "1" 
2 - Modulo TBC: (Sintomáticos)
Libro sintomáticos respiratorios:  
Fecha de captación: año vigente</t>
  </si>
  <si>
    <t>Año Anterior</t>
  </si>
  <si>
    <t>Población activa a fecha de corte:
identificada como SR durante el año vigente</t>
  </si>
  <si>
    <t>1 - 2,5% Número de usuarios &gt;=15 años con consulta de primera vez (consulta externa), durante el año inmediatamente anterior
2 -2,5% de la población total afiliada &gt;=15 años</t>
  </si>
  <si>
    <t>Pacientes con diagnosticados de TBC del año previo</t>
  </si>
  <si>
    <t>Evaluación de la meta programática de captación de sintomáticos respiratorios:
Para el calculo del denominador se tiene en cuenta Población atendida ≥15 años por primera vez en consulta externa por cualquier causa, derivada del año inmediatamente anterior.
Se cuenta por cedula única, independiente los reportes realizados durante el periodo evaluado (ano vigente)
Obligatorio para todas las IPS</t>
  </si>
  <si>
    <t>Evaluación del 2,5% anual, que se deberá subdividir, para conocer su cumplimiento trimestral, mensual y diario.
El 2,5% de las consultas se convierte en la meta (número) del año a evaluar. 
Para las IPS nuevas, que no conocemos su histórico de atención se calcula sobre e 2,5% de la población &gt;= de 15 años afiliada
Meta normativa</t>
  </si>
  <si>
    <t>Cohorte SR dispuesta en onedrive /filtrar:
Estado de afiliación: AC
Fecha de captación (DD/MM/AAAA): fecha de captación de sintomáticos respiratorios año vigente incluyendo el mes a evaluar.</t>
  </si>
  <si>
    <t>Meta programatica a Nivel Nacional</t>
  </si>
  <si>
    <t>53.93%</t>
  </si>
  <si>
    <t>64.54%</t>
  </si>
  <si>
    <t>RPYMS227X</t>
  </si>
  <si>
    <r>
      <t xml:space="preserve">Cumplimiento en toma de </t>
    </r>
    <r>
      <rPr>
        <b/>
        <sz val="10"/>
        <color theme="1"/>
        <rFont val="Calibri Light"/>
        <family val="2"/>
        <scheme val="major"/>
      </rPr>
      <t>Pruebas Diagnosticas</t>
    </r>
    <r>
      <rPr>
        <sz val="10"/>
        <color theme="1"/>
        <rFont val="Calibri Light"/>
        <family val="2"/>
        <scheme val="major"/>
      </rPr>
      <t xml:space="preserve"> para TBC a Sintomáticos Respiratorios</t>
    </r>
  </si>
  <si>
    <t>Proporción de usuarios reportados como sintomáticos respiratorios que cumplen con la toma y resultado de pruebas diagnosticas para TBC</t>
  </si>
  <si>
    <t>Baciloscopia</t>
  </si>
  <si>
    <t>Número de usuarios identificados como sintomáticos respiratorios captados, con reporte de toma de PRUEBA DE DIAGNOSTICO  en el periodo evaluado 
Fecha de reporte: Año vigente
* Fecha de BK: Año Vigente
Resultado de BK: Negativa o Positiva
* Fecha de PCR: Año Vigente
Resultado de PCR: No detectable,  No interpretable, Contaminad, detectado 
* Fecha de CULTIVO: Año Vigente
Resultado de CULTIVO: Con resultado</t>
  </si>
  <si>
    <t>Número de usuarios identificados como sintomáticos respiratorios captados. (Núm.: RPYMS226)
Fecha de reporte: Año vigente</t>
  </si>
  <si>
    <r>
      <t xml:space="preserve">1 - Resolución 202
Mes de reporte: Año vigente
Variable 18: "1" 
Variable 112: Año vigente
Variable 113: 1 y 2
aclaración Fecha toma de Baciloscopia (trae)
</t>
    </r>
    <r>
      <rPr>
        <b/>
        <sz val="10"/>
        <color theme="1"/>
        <rFont val="Calibri Light"/>
        <family val="2"/>
        <scheme val="major"/>
      </rPr>
      <t xml:space="preserve">
2 - Modulo TBC:
Libro sintomáticos TB y laboratorios
BK: año vigente
Resultado BK: Negativo, De 1 a 9 BAAR, +, ++, +++
Cultivo: año vigente
Resultado Cultivo: Negativo, De 1 a 9 colonias, +, ++, +++
PCR: año vigente
Resultado PCR:  No detectable,  No interpretable, Contaminado, detectable
</t>
    </r>
  </si>
  <si>
    <t>Población activa a fecha de corte:
Identificada como SR
Con fecha y resultado de BK, PCR y Cultivo año vigente</t>
  </si>
  <si>
    <t>Se establece indicador con el fin de garantizar la gestión de riesgo de los afiliados  garantizar la toma de pruebas diagnostica para TBC</t>
  </si>
  <si>
    <t>El Numerador del 226, es el denominador de este indicador. El total de usuarios captados como sintomáticos debe ser proporcional al total de baciloscopias solicitados en el periodo evaluado.</t>
  </si>
  <si>
    <t>Cohorte SR dispuesta en onedrive /filtrar:
Estado de afiliación: AC
Fecha de captación (DD/MM/AAAA): fecha de captación de sintomáticos respiratorios año vigente incluyendo el mes a evaluar.
Fecha BK: DD/MM/AAAA año vigente 
Resultado BK :1,2,3,4,5,6,7
Fecha Cultivo: DD/MM/AAAA año vigente
Resultado Cultivo: 1,2,3,4,5,6,7, 8
Fecha Molecular: DD/MM/AAAA año vigente 
Resultado Molecular: 1,2,3,5</t>
  </si>
  <si>
    <t>73.28%</t>
  </si>
  <si>
    <t>RPYMS229X</t>
  </si>
  <si>
    <t>Proporción de éxito de tratamiento en casos nuevos de tuberculosis pulmonar</t>
  </si>
  <si>
    <t>Proporción de usuarios con registro de  tratamiento para TBC terminado o curado.</t>
  </si>
  <si>
    <t>TBC</t>
  </si>
  <si>
    <r>
      <t xml:space="preserve">1 - Modulo TBC: (Casos)
Estado afiliación: Activo al mes a evaluar
Tipo Tuberculosis: Pulmonar
Registra: Fecha de inicio de tratamiento 12 meses atrás incluyendo mes a evaluar </t>
    </r>
    <r>
      <rPr>
        <b/>
        <sz val="10"/>
        <color theme="1"/>
        <rFont val="Calibri Light"/>
        <family val="2"/>
        <scheme val="major"/>
      </rPr>
      <t xml:space="preserve">y no se Toma los últimos 7 meses
Condición de egreso: "curado + terminado" </t>
    </r>
    <r>
      <rPr>
        <sz val="10"/>
        <color theme="1"/>
        <rFont val="Calibri Light"/>
        <family val="2"/>
        <scheme val="major"/>
      </rPr>
      <t xml:space="preserve">
</t>
    </r>
  </si>
  <si>
    <t xml:space="preserve">1 - Modulo TBC: (Casos)
Estado afiliación: Activo al mes a evaluar
Casos de TBC: tener en cuenta todas las condiciones (curado-terminado-fallecido-recuperado-abandono-reingreso-fracaso)
Tipo Tuberculosis: Pulmonar 
Registra: Fecha de inicio de tratamiento 12 meses atrás incluyendo mes a evaluar y no tomar los últimos 7 meses
Condición de ingreso: Nuevo + vacio (sin información)
Clasificación del caso: Sensible
</t>
  </si>
  <si>
    <t xml:space="preserve">1 - Modulo TBC: 
*Modulo cohortes 2.2 Libro de pacientes variable fecha de inicio de tratamiento; variable tipo de tb pulmonar , variable condición de egreso al tratamiento opciones curado o terminado. 
*Modulo gestión de casos: gestión de pte TB variable fecha de inicio de tratamiento, variable estado del tratamiento del caso OPCIONES curado o terminado) 
</t>
  </si>
  <si>
    <t xml:space="preserve">1 - Modulo TBC: (Casos) 
*Cohorte TB pacientes: 
- Variable fecha de inicio de tratamiento, 
- Variable tipo de TB: opción pulmonar 
Condición de ingreso: Nuevo + vacio (sin información)
Clasificación del caso: Sensible
* Modulo gestión de casos:
- Fecha de inicio de TTA, 
- Variable tipo de TB opción TB pulmonar.
</t>
  </si>
  <si>
    <t>12 meses atrás incluyendo el mes a evaluar y no se toman los últimos 7 meses</t>
  </si>
  <si>
    <t>Población del denominador 
con fecha valida de inicio de tratamiento
Con condición de egreso seleccionar  "curado o terminado"</t>
  </si>
  <si>
    <t>Numero de usuarios que inician tratamiento para TBC pulmonar, - 
Condición de ingreso: Nuevo + vacio (sin información)
Clasificación del caso: Sensible</t>
  </si>
  <si>
    <t>Se excluyen usuarios con las siguientes comorbilidades:
VIH, ERC, Silicosis.
Se excluye Descartado
Se excluye la condición de ingreso: diferente a Nuevo y vacio
Se excluyen lo casos con clasificación de la TB respecto al tratamiento: diferente a sensible</t>
  </si>
  <si>
    <t>Se entiende como tratamiento exitoso, la condición de egreso de paciente como de curado + terminado
Fecha de egreso conforme al periodo retrospectivo descrito para la medición de este indicador , es decir no se tomaran fechas digitadas en el modulo en periodo actual.
Solo se dejan 7 meses para finalizar tratamiento y para reporte de resultados y condición de egreso por esa razón solo se evaluaras los usuarios que han iniciado tratamiento en los primeros 5 meses del año evaluado.
La población del denominador asi:
Aplica unicamente para los casos con condición de ingreso = Nuevo y vacio
Aplica unicamente para los casos con clasificación del caso = sensible
Se excluyen los descartados</t>
  </si>
  <si>
    <t>Se requiere que todo usuario diagnosticado con TB que inicia tratamiento, lo finalice de manera completa y se valide que este fue efectivo, se encuentre curado.
Además se requiere el reporte y actualización completa del modulo de gestión.</t>
  </si>
  <si>
    <t>Cohorte de Paciente dispuesta en onedrive filtrando: Estado de afiliación: AC
Clasificación del caso: 3
Fecha de inicio de tratamiento: 12 meses atrás incluyendo mes a evaluar y no tomar los últimos 7 meses
Tipo tuberculosis: pulmonar
Condición de ingreso: Nuevo + vacío (sin información)
Antecedentes comorbilidad: excluir VIH ERC silicosis
Condición de egreso al tratamiento: Curado + tratamiento terminado</t>
  </si>
  <si>
    <t>Cohorte de paciente dispuesta en onedrive : Filtrando :Estado de afiliación: AC
Clasificación del caso: 3
Fecha de inicio de tratamiento: 12 meses atrás incluyendo mes a evaluar y no tomar los últimos 7 meses
Tipo tuberculosis: pulmonar
Condición de ingreso: Nuevo + vacío (sin información)
Antecedentes comorbilidad: excluir VIH ERC silicosis
Condición de egreso al tratamiento: (curado-terminado-fallecido-recuperado-abandono-reingreso-fracaso)</t>
  </si>
  <si>
    <t>54.44%</t>
  </si>
  <si>
    <t>50.31%</t>
  </si>
  <si>
    <t>RPYMS375X</t>
  </si>
  <si>
    <t>Proporción de usuarios con diagnostico de lepra que reciben tratamiento</t>
  </si>
  <si>
    <t>Proporción de usuarios reportados con diagnostico de Lepra que registra fecha de inicio de tratamiento</t>
  </si>
  <si>
    <t>Tratamiento Lepra</t>
  </si>
  <si>
    <t>Número de usuarios con diagnostico de Lepra, reportado por SIVIGILA
Registra: Fecha valida de inicio de tratamiento</t>
  </si>
  <si>
    <t>Numero de personas afiliadas que han sido notificadas en SIVIGILA:
Fecha Consulta "fec_Not_": 24 meses atrás sin tomar los ultimos 2
Evento: 450
"Ajuste_" Excepto: 6 o D o R</t>
  </si>
  <si>
    <t>1 Datos adicionales
"TRATAMIENTO_LEPRA"</t>
  </si>
  <si>
    <t>SIVIGILA
Evento: 450
"Ajuste_" Excepto: 6 o D o R</t>
  </si>
  <si>
    <t>24 meses atrás incluyendo el mes a evaluar</t>
  </si>
  <si>
    <t>24 meses atrás y no se toman los ultimos 2 meses</t>
  </si>
  <si>
    <t>Población del denominador 
con fecha valida de inicio de tratamiento</t>
  </si>
  <si>
    <t>Usuarios afiliados activos al mes a evaluar 
nuevos en el programa con diagnóstico de Lepra</t>
  </si>
  <si>
    <t>IPS  PRIMARIA USUARIOS ACTIVOS - Solo se tomará en cuenta que el usuario haya iniciado tratamiento</t>
  </si>
  <si>
    <t>Cohorte Lepra evento 450 dispuesta en onedrive filtrando usuarios que registren Fecha valida de inicio de tratamiento</t>
  </si>
  <si>
    <t>Cohorte Lepra Evento 450 dispuesta en onedrive filtrando : Estado activo
Fecha Consulta "fec_Not_": 24 meses atrás sin tomar los ultimos 2 meses
"Ajuste_" Excepto: 6 o D o R</t>
  </si>
  <si>
    <t>Pendiente</t>
  </si>
  <si>
    <t>99.15%</t>
  </si>
  <si>
    <t>93.15%</t>
  </si>
  <si>
    <t>RPYMS376X</t>
  </si>
  <si>
    <t>Proporción de usuarios con diagnostico de Malaria complicada que reciben tratamiento</t>
  </si>
  <si>
    <t>Proporción de usuarios reportados con Malaria Complicada que registra fecha de inicio de tratamiento</t>
  </si>
  <si>
    <t>Tratamiento Malaria complicada</t>
  </si>
  <si>
    <t>Número de usuarios con diagnostico de Malaria complicada , reportado por SIVIGILA
Registra: Fecha valida de inicio de tratamiento</t>
  </si>
  <si>
    <t>Numero de personas afiliadas que han sido notificadas en si vigila:
Fecha Consulta "fec_Not_": 3 meses atrás sin tomar el ultimo mes
Evento: 465
"Ajuste_" Excepto: 6 o D o R
"complic" opción 1</t>
  </si>
  <si>
    <t>1 Datos adicionales
"TRATAMIENTO_MALARIA"</t>
  </si>
  <si>
    <t>3 meses atrás incluyendo el mes a evaluar y no se toma el ultimo mes</t>
  </si>
  <si>
    <t>Usuarios afiliados activos al mes a evaluar 
nuevos en el programa con diagnóstico de malaria complicada</t>
  </si>
  <si>
    <t>Solo se tomará en cuenta que el usuario haya iniciado tratamiento
Se valida IPS primaria solo usuarios ACTIVOS</t>
  </si>
  <si>
    <t>Tomar el archivo dispuesto en OneDrive del evento, carpeta cohortes/ Indicador medido, filtrar variable “Numerador RPYMS376X” que se construye al generar los siguientes filtros: 
- casos del denominador que: 
- “FECHA_TRATAMIENTO_MALARIA” = fecha válida</t>
  </si>
  <si>
    <t>Tomar el archivo dispuesto en OneDrive del evento, carpeta cohortes/ Indicador medido, filtrar variable “Denominador RPYMS376X” que se construye al generar los siguientes filtros: 
- “ESTADO” = “AC”
- “AJUSTE” = Seleccionar todas excepto “6”, “D” y “R”
- “COMPLICACI” = 1
- “FECHA_NOTIFICACION” = Seleccionar los últimos tres meses sin el último mes</t>
  </si>
  <si>
    <t>RPYMS206X</t>
  </si>
  <si>
    <t>Personas Victimas de Conflicto Armado que registran valoración por profesional de enfermería</t>
  </si>
  <si>
    <t>Proporción de personas victimas del conflicto armado que registran valoración de enfermería</t>
  </si>
  <si>
    <t>PAPSIVI</t>
  </si>
  <si>
    <t>Usuarios Victimas de Conflicto Armado afiliadas a Nueva EPS,
con registro de consulta por enfermería 
Vigencia atención: Posterior a ingreso a RUV</t>
  </si>
  <si>
    <t>Usuarios Victimas de Conflicto Armado afiliados a NEPS
Edad entre 0 y 17 años</t>
  </si>
  <si>
    <t>1 - RIPS (AC)
CUPS:
- 890205 consulta de primera vez por enfermería
- 890305 consulta de control o de seguimiento por enfermería</t>
  </si>
  <si>
    <t>Cohorte PAPSIVI</t>
  </si>
  <si>
    <t>La población del denominador que cumple con al menos una atención posterior a RUV</t>
  </si>
  <si>
    <t>Población actual al mes a evaluar activos y nuevos
Población victima de conflicto armado</t>
  </si>
  <si>
    <t>LEY 1148 DE 2011 Protocolo de atención a victimas de conflicto armado, se ajusta indicador: enfermeria solo se validara en poblacion menor de 17 años  (curso de vida de primera infancia infancia y adolescencia)</t>
  </si>
  <si>
    <t xml:space="preserve">Se requiere que las IPS garanticen las atenciones mínimas del Protocolo PAPSIVI a todos los usuarios identificados como VCA (VICTIMA DE CONFLICTO ARMADO). </t>
  </si>
  <si>
    <t>Cohorte PoblacionVCA:
1. "Fecha consulta más reciente con enfermería" mayor o igual a "Fecha Reconocimiento como VCA".</t>
  </si>
  <si>
    <t>Cohorte PoblacionVCA:
1. Seleccionar usuarios con "Estado" activo.
2. Seleccionar usuarios con "Edad" &lt;=17.</t>
  </si>
  <si>
    <t>47.92%</t>
  </si>
  <si>
    <t>55.01%</t>
  </si>
  <si>
    <t>RPYMS208X</t>
  </si>
  <si>
    <t>Personas Victimas de Conflicto Armado que registran valoración por profesional de trabajo social</t>
  </si>
  <si>
    <t>Proporción de personas victimas del conflicto armado que registran valoración Trabajo Social</t>
  </si>
  <si>
    <t>Valoración trabajo social</t>
  </si>
  <si>
    <t>Usuarios Victimas de Conflicto Armado afiliadas a Nueva EPS,
con registro de consulta por trabajo Social
Vigencia atención: Posterior a ingreso a RUV</t>
  </si>
  <si>
    <t>Usuarios Victimas de Conflicto Armado afiliados a NEPS</t>
  </si>
  <si>
    <t xml:space="preserve">1 - RIPS (AC)
CUPS: 
- 890209 consulta de primera vez por Trabajo Social
- 890309 consulta de control o de seguimiento por Trabajo Social
</t>
  </si>
  <si>
    <t>LEY 1148 DE 2011 Protocolo de atención a victimas de conflicto armado</t>
  </si>
  <si>
    <t>Cohorte PoblacionVCA:
1. "Fecha consulta más reciente con trabajo social" mayor o igual a "Fecha Reconocimiento como VCA".</t>
  </si>
  <si>
    <t>Cohorte PoblacionVCA:
1. Seleccionar usuarios con "Estado" activo.</t>
  </si>
  <si>
    <t>2.1%</t>
  </si>
  <si>
    <t>1.89%</t>
  </si>
  <si>
    <t>RPYMS215X</t>
  </si>
  <si>
    <t>EISP</t>
  </si>
  <si>
    <t>Total de población</t>
  </si>
  <si>
    <t>SIVIGILA
Evento: 875
"Ajuste_" Excepto: 6 o D o R</t>
  </si>
  <si>
    <r>
      <t xml:space="preserve">Población </t>
    </r>
    <r>
      <rPr>
        <sz val="10"/>
        <color rgb="FFFF0000"/>
        <rFont val="Calibri Light"/>
        <family val="2"/>
        <scheme val="major"/>
      </rPr>
      <t xml:space="preserve">activa </t>
    </r>
    <r>
      <rPr>
        <sz val="10"/>
        <color theme="1"/>
        <rFont val="Calibri Light"/>
        <family val="2"/>
        <scheme val="major"/>
      </rPr>
      <t>afiliada a NEPS en el momento de la evaluación</t>
    </r>
  </si>
  <si>
    <t>Se requiere conocer que tan prevalente es la notificación de casos relacionados con violencias en las zonas de influencia</t>
  </si>
  <si>
    <t>Pendiente validar fuente</t>
  </si>
  <si>
    <t>0.06%</t>
  </si>
  <si>
    <t>RPYMS218X</t>
  </si>
  <si>
    <t>ideacion suicida</t>
  </si>
  <si>
    <t>RPYMS241X</t>
  </si>
  <si>
    <t>Tasa mortalidad infantil (Menor a 1 año)</t>
  </si>
  <si>
    <t>Tasa de mortalidad en menores de 1 año por cualquier causa</t>
  </si>
  <si>
    <t>Mortalidad Evitable</t>
  </si>
  <si>
    <t>Mortalidad menores de 5 años</t>
  </si>
  <si>
    <t>Numero de personas con cualquier estado de afiliacion (Activos, suspendidos, cancelados, Fallecidos, traslados)
Evento de Datos Básicos
Edad a Fecha defunción:  0 años (0 a 11 meses)
Fecha defunción: "fec_Def_": Año Vigente
"con_fin_": opción 2
Evento 560
Edad a Fecha defunción:  0 años (0 a 11 meses)
"Edad_Neo": mayor o igual a 0 (Se excluye las vacias)</t>
  </si>
  <si>
    <t>Número de Nacidos Vivos</t>
  </si>
  <si>
    <t>Usuarios notificados SIVIGILA evento datos básicos  y  registran en evento 560</t>
  </si>
  <si>
    <t>Total población de 0 años
BDUA - RUAF NV</t>
  </si>
  <si>
    <t>Indicador SBR
Para nivel de Residencia se calcula sobre los NV- BDUA, para nivel de IPS según Fecha de nacimiento de los afiliados asignados.</t>
  </si>
  <si>
    <t>Pendiente cohorte de validación</t>
  </si>
  <si>
    <t>&lt;=10</t>
  </si>
  <si>
    <t>&gt;10</t>
  </si>
  <si>
    <t>E.1.3</t>
  </si>
  <si>
    <t>05/12/2025 Se realiza ajuste en fuentes para el numerador y denominador.  //9/12/2024: sin modificación</t>
  </si>
  <si>
    <t>RPYMS242X</t>
  </si>
  <si>
    <t>Tasa mortalidad en menores de 5 años</t>
  </si>
  <si>
    <t>Tasa de mortalidad en menores de 5 años por cualquier causa</t>
  </si>
  <si>
    <t>Numero de personas con cualquier estado de afiliacion (Activos, suspendidos, cancelados, Fallecidos, traslados)
Evento de Datos Básicos
Edad a Fecha defunción: entre 0 a 4 años 
Fecha defunción: "fec_Def_": Año Vigente
"con_fin_": opción 2
Evento 560
Edad a Fecha defunción: entre 0 a 4 años 
"Edad_Neo": mayor o igual a 0  (Se excluye las vacias)</t>
  </si>
  <si>
    <t>M150</t>
  </si>
  <si>
    <t>RPYMS243X</t>
  </si>
  <si>
    <t>Tasa mortalidad en menores de 5 años por IRA, EDA Y DNT</t>
  </si>
  <si>
    <t>Tasa de mortalidad en menores de 5 años por IRA EDA o DNT</t>
  </si>
  <si>
    <t>Numero de personas con cualquier estado de afiliacion (Activos, suspendidos, cancelados, Fallecidos, traslados)
Evento 591
Edad a Fecha defunción: entre 0 a 4 años 
Fecha defunción: "fec_Def_": Año Vigente
"con_fin_": opción 2
"ajuste" excepto 6 o D o R</t>
  </si>
  <si>
    <t>Usuarios notificados SIVIGILA evento datos básicos  y  registran en evento 591</t>
  </si>
  <si>
    <t>Indicador SBR</t>
  </si>
  <si>
    <t>&lt;=20</t>
  </si>
  <si>
    <t>0.59</t>
  </si>
  <si>
    <t>1.07</t>
  </si>
  <si>
    <t>M151</t>
  </si>
  <si>
    <t>05/12/2025 Se ajusta la estimacion al  resultado para INS dato 2024, se realiza ajuste en fuentes para el numerador y denominador. // 9/12/2024: sin modificación</t>
  </si>
  <si>
    <t>RPYMS244X</t>
  </si>
  <si>
    <t>Tasa mortalidad en menores de 5 años por IRA</t>
  </si>
  <si>
    <t>Tasa de mortalidad en menores de 5 años por IRA</t>
  </si>
  <si>
    <t>Mortalidad menores de 5 años por IRA</t>
  </si>
  <si>
    <t>Numero de personas con cualquier estado de afiliacion (Activos, suspendidos, cancelados, Fallecidos, traslados)
Evento 591
Edad a Fecha defunción: entre 0 a 4 años 
Fecha defunción: "fec_Def_": Año Vigente
"con_fin_": opción 2
"Clas_Caso" Opción 2
"ajuste" excepto 6 o D o R</t>
  </si>
  <si>
    <t>&lt;=10,05</t>
  </si>
  <si>
    <t>&gt;10,05</t>
  </si>
  <si>
    <t>0.46</t>
  </si>
  <si>
    <t>E.1.4</t>
  </si>
  <si>
    <t>05/12/2025 Se modifica meta del indicador Se ajusta la estimacion al  resultado para INS dato 2024, se realiza ajuste en fuentes para el numerador y denominador. // 9/12/2024: sin modificación</t>
  </si>
  <si>
    <t>RPYMS245X</t>
  </si>
  <si>
    <t>Tasa mortalidad en menores de 5 años por EDA</t>
  </si>
  <si>
    <t>Tasa de mortalidad en menores de 5 años por EDA</t>
  </si>
  <si>
    <t>Mortalidad menores de 5 años por EDA</t>
  </si>
  <si>
    <t>Numero de personas con cualquier estado de afiliacion (Activos, suspendidos, cancelados, Fallecidos, traslados)
Evento 591
Edad a Fecha defunción: entre 0 a 4 años 
Fecha defunción: "fec_Def_": Año Vigente
"con_fin_": opción 2
"Clas_Caso" Opción 3
"ajuste" excepto 6 o D o R</t>
  </si>
  <si>
    <t>&lt;=4,5</t>
  </si>
  <si>
    <t>&gt;4,5</t>
  </si>
  <si>
    <t>0.3</t>
  </si>
  <si>
    <t>E.1.5</t>
  </si>
  <si>
    <t>RPYMS246X</t>
  </si>
  <si>
    <t>Tasa mortalidad en menores de 5 años por DNT</t>
  </si>
  <si>
    <t>Tasa de mortalidad en menores de 5 años por DNT</t>
  </si>
  <si>
    <t>Mortalidad menores de 5 años por DNT</t>
  </si>
  <si>
    <t>Numero de personas con cualquier estado de afiliacion (Activos, suspendidos, cancelados, Fallecidos, traslados)
Evento 591
Edad a Fecha defunción: entre 0 a 4 años 
Fecha defunción: "fec_Def_": Año Vigente
"con_fin_": opción 2
"Clas_Caso" Opción 1
"ajuste" excepto 6 o D o R</t>
  </si>
  <si>
    <t>&lt;=6,0</t>
  </si>
  <si>
    <t>&gt;6,0</t>
  </si>
  <si>
    <t>E.1.6</t>
  </si>
  <si>
    <t>RPYMS247X</t>
  </si>
  <si>
    <t>Letalidad por Dengue</t>
  </si>
  <si>
    <t>Proporción de usuarios con Dengue que fallecen</t>
  </si>
  <si>
    <t>Numero de personas afiliadas que han sido notificadas en sivigila:
Fecha Consulta "fec_Def_": Año Vigente
Evento: 580
"Ajuste_" Excepto: 6 o D o R</t>
  </si>
  <si>
    <t>Usuarios notificados SIVIGILA evento 210 - 220  y  registran en evento 580</t>
  </si>
  <si>
    <t>Usuarios notificados SIVIGILA evento 210-220</t>
  </si>
  <si>
    <t>&lt;=0,116</t>
  </si>
  <si>
    <t>&gt;0,116</t>
  </si>
  <si>
    <t>E.1.7</t>
  </si>
  <si>
    <t>05/12/2025 Se modifica meta del indicador Se ajusta la estimacion al  resultado para INS dato 2024, se realiza ajuste en fuentes para el numerador y denominador y se modifica definición del denominador. // 9/12/2024: sin modificación</t>
  </si>
  <si>
    <t>RPYMS367X</t>
  </si>
  <si>
    <t>Cobertura Visita preventiva de salud en poblacion general en territorios con MGE</t>
  </si>
  <si>
    <t>Proporcion de poblacion general que cuenta con visita preventiva de salud en donde hay MGE (PIS y/o ACS)</t>
  </si>
  <si>
    <t>Gestión territorial</t>
  </si>
  <si>
    <t>Modelo Gestion Extramural</t>
  </si>
  <si>
    <t>VPS</t>
  </si>
  <si>
    <t>Visita preventiva de salud</t>
  </si>
  <si>
    <t>EPS</t>
  </si>
  <si>
    <t>1. Carga de Archivos &gt; MGE &gt; PIS &gt; Visitas
2. Carga de Archivos &gt; MGE &gt; ACS &gt; Visitas ACS</t>
  </si>
  <si>
    <t>1. BDUA
2. Módulo Carga de Archivos &gt; MGE &gt; PIS  Novedades variable "DANE"</t>
  </si>
  <si>
    <t>poblacion con reporte de visita</t>
  </si>
  <si>
    <t xml:space="preserve">Total poblacion afiliada con estado de afiliacion activo
</t>
  </si>
  <si>
    <t>1. Solo se evaluaran los municipios donde hay presencia de PIS y ACS- Aplica para RC y RS. Meta RS:30%-RC:15% General 30%</t>
  </si>
  <si>
    <t>09/12/2024:Se define meta de acuerdo a línea de base: Se esperan 121.453 VPS de primera vez en el 2024 ; se esperara que se incremente para 2025 al 30%, para equilibrar la participación en el Modelo, (es decir un 7% de cobertura, del 15% que el modelo puede dar). para el RS se espera 668.745 vps PV para el 2024, es decir el 10% de la producción del MGE para 2025, se espera llegar al 30% y dejando cobertura flexible para la gestión del riesgo.</t>
  </si>
  <si>
    <t>Filtrar la variable "FECHA_ULTIMA_VISITA_EFECTIVA", todas las fechas.</t>
  </si>
  <si>
    <t>El denominador lo revisa Nacional con la población</t>
  </si>
  <si>
    <t>26.76%</t>
  </si>
  <si>
    <t>RPYMS368X</t>
  </si>
  <si>
    <t>Cobertura Visita preventiva de salud a menores de 1 año en territorios con MGE</t>
  </si>
  <si>
    <t>Proporcion de poblacion de 0 a 11 meses 29 dias que cuenta con visita preventiva de salud por MGE</t>
  </si>
  <si>
    <t>Número total de menores de 0 a 11 meses 29 días  con VPS efectiva por PIS o el ACS en cualquier momento de la vida</t>
  </si>
  <si>
    <t>Total de afiliados edad de 0 a 11 meses 29 dias en donde este el MGE</t>
  </si>
  <si>
    <t xml:space="preserve">1 Archivos de visitas
</t>
  </si>
  <si>
    <t>poblacion menor de 0 a 11 meses 29 dias con reporte de visita efectiva</t>
  </si>
  <si>
    <t>Total poblacion afiliada con edad de 0 a 11 meses 29 dias</t>
  </si>
  <si>
    <t>para los dos Regimenes sera informativo y no se evaluara los municipios donde hay presencia de IPS Exclusivas; solo se evaluaran los municipios donde hay presencia del MGE</t>
  </si>
  <si>
    <t>Filtrar la variable "FECHA_ULTIMA_VISITA_EFECTIVA", todas las fechas.
Sin quitar el filtro, Ir a la variable "EDAD_A" y filtrar los ceros.</t>
  </si>
  <si>
    <t>34.97%</t>
  </si>
  <si>
    <t>RPYMS368aX</t>
  </si>
  <si>
    <t>Cobertura Visita preventiva de salud a menores de 6 años</t>
  </si>
  <si>
    <t>Proporcion de poblacion de 0 a 71 meses que cuenta con visita preventiva de salud en donde hay MGE (PIS y/o ACS)</t>
  </si>
  <si>
    <t xml:space="preserve">Total de afiliados edad de 0 a 71 meses en donde este el MGE (PIS y/o ACS) </t>
  </si>
  <si>
    <t>Total poblacion afiliada con estado activo con edad de 0 a 71 meses</t>
  </si>
  <si>
    <t xml:space="preserve">Solo se evaluaran los municipios donde hay presencia de PIS - Aplica para RC y RS. </t>
  </si>
  <si>
    <t>09/12/2024: Se encuentra que la cobertura general de esta población esta en el 41%, siendo el 37% para el RS, por tanto se incrementa para los regimenes</t>
  </si>
  <si>
    <t>Filtrar la variable "FECHA_ULTIMA_VISITA_EFECTIVA", todas las fechas.
Sin quitar el filtro, Ir a la variable "EDAD_A" y filtrar de 0 a 5 años.</t>
  </si>
  <si>
    <t>48.04%</t>
  </si>
  <si>
    <t>RPYMS369X</t>
  </si>
  <si>
    <t>Cobertura Visita preventiva de salud a mujeres gestantes en territorios con MGE</t>
  </si>
  <si>
    <t>Proporcion de gestantes de residencia en los territorios donde hay MGE, que registran visita preventiva de salud por PIS</t>
  </si>
  <si>
    <t>Número total de gestantes con VPS efectiva por PIS en los ultimos 9 meses</t>
  </si>
  <si>
    <t>Total de mujeres gestantes</t>
  </si>
  <si>
    <t>1 Archivos de visitas
(proneps)</t>
  </si>
  <si>
    <t>9 meses atrás incluyendo el mes a evaluar</t>
  </si>
  <si>
    <t>Población denominador
Registro de VPS en los ultimos 9 meses</t>
  </si>
  <si>
    <t>ir a la variable "GESTANTE" filtrando los 1.
Sin retirar el filto, ir a la variable
FECHA_ULTIMA_VISITA_EFECTIVA, y tener en cuenta las fechas fe visitas de los ultimos 9 meses incluyendo al evauar</t>
  </si>
  <si>
    <t>54.38%</t>
  </si>
  <si>
    <t>RPYMS370X</t>
  </si>
  <si>
    <t>Cobertura Visita preventiva de salud a grupo de riesgo cardiometabolico  en territorios con MGE</t>
  </si>
  <si>
    <t>Proporcion de poblacion con patologias de HTA, DM y ERC que cuenta con visita preventiva de salud por PIS posterior a primer diagnostico  en territorios con MGE</t>
  </si>
  <si>
    <t>Número total de usuarios con VPS efectiva por PIS posterior al diagnostico o ingreso a base de datos</t>
  </si>
  <si>
    <t>Total de población con patologias de Riesgo:
 EV06, EV07, EV08</t>
  </si>
  <si>
    <t>Base de patologias
EV06, EV07 Y E V08</t>
  </si>
  <si>
    <t>poblacion con reporte de visita según criterio de inclusion</t>
  </si>
  <si>
    <t>Ir a la variable "PATOLOGIA" filtrando los SI.
Sin retirar el filto, ir a la variable
FECHA_ULTIMA_VISITA_EFECTIVA, y filtrar todas las fechas</t>
  </si>
  <si>
    <t>39.04%</t>
  </si>
  <si>
    <t>42.86%</t>
  </si>
  <si>
    <t>11/02/2025 Se realiza eliminación de los 3 meses de afiliación. 09/12/2024: Se ajusta nombre y definición operacional del indicador; se ajusta meta. 06/03/2024 se realiza ajuste de la nota "para Regimen contributivo sera informativo y no se evaluara los municipios donde hay presencia de IPS Exclusivas; solo se evaluaran los municipios donde hay presencia de PIS" y queda "Solo se evaluarán los municipios donde hay presencia de PIS - Aplica para RC y RS". Adriana y Sonia</t>
  </si>
  <si>
    <t>RPYMS371X</t>
  </si>
  <si>
    <t>Cobertura Visita preventiva de salud de Salud Publica en territorios con MGE</t>
  </si>
  <si>
    <t xml:space="preserve">Afiliados residentes en territorios con MGE, que registran eventos de salud publica en el SIVIGILA y que cuenta con visita preventiva de salud posterior a la notificacion o fecha de inicio de sintomas (mas antigua), </t>
  </si>
  <si>
    <t>Número total de usuarios con VPS efectiva por PIS posterior al inicio de sintomas o a la fecha de notificacion el evento</t>
  </si>
  <si>
    <t>Total de afiliados Eventos basicos
3 meses o mas afiliados al asegurador
Fecha de notificacion menor o igual a periodo evaluado</t>
  </si>
  <si>
    <t>Evento Datos Basicos SIVIGILA</t>
  </si>
  <si>
    <t>Hacer un comparativo para conocer si "FECHA_ULTIMA_VISITA_EFECTIVA" es mayor o igual "FEC_NOT" usando la fórmula:=SI(AC2&lt;&gt;" ";W2&gt;=AC2;" ")
Filtrar lo que arroje "VERDADERO"
Manteniendo ese filtro ir a la variable "FECHA_ULTIMA_VISITA_EFECTIVA" y seleccionar todas las fechas</t>
  </si>
  <si>
    <t>20.54%</t>
  </si>
  <si>
    <t>57.67%</t>
  </si>
  <si>
    <t>RPYMS257X</t>
  </si>
  <si>
    <t>Cumplimiento de Cronograma de Capacitaciones</t>
  </si>
  <si>
    <t>Capacitaciones realizadas a la IPS primaria con al menos 1 realizada en el año</t>
  </si>
  <si>
    <t>Capacitaciones</t>
  </si>
  <si>
    <r>
      <t xml:space="preserve">Indicador solo aplica para EPS -  Subregion, Zonal, Regional y Nacional, </t>
    </r>
    <r>
      <rPr>
        <sz val="10"/>
        <color rgb="FFFF0000"/>
        <rFont val="Calibri Light"/>
        <family val="2"/>
        <scheme val="major"/>
      </rPr>
      <t>Territorio</t>
    </r>
  </si>
  <si>
    <t>1. Tomar como fuente de la base exportable del modulo de seguimiento a la red 1. "RedPrestadorTipoIntervencion Capacitaciones" y 2. tomar Año vigente y 3. Tomar fecha valida variable "Fecha ejecución" y 4. Tomar la variable "Tema específico" cualquier tema" y 5. tomar la variable "Soportes" que contenga soporte marcado como "SI"</t>
  </si>
  <si>
    <t>1-IPS primarias que prestan servicios de PYMS y que requieren capacitacion cargadas en el modulo de carga de archivos maestra" cuya variabel "IPS contrato Activo" este marcado como "SI";</t>
  </si>
  <si>
    <t>Modulo de Red</t>
  </si>
  <si>
    <t>86.89%</t>
  </si>
  <si>
    <t>12/12/2025 Se ajusta definición de variables del numerador y denominador, de igual forma fuente para numerador y denominador, se eliminan exclusiones, se complementa observación y se dejan filtros de validación de indicador.  //9/12/2024: Se ajusta nombre del indicador y definición operacional, EYAV</t>
  </si>
  <si>
    <t>RPYMS259X</t>
  </si>
  <si>
    <t>Cumplimiento de Cierre de Vigencias de RPYMS</t>
  </si>
  <si>
    <t>Proporción de IPS con soporte de Cierre de Vigencias del año inmediatamente anterior.</t>
  </si>
  <si>
    <t>cierre de vigencias</t>
  </si>
  <si>
    <t>Número de IPS con acta de cierre de vigencias firmado (Vigencia anterior)</t>
  </si>
  <si>
    <t>Número total de IPS que requiere cierre de vigencias de la vigencia anterior.</t>
  </si>
  <si>
    <t>Base IPS que cumplen con cargue de soporte</t>
  </si>
  <si>
    <t>Base IPS -  Cierre Vigecias año previo</t>
  </si>
  <si>
    <t>Afecta evaluacion Regimen Subsidiado
Indicador solo aplica para EPS -  Subregion, Zonal, Regional y Nacional</t>
  </si>
  <si>
    <t>RPYMS228X</t>
  </si>
  <si>
    <t>Proporción de usuarios con diagnostico de tuberculosis pulmonar que reciben tratamiento</t>
  </si>
  <si>
    <t>Usuarios con diagnóstico de TBC Pulmonar que registra fecha de inicio de tratamiento para TBC</t>
  </si>
  <si>
    <t>Tratamiento TBC</t>
  </si>
  <si>
    <t>Número de usuarios con diagnostico de TB pulmonar (Confirmación bacteriológica y clínica). 
Estado afiliación: Activo
Casos de TBC: Estado Abierto
Condición de ingreso: Nuevo 
Tipo tuberculosis: Pulmonar
Registra: Fecha valida de inicio de tratamiento</t>
  </si>
  <si>
    <t>Número de usuarios con diagnostico de TB pulmonar (Confirmación bacteriológica y clínica). 
Estado afiliación: Activo
Casos de TBC: Estado Abierto
Condición de ingreso: Nuevo 
Tipo tuberculosis: Pulmonar</t>
  </si>
  <si>
    <t>1 - Modulo TBC: (GESTION Casos) : bacteriológica y clínica). 
Estado afiliación: Activo
Casos de TBC: Estado Abierto
Condición de ingreso: Nuevo 
Tipo tuberculosis: Pulmonar
Registra: Fecha valida de inicio de tratamiento</t>
  </si>
  <si>
    <t xml:space="preserve">
1 - Modulo TBC: (GESTION Casos)  Estado afiliación: Activo
Casos de TBC: Estado Abierto
Condición de ingreso: Nuevo 
Tipo tuberculosis: Pulmonar</t>
  </si>
  <si>
    <t>Usuarios afiliados activos al mes a evaluar 
nuevos en el programa con diagnóstico de tuberculosis pulmonar</t>
  </si>
  <si>
    <t xml:space="preserve">Se excluye Descartado
</t>
  </si>
  <si>
    <t>Solo se tomará en cuenta que el usuario haya iniciado tratamiento
Se excluyen los descartados</t>
  </si>
  <si>
    <t>Normativamente se requiere que todo usuario diagnosticado con TB inicie en el menor tiempo posible el tratamiento</t>
  </si>
  <si>
    <t xml:space="preserve">Cohorte paciente dispuesta en onedrive  filtrando: Estado afiliación: Activo
Casos de TBC: Estado Abierto
Condición de ingreso: Nuevo 
Tipo tuberculosis: Pulmonar
Registra: Fecha valida de inicio de tratamiento incluyendo el mes a evaluar </t>
  </si>
  <si>
    <t>Cohorte paciente cohorte dispuesta en onedrive filtrando Estado afiliación: Activo
Casos de TBC: Estado Abierto
Condición de ingreso: Nuevo
Tipo tuberculosis: Pulmonar</t>
  </si>
  <si>
    <t>99.25%</t>
  </si>
  <si>
    <t>12/12/2025 Sin modificación  31/03/2025 Se ajusta en la definición numerador y denominador; de igual forma en la fuente del numerador y denominador para NO tener en cuenta los casos vacios sin información.  06/11/2024 se ajusta la definición de numerador y denominador, para que tome los casos = a nuevo y vacio</t>
  </si>
  <si>
    <t>RPYMS225X</t>
  </si>
  <si>
    <t>Cumplimiento protocolo de atención a Victimas de Conflicto Armado</t>
  </si>
  <si>
    <t>Proporción de personas victimas del conflicto armado que registran las atenciones del protocolo PAPSIVI, (consulta por medicina, enfermería, psicología y/o psiquiatría)</t>
  </si>
  <si>
    <t>Protocolo PAPSIVI</t>
  </si>
  <si>
    <t>Usuarios Victimas de Conflicto Armado afiliadas a Nueva EPS,
con registro de consulta por medicina, enfermería (&lt;=17 años), psicología y/o psiquiatria
Vigencia atención: Posterior a ingreso a RUV
Poblacion de 17 años o menos: Medicina, Enfermería, psicología y/o psiquiatría.
Poblacion de 18 años o más: Medicina, psicología y/o psiquiatría</t>
  </si>
  <si>
    <t>1 - RIPS (AC)
CUPS: alguna atención por medicina:
 - 890201 consulta de primera vez por medicina general
 - 890301 consulta de control o de seguimiento por medicina general
 - 890263 consulta de primera vez por especialista en medicina familiar
 - 890363 consulta de control o seguimiento por especialista en medicina familiar
-C40147; EVALUACION INTEGRAL POR PACIENTE
-890216; CONSULTA DE PRIMERA VEZ POR ESPECIALISTA EN SALUD FAMILIAR Y COMUNITARIA
-890316; CONSULTA DE CONTROL O DE SEGUIMIENTO POR ESPECIALISTA EN SALUD FAMILIAR Y COMUNITARIA
y alguna atención por enfermería:
- 890205 consulta de primera vez por enfermería
- 890305 consulta de control o de seguimiento por enfermería
y alguna atención por psicología y/o psiquiatría:
890208 consulta de primera vez por psicología
890308 consulta de control o de seguimiento por psicología
890284 consulta de primera vez por especialista en psiquiatría
890285 consulta de primera vez por especialista en psiquiatría pediátrica
890384 consulta de control o de seguimiento por especialista en psiquiatría
890385 consulta de control o de seguimiento por especialista en psiquiatría pediátrica
890484 interconsulta por especialista en psiquiatría
890485 interconsulta por especialista en psiquiatría pediátrica
943101 psicoterapia individual por psiquiatría
941101; DETERMINACION DEL ESTADO MENTAL POR PSIQUIATRIA
E890284; CONSULTA DE PRIMERA VEZ POR ESPECIALISTA EN PSIQUIATRIA POR TELESALUD O TELEMEDICINA
E890384; CONSULTA DE CONTROL O DE SEGUIMIENTO POR ESPECIALISTA EN PSIQUIATRIA POR TELESALUD O TELEMEDICINA
890108; ATENCION [VISITA] DOMICILIARIA. POR PSICOLOGIA
890297; CONSULTA DE PRIMERA VEZ POR OTRAS ESPECIALIDADES DE PSICOLOGIA
890397; CONSULTA DE CONTROL O DE SEGUIMIENTO POR OTRAS ESPECIALIDADES DE PSICOLOGIA
940901; DETERMINACION DEL ESTADO MENTAL POR PSICOLOGIA
943102; PSICOTERAPIA INDIVIDUAL POR PSICOLOGIA
E890208; CONSULTA DE PRIMERA VEZ POR PSICOLOGIA POR TELESALUD O TELEMEDICINA
E890310; CONSULTA DE CONTROL O DE SEGUIMIENTO POR PSICOLOGIA POR TELESALUD O TELEMEDICINA</t>
  </si>
  <si>
    <t>Cohorte víctimas del conflicto armado (VCA)</t>
  </si>
  <si>
    <t>La población del denominador que cumple la consultas de medicina, psicología y/o psiquiatría y enfermería según edad posterior a la fecha de reconocimiento como víctima.</t>
  </si>
  <si>
    <t xml:space="preserve">
Población actual al mes a evaluar activos
Población victima de conflicto armado.</t>
  </si>
  <si>
    <t>REGLA DE MEDICION: Excluir las IPS que no registran en el FPS el servicio de psicología, debe emitirse la calificación como "NO APLICA".
LEY 1148 DE 2011 Protocolo de atención a Víctimas de conflicto armado, se ajusta indicador: enfermeria solo se validara en poblacion menor de 17 años  (curso de vida de primera infancia infancia y adolescencia)</t>
  </si>
  <si>
    <t>Cohorte PoblacionVCA:
1. "Cumple con el Protocolo" = 1.</t>
  </si>
  <si>
    <t>Cohorte VCA</t>
  </si>
  <si>
    <t>16.51%</t>
  </si>
  <si>
    <t>20.22%</t>
  </si>
  <si>
    <r>
      <t>12/12/2025 Sin modificación  7/02/2025 Se elimina suspendido en denominador población. 06/02/2025 Se eliminan exclusiones y se incluye Regla de mediciona en Observaciones de indicadores. // 22-11-2024 * Se adicionan CUPS de Medicina, Psicología y Psiquiatría
* Se requiere ajustar la medición del indicador según los registros del FPS, si la IPS no tiene los tres servicios (medicina, enfermería, psicología) debe emitirse la calificación como "NO APLICA";</t>
    </r>
    <r>
      <rPr>
        <b/>
        <u/>
        <sz val="10"/>
        <rFont val="Calibri Light"/>
        <family val="2"/>
        <scheme val="major"/>
      </rPr>
      <t xml:space="preserve"> se ajustan las exclusiones</t>
    </r>
    <r>
      <rPr>
        <sz val="10"/>
        <rFont val="Calibri Light"/>
        <family val="2"/>
        <scheme val="major"/>
      </rPr>
      <t>. Elvia Milena - Johana Guevara
 // 4/08/2023 se agregan los códigos CUPS de Psiquiatría</t>
    </r>
  </si>
  <si>
    <t>RPYMS205X</t>
  </si>
  <si>
    <t>Personas Victimas de Conflicto Armado que registran valoración por profesional de Medicina General o Familiar.</t>
  </si>
  <si>
    <t>Proporción de personas victimas del conflicto armado que registran valoración de medicina general o Familiar, posterior a la fecha de reconocimiento de victima</t>
  </si>
  <si>
    <t>Usuarios Victimas de Conflicto Armado afiliadas a Nueva EPS,
con registro de consulta por medicina
Vigencia atención: Posterior a ingreso a RUV</t>
  </si>
  <si>
    <t>1 - RIPS (AC)
CUPS:
 - 890201 consulta de primera vez por medicina general
 - 890301 consulta de control o de seguimiento por medicina general
 - 890263 consulta de primera vez por especialista en medicina familiar
 - 890363 consulta de control o seguimiento por especialista en medicina familiar
-C40147; EVALUACION INTEGRAL POR PACIENTE
-890216; CONSULTA DE PRIMERA VEZ POR ESPECIALISTA EN SALUD FAMILIAR Y COMUNITARIA
-890316; CONSULTA DE CONTROL O DE SEGUIMIENTO POR ESPECIALISTA EN SALUD FAMILIAR Y COMUNITARIA</t>
  </si>
  <si>
    <t>La población del denominador que cumple con al menos una atención de medicina posterior a la fecha de reconocimiento como víctima</t>
  </si>
  <si>
    <t>Población actual al mes a evaluar activos 
Población victima de conflicto armado</t>
  </si>
  <si>
    <t>LEY 1148 DE 2011 Protocolo de atención a Víctimas de conflicto armado</t>
  </si>
  <si>
    <t>Cohorte PoblacionVCA:
1. "Fecha consulta más reciente con medicina" mayor o igual a "Fecha Reconocimiento como VCA".</t>
  </si>
  <si>
    <t>70.51%</t>
  </si>
  <si>
    <t>73.91%</t>
  </si>
  <si>
    <t xml:space="preserve">12/12/2025 Sin modificación.  7/02/2025 Se elimina suspendido en denominador población 06-11-2024:* Se adicionan CUPS de Medicina General o familiar; </t>
  </si>
  <si>
    <t>RPYMS207X</t>
  </si>
  <si>
    <t>Personas Victimas de Conflicto Armado que registran valoración en salud mental</t>
  </si>
  <si>
    <t>Proporción de personas victimas del conflicto armado que registran valoración de psicología y/o psiquiatría</t>
  </si>
  <si>
    <t>Valoración Psicología y/o Psiquiatría</t>
  </si>
  <si>
    <t>Usuarios Victimas de Conflicto Armado afiliadas a Nueva EPS,
con registro de consulta por  psicología  y/o psiquiatria
Vigencia atención: Posterior a ingreso a RUV</t>
  </si>
  <si>
    <t>1 - RIPS (AC)
CUPS:
890208 consulta de primera vez por psicología
890308 consulta de control o de seguimiento por psicología
890284 consulta de primera vez por especialista en psiquiatría
890285 consulta de primera vez por especialista en psiquiatría pediátrica
890384 consulta de control o de seguimiento por especialista en psiquiatría
890385 consulta de control o de seguimiento por especialista en psiquiatría pediátrica
890484 interconsulta por especialista en psiquiatría
890485 interconsulta por especialista en psiquiatría pediátrica
943101 psicoterapia individual por psiquiatría
941101; DETERMINACION DEL ESTADO MENTAL POR PSIQUIATRIA
E890284; CONSULTA DE PRIMERA VEZ POR ESPECIALISTA EN PSIQUIATRIA POR TELESALUD O TELEMEDICINA
E890384; CONSULTA DE CONTROL O DE SEGUIMIENTO POR ESPECIALISTA EN PSIQUIATRIA POR TELESALUD O TELEMEDICINA
890108; ATENCION [VISITA] DOMICILIARIA. POR PSICOLOGIA
890297; CONSULTA DE PRIMERA VEZ POR OTRAS ESPECIALIDADES DE PSICOLOGIA
890397; CONSULTA DE CONTROL O DE SEGUIMIENTO POR OTRAS ESPECIALIDADES DE PSICOLOGIA
940901; DETERMINACION DEL ESTADO MENTAL POR PSICOLOGIA
943102; PSICOTERAPIA INDIVIDUAL POR PSICOLOGIA
E890208; CONSULTA DE PRIMERA VEZ POR PSICOLOGIA POR TELESALUD O TELEMEDICINA
E890310; CONSULTA DE CONTROL O DE SEGUIMIENTO POR PSICOLOGIA POR TELESALUD O TELEMEDICINA</t>
  </si>
  <si>
    <t>Población actual al mes a evaluar activos 
Población victima de conflicto armado</t>
  </si>
  <si>
    <t>Cohorte PoblacionVCA:
1. "Fecha consulta más reciente con psicología" o "Fecha consulta más reciente con psiquiatría" mayor o igual a "Fecha Reconocimiento como VCA".</t>
  </si>
  <si>
    <t>11.7%</t>
  </si>
  <si>
    <t>18.59%</t>
  </si>
  <si>
    <t>22.37%</t>
  </si>
  <si>
    <t>12/12/2025 Sin modificación.  7/02/2025 Se elimina suspendido en denominador población 06-11-2024:* Se ajusta nombre del indicador, se adicionan CUPS de Psicología y Psiquiatría; 4/08/2023 se agregan los códigos CUPS de Psiquiatría</t>
  </si>
  <si>
    <t>RPYMS209X</t>
  </si>
  <si>
    <t>Personas Victimas de Conflicto Armado que registran actividades de la RPYMS</t>
  </si>
  <si>
    <t>Proporción de personas victimas del conflicto armado que registran  atenciones de la RPYMS</t>
  </si>
  <si>
    <t>Usuarios Victimas de Conflicto Armado afiliadas a Nueva EPS,
con registro de atenciones en la  RPYMS
Vigencia atención: Posterior a ingreso a RUV</t>
  </si>
  <si>
    <t>Registro de al menos una atención de la RPYMS, vigente de la RPYMS: según lo definido en la lista: "Atenciones_RPYMS"
1 - RIPS
2 - Res 202
3 - Vacunación</t>
  </si>
  <si>
    <t>Población con actividades vigentes de la RPYMS</t>
  </si>
  <si>
    <t>Población víctima del conflicto armado actual al mes a evaluar, activos y nuevos</t>
  </si>
  <si>
    <t>Cohorte PoblacionVCA:
1. Fecha en cualquiera de las variables de las actividades de la RPYM mayor o igual a "Fecha Reconocimiento como VCA", depende del curso de vida del usuario.</t>
  </si>
  <si>
    <t>79.56%</t>
  </si>
  <si>
    <t>85.01%</t>
  </si>
  <si>
    <t>87.91%</t>
  </si>
  <si>
    <t>RPYMS210X</t>
  </si>
  <si>
    <t>Cumplimiento protocolo de atención a Victimas de Conflicto Armado (Sentencias especiales)</t>
  </si>
  <si>
    <t>Proporción de personas victimas del conflicto armado (Sentencias especiales: Sentencias CIDH, T045 y demas que defina la norma) que registran las atenciones mínimas del protocolo PAPSIVI</t>
  </si>
  <si>
    <t>Usuarios Victimas de Conflicto Armado (9 Sentencias CIDH y T045) afiliadas a Nueva EPS,
con registro de consulta por medicina, enfermería (&lt;=17 años), psicología y/o psiquiatria
Vigencia atención: Posterior a ingreso a RUV
Poblacion de 17 años o menos: Medicina, Enfermería, psicología (Psiquiatria)
Poblacion de 18 años o mas: Medicina, psicología y/o psiquiatria</t>
  </si>
  <si>
    <t>Usuarios Victimas de Conflicto Armado (Sentencias CIDH y T045) afiliados a NEPS</t>
  </si>
  <si>
    <t>1 - RIPS (AC)
CUPS: alguna atención por medicina:
 - 890201 consulta de primera vez por medicina general
 - 890301 consulta de control o de seguimiento por medicina general
 - 890263 consulta de primera vez por especialista en medicina familiar
 - 890363 consulta de control o seguimiento por especialista en medicina familiar
-C40147; EVALUACION INTEGRAL POR PACIENTE
-890216; CONSULTA DE PRIMERA VEZ POR ESPECIALISTA EN SALUD FAMILIAR Y COMUNITARIA
-890316; CONSULTA DE CONTROL O DE SEGUIMIENTO POR ESPECIALISTA EN SALUD FAMILIAR Y COMUNITARIA
y alguna atención por enfermería:
- 890205 consulta de primera vez por enfermería
- 890305 consulta de control o de seguimiento por enfermería
y alguna atención por psicología y/o psiquiatría:
890208 consulta de primera vez por psicología
890308 consulta de control o de seguimiento por psicología
890284 consulta de primera vez por especialista en psiquiatría
890285 consulta de primera vez por especialista en psiquiatría pediátrica
890384 consulta de control o de seguimiento por especialista en psiquiatría
890385 consulta de control o de seguimiento por especialista en psiquiatría pediátrica
890484 interconsulta por especialista en psiquiatría
890485 interconsulta por especialista en psiquiatría pediátrica
941101; DETERMINACION DEL ESTADO MENTAL POR PSIQUIATRIA
E890284; CONSULTA DE PRIMERA VEZ POR ESPECIALISTA EN PSIQUIATRIA POR TELESALUD O TELEMEDICINA
E890384; CONSULTA DE CONTROL O DE SEGUIMIENTO POR ESPECIALISTA EN PSIQUIATRIA POR TELESALUD O TELEMEDICINA
890108; ATENCION [VISITA] DOMICILIARIA. POR PSICOLOGIA
890297; CONSULTA DE PRIMERA VEZ POR OTRAS ESPECIALIDADES DE PSICOLOGIA
890397; CONSULTA DE CONTROL O DE SEGUIMIENTO POR OTRAS ESPECIALIDADES DE PSICOLOGIA
940901; DETERMINACION DEL ESTADO MENTAL POR PSICOLOGIA
943102; PSICOTERAPIA INDIVIDUAL POR PSICOLOGIA
E890208; CONSULTA DE PRIMERA VEZ POR PSICOLOGIA POR TELESALUD O TELEMEDICINA
E890310; CONSULTA DE CONTROL O DE SEGUIMIENTO POR PSICOLOGIA POR TELESALUD O TELEMEDICINA
943101 psicoterapia individual por psiquiatría</t>
  </si>
  <si>
    <t>La población del denominador que cumple las tres consultas mínimas del protocolo, de acuerdo con la edad</t>
  </si>
  <si>
    <t>Población víctIma del conflicto armado de 9 Sentencias y T045 activos y nuevos al mes a evaluar</t>
  </si>
  <si>
    <t>Cohorte PoblacionVCA:
1. Seleccionar usuarios con "Estado" activo.
2. Seleccionar usuarios con "Clasificación Evento" Sentencias CIDH y T045.</t>
  </si>
  <si>
    <t>30.12%</t>
  </si>
  <si>
    <t>36.17%</t>
  </si>
  <si>
    <t>19.33%</t>
  </si>
  <si>
    <t>12/12/2025 Sin modificación  06/02/2025 Se eliminan exclusiones y se incluye Regla de mediciona en Observaciones de indicadores. //06-11-2024: Se  cambia el nombre del indicador, se ajusta en definición de variables el denominador a Sentencias especiales  por solicitud de los representantes de las victimas. * Se adicionan CUPS de Medicina, Psicología y Psiquiatría, se ajsutan exclusioes para FPS:  Se requiere ajustar la medición del indicador según los registros del FPS, si la IPS no tiene los tres servicios  debe emitirse la calificación como "NO APLICA".
 // 4/08/2023 se agregan los códigos CUPS de psiquiatría</t>
  </si>
  <si>
    <t>RPYMS211X</t>
  </si>
  <si>
    <t>Personas Victimas de Conflicto Armado (Sentencias especiales) que registran valoración actividades de la RPYMS</t>
  </si>
  <si>
    <t>Proporción de personas victimas del conflicto armado (Sentencias especiales: Sentencias CIDH, T045 y demas que defina la norma) que registran atenciones de la RPYMS</t>
  </si>
  <si>
    <t>Usuarios Victimas de Conflicto Armado (9 Sentencias CIDH y T045) afiliadas a Nueva EPS,
con registro de atenciones en la  RPYMS
Vigencia atención: Posterior a ingreso a RUV</t>
  </si>
  <si>
    <t>88.07%</t>
  </si>
  <si>
    <t>91.23%</t>
  </si>
  <si>
    <t>95.23%</t>
  </si>
  <si>
    <t xml:space="preserve">12/12/2025 Sin modificación  06-11-2024: Se ajusta el nombre del indicador, en definición de variables el denominador a Sentencias especiales  por solicitud de los representantes de las victimas. </t>
  </si>
  <si>
    <t>RPYMS339X</t>
  </si>
  <si>
    <t>Prevalencia de trastornos depresivos</t>
  </si>
  <si>
    <t>Es el número de usuarios afiliados a la Aseguradora que se han identificado con diagnostico principal de trastornos depresivos según CIE10</t>
  </si>
  <si>
    <t>Prevalencia</t>
  </si>
  <si>
    <t>Número de personas de la cohorte de trastornos mentales con diagnostico principal de trastornos depresivos</t>
  </si>
  <si>
    <t>1. CIE10 DX1 Trastornos mentales: F320, F321, F322, F323, F328, F329, F330, F331, F332, F333, F334, F338, F339
2. Información de fuentes adicionales (trastornos mentales) clasificación trastornos depresivos</t>
  </si>
  <si>
    <t>Total de usuarios con diagnostico de trastornos depresivos en estado activo y suspendido</t>
  </si>
  <si>
    <t>Total de población activa al mes a evaluar activa</t>
  </si>
  <si>
    <t>Usuarios que no tienen diagnóstico de depresión (F320, F321, F322, F323, F328, F329, F330, F331, F332, F333, F334, F338, F339) en la cohorte de trastornos mentales</t>
  </si>
  <si>
    <t>Según la OMS, este trastorno mental afecta al 4,7 por ciento de los colombianos, un porcentaje que, según algunos estudios desarrollados en el país, podría llegar hasta los 19 puntos.   - De acuerdo con el Ministerio de Salud, en el país existe una creciente prevalencia de depresión, aproximadamente 5 % de la población adulta, siendo la segunda causa de carga de enfermedad.</t>
  </si>
  <si>
    <t>Indicador de seguimiento de la cohorte de salud mental</t>
  </si>
  <si>
    <t>Cohorte trastornos mentales de Sigires:
1. Variable "Diagnóstico 1 agrupado": Tomar "Depresión"</t>
  </si>
  <si>
    <t>Cohorte trastornos mentales</t>
  </si>
  <si>
    <t>10.2 x 1000</t>
  </si>
  <si>
    <t>11.3 x 1000</t>
  </si>
  <si>
    <t>0.76%</t>
  </si>
  <si>
    <t>RPYMS340X</t>
  </si>
  <si>
    <t>Prevalencia de trastornos de ansiedad</t>
  </si>
  <si>
    <t>Es el número de usuarios afiliados a la Aseguradora que se han identificado con diagnostico principal de trastornos de ansiedad según CIE10</t>
  </si>
  <si>
    <t>Número de personas de la cohorte de trastornos mentales con diagnostico principal de trastornos de ansiedad</t>
  </si>
  <si>
    <t>1. CIE10 DX1 Trastornos mentales: F400, F401, F402, F408, F409, F410, F411, F412, F413, F418, F419
2. Información de fuentes adicionales (trastornos mentales) clasificación trastornos de ansiedad</t>
  </si>
  <si>
    <t>Total de usuarios con diagnostico de ansiedad en estado activo y suspendido</t>
  </si>
  <si>
    <t>Total de población activa al mes a evaluar en estado activo</t>
  </si>
  <si>
    <t>Usuarios que no tienen diagnóstico de ansiedad (F400-F419F400, F401, F402, F408, F409, F410, F411, F412, F413, F418, F419) en la cohorte de trastornos mentales</t>
  </si>
  <si>
    <t>20-11-2024: El profesional líder de la cohorte, deberá Recepcionar la información de la cohorte emitida por la Gerencia Técnica, verificando la inclusión de las fuentes y realizar el cargue mensual a través de fuentes adicionales a la plataforma PROCEX
2024:Las principales problemáticas en salud mental que viene enfrentando Colombia, de acuerdo con la ENSM (2015) y los últimos estudios de consumo de drogas (estudio en población general 2013, universitaria 2016, escolar 2016) son:
Creciente prevalencia de depresión (aproximadamente 5 % de la población adulta), siendo la segunda causa de carga de enfermedad en Colombia.
En la infancia, el 12,4 % se asusta o se pone nervioso sin razón, el 9,7 % presenta cefaleas frecuentes, el 2,3 % el Trastorno por Déficit de Atención e Hiperactividad.
En los adolescentes los trastornos más frecuentes son la ansiedad, fobia social y depresión, el 6,6 % presentó ideación suicida (7,4 % en mujeres y 5,7 % en hombres). En promedio, a los 13 años se inicia el consumo de alcohol y otras sustancias psicoactivas.
En adultos, la prevalencia de vida de trastornos afectivos es del 6,7 %. Las sustancias psicoactivas más consumidas son el alcohol y sustancias psicoactivas ilícitas como la marihuana.</t>
  </si>
  <si>
    <t>Cohorte trastornos mentales de Sigires:
1. Variable "Diagnóstico 1 agrupado": Tomar "Trastorno de ansiedad"</t>
  </si>
  <si>
    <t>35.1 x 1000</t>
  </si>
  <si>
    <t>38.4 x 1000</t>
  </si>
  <si>
    <t>1.81%</t>
  </si>
  <si>
    <t>RPYMS212X</t>
  </si>
  <si>
    <t>Proporción de personas con violencia sexual con valoración por medicina General o Familiar</t>
  </si>
  <si>
    <t>Proporción de usuarios victimas de violencia sexual  con reporte de  valoración por medicina general o Familiar posterior a evento</t>
  </si>
  <si>
    <t>Número de personas afiliadas que se encuentran en la cohorte de violencia sexual de SIGIRES
Fecha de notificación:  últimos 12 meses sin tomar los últimos 3 meses.</t>
  </si>
  <si>
    <t>1 - RIPS (AC)
CUPS:
 - 890201 consulta de primera vez por medicina general
 - 890301 consulta de control o de seguimiento por medicina general
 - 890263 consulta de primera vez por especialista en medicina familiar
 - 890363 consulta de control o seguimiento por especialista en medicina familiar
-890250; Consulta De Primera Vez Por Especialista En Ginecología Y Obstetricia
-890350; Consulta De Control O De Seguimiento Por Especialista En Ginecología Y Obstetricia
-890450; Interconsulta Por Especialista En Ginecología Y Obstetricia
-890750; Consulta De Urgencias Por Especialista En Ginecología Y Obstetricia
-E890250; Consulta De Primera Vez Por Especialista En Ginecología Y Obstetricia Por Telesalud O Telemedicina
-E890350; Consulta De Control O De Seguimiento Por Especialista En Ginecología Y Obstetricia Por Telesalud O Telemedicina
-890216; Consulta De Primera Vez Por Especialista En Salud Familiar Y Comunitaria
-890316; Consulta De Control O De Seguimiento Por Especialista En Salud Familiar Y Comunitaria
-890416; Interconsulta Por Especialista En Salud Familiar Y Comunitaria
-890463; Interconsulta Por Especialista En Medicina Familiar
-890763; Consulta De Urgencias Por Especialista En Medicina Familiar
-890283; Consulta De Primera Vez Por Especialista En Pediatría
-890383; Consulta De Control O De Seguimiento Por Especialista En Pediatría
-890483; Interconsulta Por Especialista En Pediatría
-890783; Consulta De Urgencias Por Especialista En Pediatría
-941101; Determinación Del Estado Mental Por Psiquiatría
-941301; Otra Entrevista Y Evaluacion Psiquiátricas
-944001; Psicoterapia De Pareja Por Psiquiatría
-944101; Psicoterapia Familiar Por Psiquiatría
-944201; Psicoterapia De Grupo Por Psiquiatría
-944902; Intervencion En Salud Mental Comunitaria, Por psiquiatría
-E890284; Consulta De Primera Vez Por Especialista En psiquiatría Por Telesalud O Telemedicina
-E890384; Consulta De Control O De Seguimiento Por Especialista En psiquiatría Por Telesalud O Telemedicina</t>
  </si>
  <si>
    <t>Cohorte violencia sexual</t>
  </si>
  <si>
    <r>
      <rPr>
        <b/>
        <sz val="10"/>
        <color rgb="FF000000"/>
        <rFont val="Calibri Light"/>
        <family val="2"/>
        <scheme val="major"/>
      </rPr>
      <t>REGLA IMPORTANTE DEL INDICADOR</t>
    </r>
    <r>
      <rPr>
        <sz val="10"/>
        <color rgb="FF000000"/>
        <rFont val="Calibri Light"/>
        <family val="2"/>
        <scheme val="major"/>
      </rPr>
      <t>: Se tendra en cuenta cualquiera de las siguientes consultas que cumpla con los terminos definidos para el numerador, es decir, si un usuario cumple con el indicador continuará cumpliendo durante el periodo de medición, independientemente de las consultas que se actualicen en la cohorte.</t>
    </r>
  </si>
  <si>
    <t xml:space="preserve">Cohorte violencia sexual de Sigires: 
1. Cualquiera de las 5 fechas de consulta por medicina que sea menor o igual a 3 meses  posterior a la variable "fecha de consulta".
</t>
  </si>
  <si>
    <t>Cohorte violencia sexual de Sigires: 
1. Seleccionar usuarios con "Fecha de notificación" de los últimos 12 meses sin contar los últimos 3 meses.
2. Seleccionar usuarios con "Estado" activo.
3. Revisar que no estén duplicados los usuarios.</t>
  </si>
  <si>
    <t>Cohorte de Violencia Sexual</t>
  </si>
  <si>
    <t>31.2%</t>
  </si>
  <si>
    <t>50.92%</t>
  </si>
  <si>
    <t>52.65%</t>
  </si>
  <si>
    <t>RPYMS213X</t>
  </si>
  <si>
    <t>Proporción de personas con violencia sexual con valoración en salud mental</t>
  </si>
  <si>
    <t>Usuarios victimas de violencia sexual  con reporte de  valoración por psicología y/o psiquiatría posterior a evento</t>
  </si>
  <si>
    <t xml:space="preserve">1 - RIPS (AC)
CUPS:
890208 consulta de primera vez por psicología
890308 consulta de control o de seguimiento por psicología
890284 consulta de primera vez por especialista en psiquiatría
890285 consulta de primera vez por especialista en psiquiatría pediátrica
890384 consulta de control o de seguimiento por especialista en psiquiatría
890385 consulta de control o de seguimiento por especialista en psiquiatría pediátrica
890484 interconsulta por especialista en psiquiatría
890485 interconsulta por especialista en psiquiatría pediátrica
943101 psicoterapia individual por psiquiatría
941101; DETERMINACION DEL ESTADO MENTAL POR PSIQUIATRIA
941301; OTRA ENTREVISTA Y EVALUACION PSIQUIATRICAS
944001; PSICOTERAPIA DE PAREJA POR PSIQUIATRIA
944101; PSICOTERAPIA FAMILIAR POR PSIQUIATRIA
944201; PSICOTERAPIA DE GRUPO POR PSIQUIATRIA
944902; INTERVENCION EN SALUD MENTAL COMUNITARIA, POR PSIQUIATRIA
E890284; CONSULTA DE PRIMERA VEZ POR ESPECIALISTA EN PSIQUIATRIA POR TELESALUD O TELEMEDICINA
E890384; CONSULTA DE CONTROL O DE SEGUIMIENTO POR ESPECIALISTA EN PSIQUIATRIA POR TELESALUD O TELEMEDICINA
890108; ATENCION [VISITA] DOMICILIARIA. POR PSICOLOGIA
890297; CONSULTA DE PRIMERA VEZ POR OTRAS ESPECIALIDADES DE PSICOLOGIA
890397; CONSULTA DE CONTROL O DE SEGUIMIENTO POR OTRAS ESPECIALIDADES DE PSICOLOGIA
890408; INTERCONSULTA POR PSICOLOGÍA
890608; ASISTENCIA INTRAHOSPITALARIA POR PSICOLOGIA
940901; DETERMINACION DEL ESTADO MENTAL POR PSICOLOGIA
943102; PSICOTERAPIA INDIVIDUAL POR PSICOLOGIA
944002; PSICOTERAPIA DE PAREJA POR PSICOLOGIA
944102; PSICOTERAPIA FAMILIAR POR PSICOLOGIA
944202; PSICOTERAPIA DE GRUPO POR PSICOLOGIA
944904; INTERVENCION EN SALUD MENTAL COMUNITARIA, POR PSICOLOGIA
E890208; CONSULTA DE PRIMERA VEZ POR PSICOLOGIA POR TELESALUD O TELEMEDICINA
E890310; CONSULTA DE CONTROL O DE SEGUIMIENTO POR PSICOLOGIA POR TELESALUD O TELEMEDICINA
</t>
  </si>
  <si>
    <r>
      <rPr>
        <b/>
        <sz val="10"/>
        <color theme="1"/>
        <rFont val="Calibri Light"/>
        <family val="2"/>
        <scheme val="major"/>
      </rPr>
      <t>REGLA IMPORTANTE DEL INDICADOR</t>
    </r>
    <r>
      <rPr>
        <sz val="10"/>
        <color theme="1"/>
        <rFont val="Calibri Light"/>
        <family val="2"/>
        <scheme val="major"/>
      </rPr>
      <t xml:space="preserve">: Se tendra en cuenta cualquiera de las siguientes consultas que cumpla con los terminos definidos para el numerador, es decir, si un usuario cumple con el indicador continuará cumpliendo durante el periodo de medición, independientemente de las consultas que se actualicen en la cohorte.
</t>
    </r>
  </si>
  <si>
    <t xml:space="preserve">Porcentaje Nueva EPS de valoración por psicología o psiquiatría en población víctima de violencia sexual </t>
  </si>
  <si>
    <t>Cohorte violencia sexual de Sigires: 
1. Cualquiera de las 4 fechas de consulta por psicología o cualquiera de las 4 fechas de consulta por psiquiatría que sea menor o igual a 3 meses  posterior a la variable "fecha de consulta".</t>
  </si>
  <si>
    <t>34.19%</t>
  </si>
  <si>
    <t>41.22%</t>
  </si>
  <si>
    <t>58.51%</t>
  </si>
  <si>
    <t>RPYMS214X</t>
  </si>
  <si>
    <t>Proporción de personas identificadas con "otros tipos de violencia" con valoración  en salud mental</t>
  </si>
  <si>
    <t>Proporción de usuarios victimas de otros tipos de violencia (no sexual) con reporte de  valoración por psicología posterior a evento</t>
  </si>
  <si>
    <t>Número de personas afiliadas que se encuentran en la cohorte de violencia no  sexual de SIGIRES
Fecha de notificación:  últimos 12 meses sin tomar los últimos 3 meses.</t>
  </si>
  <si>
    <t>1 - RIPS (AC)
CUPS:
890208 consulta de primera vez por psicología
890308 consulta de control o de seguimiento por psicología
890284 consulta de primera vez por especialista en psiquiatría
890285 consulta de primera vez por especialista en psiquiatría pediátrica
890384 consulta de control o de seguimiento por especialista en psiquiatría
890385 consulta de control o de seguimiento por especialista en psiquiatría pediátrica
890484 interconsulta por especialista en psiquiatría
890485 interconsulta por especialista en psiquiatría pediátrica
943101 psicoterapia individual por psiquiatría
941101; DETERMINACION DEL ESTADO MENTAL POR PSIQUIATRIA
941301; OTRA ENTREVISTA Y EVALUACION PSIQUIATRICAS
944001; PSICOTERAPIA DE PAREJA POR PSIQUIATRIA
944101; PSICOTERAPIA FAMILIAR POR PSIQUIATRIA
944201; PSICOTERAPIA DE GRUPO POR PSIQUIATRIA
944902; INTERVENCION EN SALUD MENTAL COMUNITARIA, POR PSIQUIATRIA
E890284; CONSULTA DE PRIMERA VEZ POR ESPECIALISTA EN PSIQUIATRIA POR TELESALUD O TELEMEDICINA
E890384; CONSULTA DE CONTROL O DE SEGUIMIENTO POR ESPECIALISTA EN PSIQUIATRIA POR TELESALUD O TELEMEDICINA
890108; ATENCION [VISITA] DOMICILIARIA. POR PSICOLOGIA
890297; CONSULTA DE PRIMERA VEZ POR OTRAS ESPECIALIDADES DE PSICOLOGIA
890397; CONSULTA DE CONTROL O DE SEGUIMIENTO POR OTRAS ESPECIALIDADES DE PSICOLOGIA
890408; INTERCONSULTA POR PSICOLOGÍA
890608; ASISTENCIA INTRAHOSPITALARIA POR PSICOLOGIA
940901; DETERMINACION DEL ESTADO MENTAL POR PSICOLOGIA
943102; PSICOTERAPIA INDIVIDUAL POR PSICOLOGIA
944002; PSICOTERAPIA DE PAREJA POR PSICOLOGIA
944102; PSICOTERAPIA FAMILIAR POR PSICOLOGIA
944202; PSICOTERAPIA DE GRUPO POR PSICOLOGIA
944904; INTERVENCION EN SALUD MENTAL COMUNITARIA, POR PSICOLOGIA
E890208; CONSULTA DE PRIMERA VEZ POR PSICOLOGIA POR TELESALUD O TELEMEDICINA
E890310; CONSULTA DE CONTROL O DE SEGUIMIENTO POR PSICOLOGIA POR TELESALUD O TELEMEDICINA</t>
  </si>
  <si>
    <t>Cohorte violencia no sexual</t>
  </si>
  <si>
    <r>
      <rPr>
        <b/>
        <sz val="10"/>
        <color theme="1"/>
        <rFont val="Calibri Light"/>
        <family val="2"/>
        <scheme val="major"/>
      </rPr>
      <t>REGLA IMPORTANTE DEL INDICADOR</t>
    </r>
    <r>
      <rPr>
        <sz val="10"/>
        <color theme="1"/>
        <rFont val="Calibri Light"/>
        <family val="2"/>
        <scheme val="major"/>
      </rPr>
      <t xml:space="preserve">: Se tendra en cuenta cualquiera de las siguientes consultas que cumpla con los terminos definidos para el numerador, es decir, si un usuario cumple con el indicador continuará cumpliendo durante el periodo de medición, independientemente de las consultas que se actualicen en la cohorte.
</t>
    </r>
  </si>
  <si>
    <t xml:space="preserve">Porcentaje Nueva EPS de valoración por psicología o psiquiatría en población víctima de violencia no sexual </t>
  </si>
  <si>
    <t>Cohorte violencia no sexual de Sigires: 
1. Fecha de consulta por psicología o fecha de consulta por psiquiatría que sea menor o igual a 3 meses posterior a la variable "fecha de consulta".</t>
  </si>
  <si>
    <t>Cohorte violencia no sexual de Sigires: 
1. Seleccionar usuarios con "Fecha de notificación" de los últimos 12 meses sin contar los últimos 3 meses.
2. Seleccionar usuarios con "Estado" activo.
3. Revisar que no estén duplicados los usuarios.</t>
  </si>
  <si>
    <t>Cohorte de Violencia No Sexual</t>
  </si>
  <si>
    <t>20.26%</t>
  </si>
  <si>
    <t>19.67%</t>
  </si>
  <si>
    <t>36.95%</t>
  </si>
  <si>
    <t>RPYMS217X</t>
  </si>
  <si>
    <t xml:space="preserve">Proporción de personas con intento de suicidio, con valoración en salud mental </t>
  </si>
  <si>
    <t>Proporción de personas odentificadas con intento de suicidio  que registran valoración por Psicología o psiquiatria</t>
  </si>
  <si>
    <t>Número de personas afiliadas que se encuentran en la cohorte de Intento de suicidio de SIGIRES
Fecha de notificación:  últimos 12 meses sin tomar los últimos 3 meses.</t>
  </si>
  <si>
    <t>Cohorte Intento suicidio</t>
  </si>
  <si>
    <r>
      <rPr>
        <b/>
        <sz val="10"/>
        <color theme="1"/>
        <rFont val="Calibri Light"/>
        <family val="2"/>
        <scheme val="major"/>
      </rPr>
      <t>REGLA IMPORTANTE DEL INDICADOR</t>
    </r>
    <r>
      <rPr>
        <sz val="10"/>
        <color theme="1"/>
        <rFont val="Calibri Light"/>
        <family val="2"/>
        <scheme val="major"/>
      </rPr>
      <t>: Se tendra en cuenta cualquiera de las siguientes consultas que cumpla con los terminos definidos para el numerador, es decir, si un usuario cumple con el indicador continuará cumpliendo durante el periodo de medición, independientemente de las consultas que se actualicen en la cohorte.
Se requiere que las personas con ideación suicida sean canalizadas y atendidas en la atención psicológica, IPS que cuentan con psicología contratada serán evaluadas en el cumplimiento</t>
    </r>
  </si>
  <si>
    <t>Porcentaje Nueva EPS de valoracion de usuarios con intento de suicidio 24% - año 2022 se define meta al RC 50%- RS 30% por necesidad de seguimiento a esta poblacion</t>
  </si>
  <si>
    <t>Cohorte intento de suicidio de Sigires: 
1. Cualquiera de las 4 fechas de consulta por psicología o cualquiera de las 4 fechas de consulta por psiquiatría que sea menor o igual a 3 meses  posterior a la variable "fecha de consulta".</t>
  </si>
  <si>
    <t>Cohorte intento de suicidio de Sigires: 
1. Seleccionar usuarios con "Fecha de notificación" de los últimos 12 meses sin contar los últimos 3 meses.
2. Seleccionar usuarios con "Estado" activo.
3. Revisar que no estén duplicados los usuarios.</t>
  </si>
  <si>
    <t>Cohorte Intento de suicidio</t>
  </si>
  <si>
    <t>40.15%</t>
  </si>
  <si>
    <t>49.63%</t>
  </si>
  <si>
    <t>55.32%</t>
  </si>
  <si>
    <t>RPYMS216X</t>
  </si>
  <si>
    <t>Proporción de personas con intoxicacion (SPA) con valoración en salud mental</t>
  </si>
  <si>
    <t>Proporción de usuarios con intoxicaciones por SPA por Psicología y/o psiquiatría</t>
  </si>
  <si>
    <t>Número de personas afiliadas que se encuentran en la cohorte de Intoxicacion por SPA de SIGIRES
Fecha de notificación:  últimos 12 meses sin tomar los últimos 3 meses.</t>
  </si>
  <si>
    <t>Cohorte Intoxicaciones por SPA</t>
  </si>
  <si>
    <t>Se establece como uno de los EISP de salud mental priorizados dentro del seguimiento del plan de intervención forzosa administrativa</t>
  </si>
  <si>
    <t xml:space="preserve">Cohorte intoxicaciones por SPA de Sigires: 
1. Fecha de consulta por psicología o fecha de consulta por psiquiatría que sea menor o igual a 3 meses posterior a la variable "fecha de consulta".
</t>
  </si>
  <si>
    <t>Cohorte intoxicaciones por SPA de Sigires: 
1. Seleccionar usuarios con "Fecha de notificación" de los últimos 12 meses sin contar los últimos 3 meses.
2. Seleccionar usuarios con "Estado" activo.
3. Revisar que no estén duplicados los usuarios.</t>
  </si>
  <si>
    <t>Cohorte intoxicaciones por SPA</t>
  </si>
  <si>
    <t>14.62%</t>
  </si>
  <si>
    <t>14.72%</t>
  </si>
  <si>
    <t>25.32%</t>
  </si>
  <si>
    <t>RPYMS374X</t>
  </si>
  <si>
    <t>Proporción de usuarios con diagnostico de Leishmaniasis que reciben tratamiento</t>
  </si>
  <si>
    <t>Proporción de usuarios con diagnóstico de Leishmania que registra fecha de inicio de tratamiento</t>
  </si>
  <si>
    <t>Tratamiento Leishmaniasis</t>
  </si>
  <si>
    <t xml:space="preserve">Numero de personas afiliadas que han sido notificadas en SIVIGILA:
Fecha Consulta "fec_Not_":  3 meses atrás sin tomar los ultimos 2
Evento: 420-430-440 
"Ajuste_" Excepto: 6 o D o R
"gp_gestan" Excepto "1" fuente SIVIGILA
Con registro de: Fecha valida de inicio de tratamiento (igual o posterior a la fecha de inicio de síntomas
</t>
  </si>
  <si>
    <t>Numero de personas afiliadas que han sido notificadas en SIVIGILA:
Fecha Consulta "fec_Not_":  3 meses atrás sin tomar los ultimos 2
Evento: 420-430-440 
"Ajuste_" Excepto: 6 o D o R
"gp_gestan" Excepto "1" fuente SIVIGILA</t>
  </si>
  <si>
    <t>"Fecha inicio tratamiento": tomar del modulo de casos de  Leishmaniasis, fecha válida igual o posterior a "ini_sin_" del evento 420, 430 o 440</t>
  </si>
  <si>
    <t>SIVIGILA
Evento: 420-430-440 
"Ajuste_" Excepto: 6 o D o R
Excepto gestantes: marcadas en el evento 420, 430 o 440: "gp_gestan" Excepto "1" fuente SIVIGILA</t>
  </si>
  <si>
    <t>3 meses atrás sin tomar los ultimos 2</t>
  </si>
  <si>
    <t>Población del denominador 
con fecha valida de inicio de tratamiento mayo o igual a la  variable"ini_sin_" del evento 420, 430 o 440</t>
  </si>
  <si>
    <t>Usuarios afiliados activos al mes a evaluar 
nuevos en el programa con diagnóstico de Leishmaniasis</t>
  </si>
  <si>
    <r>
      <t xml:space="preserve">"Ajuste_" Excepto: 6 o D o R
</t>
    </r>
    <r>
      <rPr>
        <b/>
        <sz val="10"/>
        <color theme="1"/>
        <rFont val="Calibri Light"/>
        <family val="2"/>
        <scheme val="major"/>
      </rPr>
      <t xml:space="preserve">Gestantes marcadas con "1" en Sivigila: "gp_gestan" </t>
    </r>
  </si>
  <si>
    <t>Se hace necesaria la vigilancia del evento en relacion al tratamiento oportuno de los casos</t>
  </si>
  <si>
    <t>Tomar el archivo dispuesto en OneDrive del evento, carpeta cohortes/ Indicador medido, filtrar variable “Numerador RPYMS374X” que se construye al generar los siguientes filtros: 
- casos del denominador que: 
- “FECHA_INICIO_TRATAMIENTO” = fecha válida, igual o posterior a “INI_SIN” (actualmente mide que la fecha esté entre el periodo a evaluar, sin embargo, se encuentra en ajuste, para que solo valide tratamiento posterior a inicio de síntomas)</t>
  </si>
  <si>
    <t>Tomar el archivo dispuesto en OneDrive del evento, carpeta cohortes/ Indicador medido, filtrar variable “Denominador RPYMS374X” que se construye al generar los siguientes filtros: 
- “ESTADO” = “AC”
- “AJUSTE” = Seleccionar todas excepto “6”, “D” y “R”
- “FECHA_NOTIFICACION” = Seleccionar los últimos tres meses sin los últimos dos meses
- “GESTACIÓN” = “\N”</t>
  </si>
  <si>
    <t>Archivos informes leishmaniasis</t>
  </si>
  <si>
    <t>76.85%</t>
  </si>
  <si>
    <t>21.87%</t>
  </si>
  <si>
    <t>12/12/2025 Sin modificación  30/04/2025 Se ajustan definicion de varaibles numerador y denominador.  31/03/2025 Se ajusta periodo del numerador a toda la vida.  9/12/2024: Se escluyen las gestantes de fuente sivigila. Elvia Milena- Johanna Chiquiza</t>
  </si>
  <si>
    <t>RPYMS185X</t>
  </si>
  <si>
    <t>Proporción de niños de 0 a 59 meses con Desnutrición Aguda que cumplen con el registro de datos clínicos para el diagnóstico</t>
  </si>
  <si>
    <t>Proporción de niños de 0 a 59 meses con desnutrición aguda moderada o severa que cumplen con el registro de datos clínicos para el diagnóstico</t>
  </si>
  <si>
    <t>Número de niños de 0 a 59 meses identificados con desnutrición aguda moderada o severa que  cumplen con el registro de datos clínicos en SIVIGILA requerido para el diagnóstica</t>
  </si>
  <si>
    <t>Número de niños de 0 a 59 meses con desnutrición aguda moderada o severa notificados a SIVIGILA</t>
  </si>
  <si>
    <t xml:space="preserve">Número de niños y niñas  de 0 a 59 meses con desnutrición aguda moderada o severa notificados a SIVIGILA con registro de Score P/T(zscore_pt)
</t>
  </si>
  <si>
    <t>SIVIGILA  
Evento 113: 
Fecha de consulta  (fec_con_): últimos 12 meses
"Ajuste_": todos, excepto 6 y D
Score P/T(zscore_pt): &lt; - 2DS o sin dato
Estado: activo</t>
  </si>
  <si>
    <t>Niños y niñas de 0 a 59 meses  con diagnóstico de Desnutrición aguda, moderada o severa, que cumplen con el registro de datos clínicos para el diagnóstico, estado activo.</t>
  </si>
  <si>
    <t>1. SIVIGILA EVENTO 113.
2. Seleccionar niños en edad de 0-59 meses a la fecha de consulta (Columna Edad en meses a la fecha de la consulta (SIVIGILA))
3. Estado Activo (ESTADO AC)
4. Fecha de consulta  (fec_con_): últimos 12 meses incluyendo el mes a evaluar
5. "Ajuste_": todos, excepto 6 y D
6. Con P/T &lt; - 2DS o sin dato (DATO_ZSCORE_PT)
7. "pac_hos_" = "2 y vacias "
8. Total de niño que cumplen con criterio diagnóstico- P/T &lt; - 2DS , PB&lt; 11,5"</t>
  </si>
  <si>
    <t>Cohorte de DNT</t>
  </si>
  <si>
    <t>95.12%</t>
  </si>
  <si>
    <t>97.81%</t>
  </si>
  <si>
    <t>RPYMS186X</t>
  </si>
  <si>
    <t>Proporción de niñas y niños de 6 a 59 meses con diagnostico de desnutrición aguda con prueba de apetito</t>
  </si>
  <si>
    <t>Proporción de niños de 6 a 59 meses con desnutrición aguda moderada o severa, que registran realización de prueba de apetito</t>
  </si>
  <si>
    <t>Prueba apetito</t>
  </si>
  <si>
    <t>Número de niñas y niños de 6 a 59 meses con desnutrición aguda moderada o severa con registro de prueba de apetito</t>
  </si>
  <si>
    <t>Número de niños de 6 a 59 meses con desnutrición aguda moderada o severa con manejo ambulatorio</t>
  </si>
  <si>
    <t>Fuente SIVIGILA
SIVIGILA: Evento 113:
Fecha de consulta  (fec_con_): últimos 12 meses
"Ajuste_": todos, excepto 6 y D
prueba de apetito "res_pr_ape": Opciones 1 y 2)
Fuente RIPS 
Crear Fuente adicional del reporte
(Campo fuente Módulo de DNT)</t>
  </si>
  <si>
    <t>Niños y niñas de 6 a 59 meses  con diagnóstico de Desnutrición aguda, moderada o severa, con prueba de apetito, estado activo.</t>
  </si>
  <si>
    <t xml:space="preserve">Niños y niñas de 6 a 59 meses  con diagnóstico de Desnutrición aguda, moderada o severa, estado activo.
Edad calculada a "fec_con_" (fecha de consulta)
</t>
  </si>
  <si>
    <t>1. SIVIGILA EVENTO 113.
2. Seleccionar niños en edad de 6-59 meses a la fecha de consulta (Columna Edad en meses a la fecha de la consulta (SIVIGILA))
3. Estado Activo (ESTADO AC)
4. Fecha de consulta  (fec_con_): últimos 12 meses incluyendo el mes a evaluar
5. "Ajuste_": todos, excepto 6 y D
6. Con P/T &lt; - 2DS o sin dato (DATO_ZSCORE_PT)
7. "pac_hos_" = "2 y vacias "
8. Total de niños con realización prueba apetito</t>
  </si>
  <si>
    <t>1. SIVIGILA EVENTO 113.
2. Seleccionar niños en edad de 6-59 meses a la fecha de consulta (Columna Edad en meses a la fecha de la consulta (SIVIGILA))
3. Estado Activo (ESTADO AC)
4. Fecha de consulta  (fec_con_): últimos 12 meses incluyendo el mes a evaluar
5. "Ajuste_": todos, excepto 6 y D
6. Con P/T &lt; - 2DS o sin dato (DATO_ZSCORE_PT)
7. "pac_hos_" = "2 y vacias "</t>
  </si>
  <si>
    <t>62.69%</t>
  </si>
  <si>
    <t xml:space="preserve">12/12/2025 Sin modificación  31/03/2025 Se ajusta el orden de la información de acuerdo a cada variable.  10/12/2024. Se cambia nombre del indicador y fuente; se cambia definición de numerador y denominador. Se incluyen exclusiones y Se incluye la fuente de busqueda de casos a traves de RIPS con los siguientes CIE 10: CIE 10: E43X; E441; E40X; E41X; E42X; E46X; •	Se retira el PB como paramétro para el diagnóstico de DNT; pasa a informativo. Elvia Milena
Se incluye la fuente de RIPS para la busqueda de casos a traves de CIE10
</t>
  </si>
  <si>
    <t>RPYMS187X</t>
  </si>
  <si>
    <t>Proporción de niños menores de cinco años con Desnutrición Aguda, con entrega de forma oportuna de FTLC.</t>
  </si>
  <si>
    <t>Proporción de niños de 6 a 59 meses con diagnostico de DNT, con manejo ambulatorio que registran prescripción de FTLC con suministro en 2 días o menos.</t>
  </si>
  <si>
    <t>FTLC</t>
  </si>
  <si>
    <t>Número de niñas y niños de 6 a 59 meses con desnutrición aguda moderada o severa con prescripción de FTLC entregada de forma oportuna, menor o igual a 2 días</t>
  </si>
  <si>
    <t>1 - RIPS:
Fecha de suministro:
*CUMS: 140402 - CODIGO NEPS: MD012653 y MD012654
2 - Datos adicionales:
Reporte de Entrega de Medicamentos - FTLC
3 - Modulo de Desnutrición en Procex:
Suministro de FTLC
Se valida la entrega posterior o igual mas reciente a la prescripción</t>
  </si>
  <si>
    <t>Niños y niñas de 6 a 59 meses  con diagnóstico de Desnutrición aguda, moderada o severa, con entrega de forma oportuna de FTLC, estado activo.</t>
  </si>
  <si>
    <t>Niños y niñas de 6 a 59 meses  con diagnóstico de Desnutrición aguda, moderada o severa, estado activo.
Edad calculada a "fec_con_" (fecha de consulta)</t>
  </si>
  <si>
    <t>indicador incluido en la resolución 2350 de 2020, se valida por IPS que tenga contratado el servicio de dispensacion de medicamentos (PBS)</t>
  </si>
  <si>
    <t xml:space="preserve">Cohorte DNT
1. SIVIGILA EVENTO 113. Seleccionar niños en edad de 6-59 meses a la fecha de consulta (Columna Edad en meses a la fecha de la consulta (SIVIGILA))
2. Estado Activo (ESTADO AC)
3. Fecha de consulta  (fec_con_): últimos 12 meses incluyendo el mes a evaluar
3. "Ajuste_": todos, excepto 6 y D
4. Con P/T &lt; - 2DS o sin dato  (DATO_ZSCORE_PT)
5. "pac_hos_" = "2 y vacías"
6. Fecha valida de suministro FTLC: posterior o Igual a Fecha de prescripcion-: Válido: menor o igual a 2 días. ( Diferencia: Fecha de prescripcion  y Fecha de Suministro (más cercana a la prescrición). </t>
  </si>
  <si>
    <t>Cohorte DNT
1. SIVIGILA EVENTO 113. Seleccionar niños en edad de 6-59 meses a la fecha de consulta (Columna Edad en meses a la fecha de la consulta (SIVIGILA))
2. Estado Activo (ESTADO AC)
3. Fecha de consulta  (fec_con_): últimos 12 meses incluyendo el mes a evaluar
3. "Ajuste_": todos, excepto 6 y D
4. Con -2 DS o vacio (DATO_ZSCORE_PT)
5. "pac_hos_" = "2 y vacías"</t>
  </si>
  <si>
    <t>28.8%</t>
  </si>
  <si>
    <t>74.18%</t>
  </si>
  <si>
    <t>12/12/2025 Sin modificación  13/08/2025: se realiza ajuste de indicador a informativo para medición a IPS.  31/03/2025 Se actualiza a ultima Resolución de Cups 2275/2023 en variable fuente. y se ajusta el orden de la información de acuerdo a cada variable.  09/12/2024: •	, se cambian a evaluativo. Se solicita el cálculo de la edad con corte al último día del mes evaluado; •	Para la exclusión de los casos según el ajuste solo se deben excluir los casos con ajuste “6 y D”; •	Se incluye la fuente de busqueda de casos a traves de RIPS con los siguientes CIE 10: CIE 10: E43X; E441; E40X; E41X; E42X; E46X; •	Se retira el PB como paramétro para el diagnóstico de DNT; •	Se ajusta la oportunidad de la medición de la entrega de FTLC a 2 días teniendo en cuenta que se encuantra incluida en el PBS, Elvia Milena</t>
  </si>
  <si>
    <t>RPYMS188X</t>
  </si>
  <si>
    <t>Núm.</t>
  </si>
  <si>
    <t>Sumatoria de días entre la fecha de la prescripción y la fecha de suministro de la FTLC
Diferencia: Fecha de prescripción y Fecha de Suministro (más cercana al prescripción)
Fecha valida de suministro: posterior o Igual a Fecha de prescripción
Prescritos con FTLC posterior o igual a Fecha de consulta
Oportunidad &lt;= 2 días</t>
  </si>
  <si>
    <t>Número de niños de 6 a 59 meses con desnutrición aguda moderada o severa con manejo ambulatorio con prescripción de FTLC</t>
  </si>
  <si>
    <t>1 - RIPS:
*CUMS: 140402 - CODIGO NEPS: MD012653 y MD012654
2 - Datos adicionales:
Reporte de Entrega de Medicamentos - FTLC
3 - Modulo de Desnutrición en Procex: Suministro de FTLC
Se valida la entrega posterior o igual mas reciente a la prescripción</t>
  </si>
  <si>
    <t>1. SIVIGILA  
Evento 113: 
Fecha de consulta  (fec_con_): últimos 12 meses
"Ajuste_": todos, excepto 6 y D
Score P/T(zscore_pt): &lt; - 2DS o sin dato
"pac_hos_" = "2 y vacías"
Estado: activo
2. RIPS
CIE 10: E43X; E441; E40X; E41X; E42X; E46X
Fecha de la consulta: Últimos 12 meses  incluido el mes a evaluar
Estado: activo
3. Datos adicionales:
Fecha de prescripción de FTLC: posterior a la "fec_con_"
Fecha de suministro de FTLC: &lt;= 2 días a la fecha de prescripción de la FTLC</t>
  </si>
  <si>
    <t>Población denominador
sumatoria de días entre formulación y suministro</t>
  </si>
  <si>
    <t>Indicador incluido en la resolución 2350 de 2020, se valida por IPS que tenga contratado el servicio de dispensación de medicamentos (PBS)
Indicador informativo, por parametrizacion de sotfware</t>
  </si>
  <si>
    <t>1. SIVIGILA EVENTO 113.
2. Seleccionar niños en edad de 6-59 meses a la fecha de consulta (Columna Edad en meses a la fecha de la consulta (SIVIGILA))
3. Estado Activo (ESTADO AC)
4. Fecha de consulta  (fec_con_): últimos 12 meses incluyendo el mes a evaluar
5. "Ajuste_": todos, excepto 6 y D
6. Con P/T &lt; - 2DS o sin dato (DATO_ZSCORE_PT)
7. "pac_hos_" = "2 y vacias "
8. Niños con oportunidad de suministro de FTLC &lt;= 2 días, Fecha valida de suministro: posterior o Igual a Fecha de prescripción.  (dierencia de días entre la fecha de la prescripción y la fecha de suministro de la FTLC)</t>
  </si>
  <si>
    <t xml:space="preserve">1. SIVIGILA EVENTO 113.
2. Seleccionar niños en edad de 6-59 meses a la fecha de consulta (Columna Edad en meses a la fecha de la consulta (SIVIGILA))
3. Estado Activo (ESTADO AC)
4. Fecha de consulta  (fec_con_): últimos 12 meses incluyendo el mes a evaluar
5. "Ajuste_": todos, excepto 6 y D
6. Con P/T &lt; - 2DS o sin dato (DATO_ZSCORE_PT)
7. "pac_hos_" = "2 y vacias "
8. Niños con preinscripcion de FTLC con fecha igual o posterior a la fecha de consulta. </t>
  </si>
  <si>
    <t>&lt;=2</t>
  </si>
  <si>
    <t>&gt; 2</t>
  </si>
  <si>
    <t>85.2%</t>
  </si>
  <si>
    <t>81.08%</t>
  </si>
  <si>
    <t>05/12/2025 Se modifica nombre de indicador, el cual mide la entrega de FTLC independiente de la oportunidad</t>
  </si>
  <si>
    <t>RPYMS189X</t>
  </si>
  <si>
    <t>Proporción de niños con Desnutrición Aguda, que reciben micronutrientes y antiparasitarios.</t>
  </si>
  <si>
    <t>Proporción de niños de 6 a 59 meses con desnutrición aguda moderada o severa, que registran suministro de antiparasitario y micronutrientes en polvo, vitamina A, sulfato ferroso.</t>
  </si>
  <si>
    <t>Número de niñas y niños de 6 a 59 meses con desnutrición aguda moderada o severa en manejo ambulatorio que reciben suministro de Vitamina A, Sulfato ferroso, y Antiparasitario, posterior o igual a la fecha de inicio de seguimiento.</t>
  </si>
  <si>
    <t>1. Cohorte primera infancia
Debe tener registro de todos los insumos según edad fecha de suministro de Vitamina A, Sulfato Ferroso y Antiparasitario y micronutrientes en polvo :
Edad corte: 12 a 59 meses - Antiparasitario: Últimos 6 meses
Edad corte: 30 a 59 meses - Sulfato Ferroso y Vitamina A: Últimos 6 meses 
Edad Corte: 6 a 23 meses - Micronutrientes en Polvo: Últimos 6 meses</t>
  </si>
  <si>
    <t xml:space="preserve">1. SIVIGILA  
Evento 113: 
Fecha de consulta  (fec_con_): últimos 12 meses (sin contar los últimos 4 meses)
"Ajuste_": todos, excepto 6 y D
Score P/T(zscore_pt): &lt; - 2DS o sin dato
Estado: activo
2. RIPS
CIE 10: E43X; E441; E40X; E41X; E42X; E46X
Fecha de la consulta: Últimos 12 meses  incluido el mes a evaluar
Estado: activo
</t>
  </si>
  <si>
    <t>12 meses atrás incluyendo el mes a evaluar, (sin contar los últimos 4 meses)</t>
  </si>
  <si>
    <t>Niños y niñas de 6 a 59 meses  con diagnóstico de Desnutrición aguda, moderada o severa, que reciben micronutrientes y antiparasitarios, estado activo.</t>
  </si>
  <si>
    <t>Se considera recuperación nutricional, que el niño cambie de clasificación nutricional, según indicador Peso para la Talla/ longitud. En adecuado o riesgo de desnutrición aguda.</t>
  </si>
  <si>
    <t xml:space="preserve">1. SIVIGILA EVENTO 113.
2. Seleccionar niños en edad de 6-59 meses a la fecha de consulta (Columna Edad en meses a la fecha de la consulta (SIVIGILA))
3. Estado Activo (ESTADO AC)
4. Fecha de consulta  (fec_con_): últimos 12 meses incluyendo el mes a evaluar
5. "Ajuste_": todos, excepto 6 y D
6. Con P/T &lt; - 2DS o sin dato (DATO_ZSCORE_PT)
7. "pac_hos_" = "2 y vacias "
8. Total de niños que reportan suministro de micronutrientes y antiparasitario. </t>
  </si>
  <si>
    <t>20.53%</t>
  </si>
  <si>
    <t>12/12/2025 Sin modificación  31/03/2025 Se ajusta el orden de la información de acuerdo a cada variable.  09/122024: •	Se solicita el cálculo de la edad con corte al último día del mes evaluado; •	Para la exclusión de los casos según el ajuste solo se deben excluir los casos con ajuste “6 y D”; •	Se incluye la fuente de busqueda de casos a traves de RIPS con los siguientes CIE 10: CIE 10: E43X; E441; E40X; E41X; E42X; E46X; •	Se retira el PB como paramétro para el diagnóstico de DNT, Elvia Milena</t>
  </si>
  <si>
    <t>RPYMS190X</t>
  </si>
  <si>
    <t>Proporción de niños con Desnutrición Aguda con valoración integral de RPYMS según esquema</t>
  </si>
  <si>
    <t>Proporción de niños de 0 a 59 meses con desnutrición aguda moderada o severa, con manejo ambulatorio que registran esquema de valoración integral de la RPYMS adecuada para la edad.</t>
  </si>
  <si>
    <t xml:space="preserve">Número de niños entre 0 y 59 con desnutrición aguda moderada o severa en manejo ambulatorio que registran valoración integral por medicina general, familiar o pediatría o por enfermería según la RPYMS, Así:
Consulta Medicina General, Familiar o Pediatría:
Edad corte: 0-2 mes                    Edad Consulta: 0-1 mes
Edad corte: 4-6 meses               Edad Consulta: 4-5 meses
Edad corte: 12-18 meses           Edad Consulta: 12-17 meses,
Edad corte:  24-30 meses          Edad Consulta:  24-29 meses
Edad corte:  36-48 meses          Edad Consulta:  36-47 meses
Consulta Enfermería:
Edad corte: 2-4 meses              Edad Consulta: 2-3 meses
Edad corte: 6-12 meses             Edad Consulta: 6-11 meses
Edad corte: 18-24 meses           Edad Consulta: 18-23 meses
Edad corte: 30-36 meses           Edad Consulta: 30-35 meses
Edad corte:  48-60 meses          Edad Consulta:  48-59 meses
Debe tener edad al corte y a la ejecución de la actividad.
</t>
  </si>
  <si>
    <t>1. SIVIGILA  
Evento 113: 
Fecha de consulta  (fec_con_): últimos 12 meses
"Ajuste_": todos, excepto 6 y D
Score P/T(zscore_pt): &lt; - 2DS o sin dato
Estado: activo
2. RIPS
CIE 10: E43X; E441; E40X; E41X; E42X; E46X
Fecha de la consulta: Últimos 12 meses  incluido el mes a evaluar
Estado: activo</t>
  </si>
  <si>
    <t>Niños y niñas de 0 a 59 meses  con diagnóstico de Desnutrición aguda, moderada o severa, con valoración integral de RPYMS según esquema, estado activo.</t>
  </si>
  <si>
    <t>Niños y niñas de 0 a 59 meses  con diagnóstico de Desnutrición aguda, moderada o severa, con manejo ambulatorio, estado activo.
Edad calculada a "fec_con_" (fecha de consulta)</t>
  </si>
  <si>
    <t>Cohorte DNT
1. SIVIGILA EVENTO 113. Seleccionar niños en edad de 0-59 meses a la fecha de consulta (Columna Edad en meses a la fecha de la consulta (SIVIGILA))
2. Estado Activo (ESTADO AC)
3. Fecha de consulta  (fec_con_): últimos 12 meses incluyendo el mes a evaluar
3. "Ajuste_": todos, excepto 6 y D
4. Con P/T &lt; - 2DS o sin dato  (DATO_ZSCORE_PT)
5. "pac_hos_" = "2 y vacías"
6. Número de niñas y niños de 0 a 59 meses con atención de Valoracion integral ( selección columna Cumple Esquema Valoración Integral RPYMS)</t>
  </si>
  <si>
    <t>Cohorte DNT
1. SIVIGILA EVENTO 113. Seleccionar niños en edad de 0-59 meses a la fecha de consulta (Columna Edad en meses a la fecha de la consulta (SIVIGILA))
2. Estado Activo (ESTADO AC)
3. Fecha de consulta  (fec_con_): últimos 12 meses incluyendo el mes a evaluar
3. "Ajuste_": todos, excepto 6 y D
4. Con -2 DS o vacio (DATO_ZSCORE_PT)
5. "pac_hos_" = "2 y vacías"</t>
  </si>
  <si>
    <t>69.15%</t>
  </si>
  <si>
    <t>64.34%</t>
  </si>
  <si>
    <t>15/12/2025: se modifica puntaje  31/03/2025 Se actualiza a ultima Resolución de Cups 2275/2023 en variable fuente y se ajusta el orden de la información de acuerdo a cada variable. y en poblacion edad entre 0 y 6 meses.  09/12-2024: •	Se solicita el cálculo de la edad con corte al último día del mes evaluado; •	Para la exclusión de los casos según el ajuste solo se deben excluir los casos con ajuste “6 y D”; •	Se incluye la fuente de busqueda de casos a traves de RIPS con los siguientes CIE 10: CIE 10: E43X; E441; E40X; E41X; E42X; E46X; •	Se retira el PB como paramétro para el diagnóstico de DNT; se pasa a informativo, Elvia milena.</t>
  </si>
  <si>
    <t>RPYMS220X</t>
  </si>
  <si>
    <t>Proporción de niñas y niños de 6 a 59 meses con Desnutrición Aguda con prescripción de FTLC</t>
  </si>
  <si>
    <t>Proporción de niños de 6 a 59 meses con desnutrición aguda moderada o severa, con manejo ambulatorio que registran prescripción de FTLC.</t>
  </si>
  <si>
    <t>Número de niñas y niños de 6 a 59 meses con desnutrición aguda moderada o severa que cuentan con prescripción de FTLC, posterior a la fecha de consulta</t>
  </si>
  <si>
    <r>
      <t>1 - Datos adicionales</t>
    </r>
    <r>
      <rPr>
        <strike/>
        <sz val="10"/>
        <color theme="1"/>
        <rFont val="Calibri Light"/>
        <family val="2"/>
        <scheme val="major"/>
      </rPr>
      <t xml:space="preserve"> 
</t>
    </r>
    <r>
      <rPr>
        <sz val="10"/>
        <color theme="1"/>
        <rFont val="Calibri Light"/>
        <family val="2"/>
        <scheme val="major"/>
      </rPr>
      <t xml:space="preserve">Variable: "actividad MIPRES_FTLC" que corresponde a la "Fecha de Prescripción FTLC"
Prescritos posterior o igual a Fecha de consulta </t>
    </r>
  </si>
  <si>
    <t>Niños y niñas de 6 a 59 meses  con diagnóstico de Desnutrición aguda, moderada o severa, con prescripción de FTLC, estado activo.</t>
  </si>
  <si>
    <t xml:space="preserve">Solo será válida la fecha de prescripción si es mayor o igual a la fecha de consulta
</t>
  </si>
  <si>
    <t>Cohorte DNT
1. SIVIGILA EVENTO 113. Seleccionar niños en edad de 6-59 meses a la fecha de consulta (Columna Edad en meses a la fecha de la consulta (SIVIGILA))
2. Estado Activo (ESTADO AC)
3. Fecha de consulta  (fec_con_): últimos 12 meses incluyendo el mes a evaluar
3. "Ajuste_": todos, excepto 6 y D
4. Con P/T &lt; - 2DS o sin dato  (DATO_ZSCORE_PT)
5. "pac_hos_" = "2 y vacías"
6. prescripción de FTLC, posterior a la fecha de consulta</t>
  </si>
  <si>
    <t>29.77%</t>
  </si>
  <si>
    <t>44.26%</t>
  </si>
  <si>
    <t xml:space="preserve">12/12/2025 Sin modificación  12/09/2025 Se aclara regla en la variable FUENTE/ Numerador y la variable observación del indicador.  31/03/2025 Se ajusta el nombre de la definición operativa y orden de la información de acuerdo a cada variable.  10/12/2024. Se cambia nombre del indicador y fuente; se cambia definición de numerador y denominador. Se incluyen exclusiones y Se incluye la fuente de busqueda de casos a traves de RIPS con los siguientes CIE 10: CIE 10: E43X; E441; E40X; E41X; E42X; E46X; •	Se retira el PB como paramétro para el diagnóstico de DNT; Elvia Milena
Se incluye la fuente de RIPS para la busqueda de casos a traves de CIE10
</t>
  </si>
  <si>
    <t>RPYMS191X</t>
  </si>
  <si>
    <t>Proporción de niños con Desnutrición Aguda con Esquema completo de vacunación</t>
  </si>
  <si>
    <t>Proporción de niños de 0 a 59 meses con desnutrición aguda moderada o severa en manejo ambulatorio que registran esquema completo de vacunacion para la edad</t>
  </si>
  <si>
    <t>Número de niñas y niños de 0 a 59 meses con desnutrición aguda moderada o severa que registran esquema completo de vacunación para la edad.</t>
  </si>
  <si>
    <t>Cohorte de vacunación, según esquema registrado para la edad</t>
  </si>
  <si>
    <t>Niños y niñas de 0 a 59 meses  con diagnóstico de Desnutrición aguda, moderada o severa, que registran esquema completo de vacunacion para la edad, estado activo.</t>
  </si>
  <si>
    <t>1. SIVIGILA EVENTO 113.
2. Seleccionar niños en edad de 0-59 meses a la fecha de consulta (Columna Edad en meses a la fecha de la consulta (SIVIGILA))
3. Estado Activo (ESTADO AC)
4. Fecha de consulta  (fec_con_): últimos 12 meses incluyendo el mes a evaluar
5. "Ajuste_": todos, excepto 6 y D
6. Con P/T &lt; - 2DS o sin dato (DATO_ZSCORE_PT)
7. "pac_hos_" = "2 y vacias "
8. Total de niños que reportan esquema de vacunación completo para la edad.</t>
  </si>
  <si>
    <t>76.7%</t>
  </si>
  <si>
    <t>82.62%</t>
  </si>
  <si>
    <t>12/12/2025 Sin modificación  31/03/2025 Se ajusta definición operativa y el orden de la información de acuerdo a cada variable.  09/12/2024: •	Se solicita el cálculo de la edad con corte al último día del mes evaluado; •	Para la exclusión de los casos según el ajuste solo se deben excluir los casos con ajuste “6 y D”; •	Se incluye la fuente de busqueda de casos a traves de RIPS con los siguientes CIE 10: CIE 10: E43X; E441; E40X; E41X; E42X; E46X, •	Se retira el PB como paramétro para el diagnóstico de DNT, pasa a informativo</t>
  </si>
  <si>
    <t>RPYMS192X</t>
  </si>
  <si>
    <t>Proporción de niños con Desnutrición Aguda con valoración en Salud Oral</t>
  </si>
  <si>
    <t>Proporción de niños de 6 a 59 meses con desnutrición aguda moderada o severa en manejo ambulatorio que registran valoración en salud bucal en los últimos 12 meses.</t>
  </si>
  <si>
    <t>Número de niñas y niños de 6 a 59 meses con desnutrición aguda moderada o severa en manejo ambulatorio que registran valoración en salud oral en los últimos 12 meses</t>
  </si>
  <si>
    <t>Niños y niñas de 6 a 59 meses  con diagnóstico de Desnutrición aguda, moderada o severa, que registran valoración por salud oral, estado activo.</t>
  </si>
  <si>
    <t xml:space="preserve">1. SIVIGILA EVENTO 113.
2. Seleccionar niños en edad de 6-59 meses a la fecha de consulta (Columna Edad en meses a la fecha de la consulta (SIVIGILA))
3. Estado Activo (ESTADO AC)
4. Fecha de consulta  (fec_con_): últimos 12 meses incluyendo el mes a evaluar
5. "Ajuste_": todos, excepto 6 y D
6. Con P/T &lt; - 2DS o sin dato (DATO_ZSCORE_PT)
7. "pac_hos_" = "2 y vacias "
8. Total de niños que reportan consulta de salud oral en los ultimos 12 meses. </t>
  </si>
  <si>
    <t xml:space="preserve">Modulo Salud Nutricional- Desnutrición Procex </t>
  </si>
  <si>
    <t>68.98%</t>
  </si>
  <si>
    <t>68.77%</t>
  </si>
  <si>
    <t>12/12/2025 Sin modificación  31/03/2025 Se ajusta definicion operacional y el orden de la información de acuerdo a cada variable.  09/12-2024: •	Se solicita el cálculo de la edad con corte al último día del mes evaluado; •	Para la exclusión de los casos según el ajuste solo se deben excluir los casos con ajuste “6 y D”; •	Se incluye la fuente de busqueda de casos a traves de RIPS con los siguientes CIE 10: CIE 10: E43X; E441; E40X; E41X; E42X; E46X; •	Se retira el PB como paramétro para el diagnóstico de DNT; pasa a informativo, Elvia Milena</t>
  </si>
  <si>
    <t>RPYMS536X</t>
  </si>
  <si>
    <t>Personas víctimas de violencia sexual que recibieron profilaxis para VIH</t>
  </si>
  <si>
    <t>Proporción de personas víctimas de violencia sexual que recibieron profilaxis para VIH</t>
  </si>
  <si>
    <t>Profilaxis para VIH</t>
  </si>
  <si>
    <t>Número de personas afiliadas que han sido notificadas en SIVIGILA:
Fecha Consulta "fec_Not_": últimos 12 meses 
Evento: 875
"Ajuste_" Excepto: 6 o D o R
"Nat_Viosex": opciones:
4-  Abuso sexual
6 - Violación
11- Violencia sexual en conflicto armado
12- Actos sexuales violentos
"prof_vih": 1
Cohorte violencia sexual</t>
  </si>
  <si>
    <t>Número de personas afiliadas que han sido notificadas en SIVIGILA:
Fecha Consulta "fec_not_": últimos 12 meses 
Evento: 875
"Ajuste_" Excepto: 6 o D o R
"Nat_Viosex": opciones:
4-  Abuso sexual
6 - Violación
11- Violencia sexual en conflicto armado
12- Actos sexuales violentos
Cohorte violencia sexual</t>
  </si>
  <si>
    <t>Número de personas afiliadas que han sido notificadas en SIVIGILA:
Evento:875
"prof_vih": 1</t>
  </si>
  <si>
    <t>Número de personas afiliadas que han sido notificadas en SIVIGILA:
Fecha Consulta "fec_not_": últimos 12 meses 
Evento: 875
"Ajuste_" Excepto: 6 o D o R
"Nat_Viosex": opciones:
4-  Abuso sexual
6 - Violación
11- Violencia sexual en conflicto armado
12- Actos sexuales violentos</t>
  </si>
  <si>
    <t>Población del denominador con registro en SIVIGILA de profilaxis para VIH</t>
  </si>
  <si>
    <t>La proporción medida por el INS con corte a período epidemiológico VIII de 2023 fue de 57,2</t>
  </si>
  <si>
    <t>12/12/2025 Se ajusta meta. 9/12/2024: Indicador nuevo</t>
  </si>
  <si>
    <t>RPYMS537X</t>
  </si>
  <si>
    <t>Personas víctimas de violencia sexual que recibieron profilaxis para Hepatitis B</t>
  </si>
  <si>
    <t>Proporción de personas víctimas de violencia sexual que recibieron profilaxis para Hepatitis B</t>
  </si>
  <si>
    <t>Profilaxis para Hepatitis B</t>
  </si>
  <si>
    <t>Número de personas afiliadas que han sido notificadas en SIVIGILA:
Fecha Consulta "fec_Not_": últimos 12 meses últimos 12 meses 
Evento: 875
"Ajuste_" Excepto: 6 o D o R
"Nat_Viosex": opciones:
4-  Abuso sexual
6 - Violación
11- Violencia sexual en conflicto armado
12- Actos sexuales violentos
"prof_hep_b": 1
Cohorte violencia sexual</t>
  </si>
  <si>
    <t>Número de personas afiliadas que han sido notificadas en SIVIGILA:
Evento:875
"prof_hep_b": 1</t>
  </si>
  <si>
    <t>Población del denominador con registro en SIVIGILA de profilaxis para Hepatitis B</t>
  </si>
  <si>
    <t>La proporción medida por el INS con corte a período epidemiológico VIII de 2023 fue de 47,5</t>
  </si>
  <si>
    <t>Sivigila Evento 875:
Variable "fec_Not_": últimos 12 meses
Variable "Ajuste_" Excepto: 6 o D o R
Variable "Nat_Viosex": 4-  Abuso sexual, 6 - Violación, 11- Violencia sexual en conflicto armado, 12- Actos sexuales violentos
Variable "prof_hep_b": 1</t>
  </si>
  <si>
    <t>Sivigila Evento 875:
Variable "fec_Not_": últimos 12 meses
Variable "Ajuste_" Excepto: 6 o D o R
Variable "Nat_Viosex": 4-  Abuso sexual, 6 - Violación, 11- Violencia sexual en conflicto armado, 12- Actos sexuales violentos</t>
  </si>
  <si>
    <t>13.13%</t>
  </si>
  <si>
    <t>RPYMS538X</t>
  </si>
  <si>
    <t>Personas víctimas de violencia sexual que recibieron anticoncepción de emergencia</t>
  </si>
  <si>
    <t>Proporción de personas víctimas de violencia sexual que recibieron anticoncepción de emergencia</t>
  </si>
  <si>
    <t>Anticoncepción de emergencia</t>
  </si>
  <si>
    <t>Número de personas afiliadas que han sido notificadas en SIVIGILA:
Fecha Consulta "fec_Not_": últimos 12 meses últimos 12 meses 
Evento: 875
"Ajuste_" Excepto: 6 o D o R
"Nat_Viosex": opciones:
4-  Abuso sexual
6 - Violación
11- Violencia sexual en conflicto armado
12- Actos sexuales violentos
"ac_anticon": 1
Género: femenino
Cohorte violencia sexual</t>
  </si>
  <si>
    <t>Número de personas afiliadas que han sido notificadas en SIVIGILA:
Fecha Consulta "fec_not_": últimos 12 meses 
Evento: 875
"Ajuste_" Excepto: 6 o D o R
"Nat_Viosex": opciones:
4-  Abuso sexual
6 - Violación
11- Violencia sexual en conflicto armado
12- Actos sexuales violentos
Género: femenino
Cohorte violencia sexual</t>
  </si>
  <si>
    <t>Número de personas afiliadas que han sido notificadas en SIVIGILA:
Evento:875
"ac_anticon": 1
Género: femenino</t>
  </si>
  <si>
    <t>Población del denominador con registro en SIVIGILA de anticoncepción de emergencia</t>
  </si>
  <si>
    <t>Número de personas afiliadas que han sido notificadas en SIVIGILA:
Fecha Consulta "fec_not_": últimos 12 meses 
Evento: 875
"Ajuste_" Excepto: 6 o D o R
"Nat_Viosex": opciones:
4-  Abuso sexual
6 - Violación
11- Violencia sexual en conflicto armado
12- Actos sexuales violentos
Género: femenino</t>
  </si>
  <si>
    <t>"Ajuste_" Excepto: 6 o D o R
Género: masculino</t>
  </si>
  <si>
    <t>La proporción medida por el INS con corte a período epidemiológico VIII de 2023 fue de 47,6</t>
  </si>
  <si>
    <t>SIVIGILA Evento 875:
Variable "fec_Not_": últimos 12 meses
Variable "Ajuste_" Excepto: 6 o D o R
Variable "Nat_Viosex": 4-  Abuso sexual, 6 - Violación, 11- Violencia sexual en conflicto armado y 12- Actos sexuales violentos
Variable "ac_anticon": 1
Variable Género: femenino</t>
  </si>
  <si>
    <t>SIVIGILA Evento 875:
Variable "fec_Not_": últimos 12 meses
Variable "Ajuste_" Excepto: 6 o D o R
Variable "Nat_Viosex": 4-  Abuso sexual, 6 - Violación, 11- Violencia sexual en conflicto armado y 12- Actos sexuales violentos
Variable Género: femenino</t>
  </si>
  <si>
    <t>10.66%</t>
  </si>
  <si>
    <t>RPYMS539X</t>
  </si>
  <si>
    <t>Personas notificadas por violencia sexual que registran actividades de la RPYMS</t>
  </si>
  <si>
    <t>Proporción de personas notificadas por violencia sexual que registran atenciones de la RPYMS</t>
  </si>
  <si>
    <t>Personas notificadas por violencia sexual afiliadas a Nueva EPS con registro de atenciones en la RPYMS
Vigencia atención: Posterior a la notificación "fec_Not_" por el evento 875
Cohorte violencia sexual</t>
  </si>
  <si>
    <t>Personas notificadas por violencia sexual
Cohorte violencia sexual</t>
  </si>
  <si>
    <t>Registro de al menos una atención de la RPYMS: según lo definido en la lista: "Atenciones_RPYMS"
1 - RIPS 
2 - Res 202
3 - Vacunación</t>
  </si>
  <si>
    <t>Población notificada por violencia sexual. Activos.</t>
  </si>
  <si>
    <t>Se toma de acuerdo con información del INS 07-11-2024</t>
  </si>
  <si>
    <t>RPYMS540X</t>
  </si>
  <si>
    <t>Personas notificadas por violencia no sexual que registran actividades de la RPYMS</t>
  </si>
  <si>
    <t>Proporción de personas notificadas por violencia no sexual que registran atenciones de la RPYMS</t>
  </si>
  <si>
    <t>Personas notificadas por violencia no sexual afiliadas a Nueva EPS con registro de atenciones en la RPYMS
Vigencia atención: Posterior a la notificación "fec_Not_" por el evento 875
Cohorte violencia no sexual</t>
  </si>
  <si>
    <t>Personas notificadas por violencia no sexual afiliadas a Nueva EPS
Cohorte violencia no sexual</t>
  </si>
  <si>
    <t>Población notificada por violencia no sexual. Activos.</t>
  </si>
  <si>
    <t>RPYMS541X</t>
  </si>
  <si>
    <t>Personas notificadas por intoxicación por sustancias psicoactivas que registran actividades de la RPYMS</t>
  </si>
  <si>
    <t>Proporción de personas notificadas por intoxicación por sustancias psicoactivas que registran atenciones de la RPYMS</t>
  </si>
  <si>
    <t>Personas notificadas porintoxicación por sustancias psicoactivas afiliadas a Nueva EPS con registro de atenciones en la RPYMS
Vigencia atención: Posterior a la notificación "fec_Not_" por el evento 365
Cohorte Intoxicaciones por SPA</t>
  </si>
  <si>
    <t>Personas notificadas por intoxicación por sustancias psicoactivas afiliadas a Nueva EPS
Cohorte Intoxicaciones por SPA</t>
  </si>
  <si>
    <t>Población notificada por intoxicación por sustancias psicoactivas. Activos.</t>
  </si>
  <si>
    <t>Intoxicaciones por SPA</t>
  </si>
  <si>
    <t>2.35%</t>
  </si>
  <si>
    <t>RPYMS542X</t>
  </si>
  <si>
    <t>Prevalencia de trastornos mentales</t>
  </si>
  <si>
    <t>Prevalencia de trastornos mentales en Nueva EPS</t>
  </si>
  <si>
    <t xml:space="preserve">Número de personas de la cohorte de trastornos mentales </t>
  </si>
  <si>
    <t>Cohorte de trastornos mentales</t>
  </si>
  <si>
    <r>
      <t xml:space="preserve"> </t>
    </r>
    <r>
      <rPr>
        <sz val="10"/>
        <color rgb="FFFF0000"/>
        <rFont val="Calibri Light"/>
        <family val="2"/>
        <scheme val="major"/>
      </rPr>
      <t>Toda la vida</t>
    </r>
  </si>
  <si>
    <t>Total de usuarios con diagnostico de trastornos mentales</t>
  </si>
  <si>
    <t>Total de población activa al mes a evaluar</t>
  </si>
  <si>
    <t>En Nueva EPS la prevalencia en junio de 2024 fue de 50,1 por cada 1.000 afiliados</t>
  </si>
  <si>
    <t>Cohorte trastornos mentales de Sigires:
1. Variable "Estado": Tomar "Activo"</t>
  </si>
  <si>
    <t>&lt;=50.1  x 1000</t>
  </si>
  <si>
    <t>5809.03</t>
  </si>
  <si>
    <t>RPYMS543X</t>
  </si>
  <si>
    <t>Prevalencia de epilepsia</t>
  </si>
  <si>
    <t>Prevalencia de epilepsia en Nueva EPS</t>
  </si>
  <si>
    <t>Número de personas de la cohorte de epilepsia</t>
  </si>
  <si>
    <t>Cohorte de epilepsia</t>
  </si>
  <si>
    <t>Total de usuarios con diagnostico de epilepsia</t>
  </si>
  <si>
    <t>En Nueva EPS la prevalencia en junio de 2024 fue de 6,0 por cada 1.000 afiliados</t>
  </si>
  <si>
    <t>Cohorte Epilepsia de Sigires:
1. Variable "Estado": Tomar "Activo"</t>
  </si>
  <si>
    <t>Cohorte de Epilepsia</t>
  </si>
  <si>
    <t>&lt;=6.0 x 1000</t>
  </si>
  <si>
    <t>6.74</t>
  </si>
  <si>
    <t>RPYMS544X</t>
  </si>
  <si>
    <t>Prevalencia de trastornos mentales por consumo de SPA</t>
  </si>
  <si>
    <t>Prevalencia de trastornos mentales por consumo de SPA en Nueva EPS</t>
  </si>
  <si>
    <t>Número de personas de la cohorte de trastornos mentales por consumo de SPA</t>
  </si>
  <si>
    <t>Cohorte de trastornos mentales por SPA</t>
  </si>
  <si>
    <t>Total de usuarios con diagnostico de trastornos mentales por consumo de SPA</t>
  </si>
  <si>
    <t>En Nueva EPS la prevalencia en junio de 2024 es de 6,0 por cada 1.000 afiliados</t>
  </si>
  <si>
    <t>Cohorte Trastornos mentales por SPA de Sigires:
1. Variable "Estado": Tomar "Activo"</t>
  </si>
  <si>
    <t>Cohorte de Trastornos mentales por SPA</t>
  </si>
  <si>
    <t>3.8</t>
  </si>
  <si>
    <t>RPYMS563X</t>
  </si>
  <si>
    <t>Proporción de malaria complicada</t>
  </si>
  <si>
    <t>Proporción de usuarios notificados con complicaciones por malaria</t>
  </si>
  <si>
    <t>Proporción complicación</t>
  </si>
  <si>
    <t>Gestión de Riesgo</t>
  </si>
  <si>
    <t>Número de personas afiliadas que han sido notificadas en sivigila:
Fecha Consulta "fec_Not_": año vigente
Evento: 465
"complic"  = 1
"Ajuste_" Excepto: 6 o D o R</t>
  </si>
  <si>
    <t>Número de personas afiliadas que han sido notificadas en sivigila:
Fecha Consulta "fec_Not_": año vigente
Evento: 465
"Ajuste_" Excepto: 6 o D o R</t>
  </si>
  <si>
    <t>SIVIGILA
Evento: 465
"complic"  = 1
"Ajuste_" Excepto: 6 o D o R</t>
  </si>
  <si>
    <t>SIVIGILA
Evento: 465
"Ajuste_" Excepto: 6 o D o R</t>
  </si>
  <si>
    <t>Año vigente acumulado al mes a evaluar</t>
  </si>
  <si>
    <t>SIVIGILA
Evento: 465
Excepto: 6 o D o R
complic = 1</t>
  </si>
  <si>
    <t>SIVIGILA
Evento: 465
Excepto: 6 o D o R</t>
  </si>
  <si>
    <t>Estima la proporción de malaria complicada, determina el riesgo de complicación por malaria, indicador definido en el protocolo del INS</t>
  </si>
  <si>
    <t>Corresponde a proporción de malaria complicada reportada por el INS corte periodo epidemiológico IX de 2024 = 1.7%</t>
  </si>
  <si>
    <t>Tomar el archivo dispuesto en OneDrive del evento, carpeta cohortes/ Indicador medido. 
- casos del denominador que: 
- “COMPLICACI” = 1</t>
  </si>
  <si>
    <t>Tomar el archivo dispuesto en OneDrive del evento, carpeta cohortes/ Indicador medido:
Denominador 
- “ESTADO” = “AC”
- “AJUSTE” = Seleccionar todas excepto “6”, “D” y “R”
- “FECHA_NOTIFICACION” = Seleccionar año vigente</t>
  </si>
  <si>
    <t>1.57%</t>
  </si>
  <si>
    <t>05/12/2025 Ajuste para que el dato de la variable "Indicador Actividad" en la visual de tableros se muestre como "No aplica.  //9/12/2024: Indicador nuevo protocolo INS.</t>
  </si>
  <si>
    <t>RPYMS564X</t>
  </si>
  <si>
    <t>Proporción de usuarios que reciben de manera oportuna el tratamiento de malaria</t>
  </si>
  <si>
    <t>Porcentaje de usuarios con diagnóstico de malaria que  a quienes se les entrega de manera oportuna el tratamiento para malaria (igual o menor a 24 horas después del diagnóstico)</t>
  </si>
  <si>
    <t>Oportunidad tratamiento en malaria</t>
  </si>
  <si>
    <t>Número de personas afiliadas que han sido notificadas en sivigila:
Fecha Consulta "fec_Not_": Últimos 12 meses
Evento: 465
f_ini_trat - fec_result = 0 o 1  (pasó hasta un  día desde obtener resultado de prueba para iniciar tratamiento)
"Ajuste_" Excepto: 6 o D o R</t>
  </si>
  <si>
    <t>Número de personas afiliadas que han sido notificadas en sivigila:
Fecha Consulta "fec_Not_": Últimos 12 meses
Evento: 465
"Ajuste_" Excepto: 6 o D o R</t>
  </si>
  <si>
    <t>SIVIGILA
Evento: 465
f_ini_trat - fec_result = 0 o 1 
"Ajuste_" Excepto: 6 o D o R</t>
  </si>
  <si>
    <t xml:space="preserve">SIVIGILA
Evento: 465
Excepto: 6 o D o R
</t>
  </si>
  <si>
    <t>Pendiente inclusión  de variable para validación</t>
  </si>
  <si>
    <t>Tomar el archivo dispuesto en OneDrive del evento, carpeta cohortes/ Indicador medido: 
- “ESTADO” = “AC”
- “AJUSTE” = Seleccionar todas excepto “6”, “D” y “R”
- “FECHA_NOTIFICACION” = Seleccionar doce meses atrás incluyendo mes a evaluar</t>
  </si>
  <si>
    <t>12/12/2025 Sin modificación.  9/12/2024: Indicador nuevo protocolo INS; Elvia Milena</t>
  </si>
  <si>
    <t>RPYMS565X</t>
  </si>
  <si>
    <t>Casos de dengue complicados</t>
  </si>
  <si>
    <t>Casos de dengue sin signos de alarma y con signos de alarma que evolucionaron a dengue grave en un periodo no mayor a 15 días</t>
  </si>
  <si>
    <r>
      <t>Número de personas afiliadas del denominador que han sido notificadas en SIVIGILA 
Evento:</t>
    </r>
    <r>
      <rPr>
        <strike/>
        <sz val="10"/>
        <color theme="1"/>
        <rFont val="Calibri Light"/>
        <family val="2"/>
        <scheme val="major"/>
      </rPr>
      <t xml:space="preserve"> </t>
    </r>
    <r>
      <rPr>
        <sz val="10"/>
        <color theme="1"/>
        <rFont val="Calibri Light"/>
        <family val="2"/>
        <scheme val="major"/>
      </rPr>
      <t xml:space="preserve">210 y 220 y  "Ajuste_" Excepto: 6 o D o R en un periodo menor o igual a 15 días 
"fec_Not_" año vigente (notificación para ambos eventos menor o igual a 15 días)
</t>
    </r>
  </si>
  <si>
    <t>Número de personas afiliadas que han sido notificadas en sivigila:
Fecha Consulta "fec_Not_":  año vigente
Evento: 210 
ClasFinal = 1 o 2
"Ajuste_" Excepto: 6 o D o R</t>
  </si>
  <si>
    <t>SIVIGILA
Evento: 210 y 220 
"fec_Not_" menor o igual a 15 días entre ambos eventos
"Ajuste_" Excepto: 6 o D o R</t>
  </si>
  <si>
    <t xml:space="preserve">SIVIGILA
Evento: 210
</t>
  </si>
  <si>
    <t>Tomar el archivo dispuesto en OneDrive del evento, carpeta cohortes/ Indicador medido:
- Tomar los casos que
- “CODIGO_EVENTO” = 220 y “AJUSTE” = Seleccionar todas excepto “6”, “D” y “R”
- “ESTADO” = “AC” |
Realizar cruce de casos del  denominador que fueron notificados por evento 220, cuya diferencia entre FECHA_NOTIFICACION es igual o menor a 15 días</t>
  </si>
  <si>
    <t>Tomar el archivo dispuesto en OneDrive del evento, carpeta cohortes/ Indicador medido:
- “ESTADO” = “AC”
- “CODIGO_EVENTO” = 210
- “CLASFINAL” = 1 o 2
- “AJUSTE” = Seleccionar todas excepto “6”, “D” y “R”
- “FECHA_NOTIFICACION” = Seleccionar 12 meses atrás, incluyendo el mes más reciente del periodo a evaluar</t>
  </si>
  <si>
    <t>12/12/2025 Sin modificación  30/04/2025 Se ajusta definición del numerador.  9/12/2024: Indicador nuevo protocolo INS; Elvia Milena</t>
  </si>
  <si>
    <t>RPYMS566X</t>
  </si>
  <si>
    <t>IPA Índice Parasitario Anual Malaria</t>
  </si>
  <si>
    <t>El Índice Parasitario Anual de Malaria (IPA) expresa la relación de los casos de malaria y la población que vive en zonas de riesgo. Da cuenta de la probabilidad de contraer la enfermedad entre la población en riesgo.</t>
  </si>
  <si>
    <t>IPA Malaria</t>
  </si>
  <si>
    <t>Número de personas afiliadas que han sido notificadas en SIVIGILA:
Evento: 465
Fecha Consulta "fec_Not_": año vigente
"Ajuste_" Excepto: 6 o D o R</t>
  </si>
  <si>
    <t>Total personas afiladas a Nueva EPS</t>
  </si>
  <si>
    <t>Total personas afiliadas</t>
  </si>
  <si>
    <t>Tomar el archivo dispuesto en OneDrive del evento, carpeta cohortes/ Indicador medido: 
- “ESTADO” = “AC”
- “AJUSTE” = Seleccionar todas excepto “6”, “D” y “R”
- “FECHA_NOTIFICACION” = año vigente
(num/den x 1.000)</t>
  </si>
  <si>
    <t>Población actual 
Archivos informes malaria</t>
  </si>
  <si>
    <t>3.58 x 1000</t>
  </si>
  <si>
    <t>1.27</t>
  </si>
  <si>
    <t>05/12/2025 Se modifica meta del indicador Ajuste para que el dato de la variable "Indicador Actividad" en la visual de tableros se muestre como "No aplica.  //9/12/2024: Indicador nuevo protocolo INS.</t>
  </si>
  <si>
    <t>RPYMS567X</t>
  </si>
  <si>
    <t>Incidencia Chikungunya</t>
  </si>
  <si>
    <t>Número de casos nuevos confirmados y probables de Chikungunya que se presenta, por cada 100.000 personas afiliadas</t>
  </si>
  <si>
    <t>Número de personas afiliadas que han sido notificadas en SIVIGILA:
Evento: 217
"fec_not" año vigente 
"Ajuste_" Excepto: 6 o D o R</t>
  </si>
  <si>
    <t>SIVIGILA Datos básicos cod_eve: 217</t>
  </si>
  <si>
    <t>Total población con diagnóstico</t>
  </si>
  <si>
    <t>Tomar el archivo datos básicos cargado previo a la fecha de cierre de cargue para el perioro evaluado y filtrar
 - “ESTADO” = “Activo”
- "COD_EVE" = 217
- “AJUSTE” = Seleccionar todas excepto “6”, “D” y “R”
- “FECHA_NOTIFICACION” = año vigente
(num/den x 100.000)</t>
  </si>
  <si>
    <t>0.15 x 100.000</t>
  </si>
  <si>
    <t>RPYMS568X</t>
  </si>
  <si>
    <t>Incidencia Evento Sin Establecer</t>
  </si>
  <si>
    <t>Número de casos nuevos confirmados y probables de Evento Sin Establecer que se presenta, por cada 100.000 personas afiliadas</t>
  </si>
  <si>
    <t>Número de personas afiliadas que han sido notificadas en SIVIGILA:
Evento: 900
"fec_not" año vigente 
"Ajuste_" Excepto: 6 o D o R</t>
  </si>
  <si>
    <t>SIVIGILA Datos básicos cod_eve: 900</t>
  </si>
  <si>
    <t>Tomar el archivo datos básicos cargado previo a la fecha de cierre de cargue para el perioro evaluado y filtrar
 - “ESTADO” = “Activo”
- "COD_EVE" = 900
- “AJUSTE” = Seleccionar todas excepto “6”, “D” y “R”
- “FECHA_NOTIFICACION” = año vigente
(num/den x 100.000)</t>
  </si>
  <si>
    <t>05/12/2025 Se modifica meta del indicador Ajuste para que el dato de la variable "Indicador Actividad" en la visual de tableros se muestre como "No aplica", de igual forma se ajusta para que visualmente no se muestre el resultado en expresión de porcentaje (%), se debe mostrar el dato en numero. //9/12/2024: Indicador nuevo protocolo INS.</t>
  </si>
  <si>
    <t>RPYMS569X</t>
  </si>
  <si>
    <t>Incidencia Parotiditis</t>
  </si>
  <si>
    <t>Número de casos nuevos confirmados y probables de Parotiditis que se presenta, por cada 100.000 personas afiliadas</t>
  </si>
  <si>
    <t>Número de personas afiliadas que han sido notificadas en SIVIGILA:
Evento: 620
"fec_not" año vigente 
"Ajuste_" Excepto: 6 o D o R</t>
  </si>
  <si>
    <t>SIVIGILA Datos básicos cod_eve: 620</t>
  </si>
  <si>
    <t>7.65 X 100.000</t>
  </si>
  <si>
    <t>6.44</t>
  </si>
  <si>
    <t>RPYMS570X</t>
  </si>
  <si>
    <t>Incidencia  Zika</t>
  </si>
  <si>
    <t>Número de casos nuevos confirmados y probables de Zika que se presenta, por cada 100.000 personas afiliadas</t>
  </si>
  <si>
    <t>Número de personas afiliadas que han sido notificadas en SIVIGILA:
Evento: 895
"fec_not" año vigente 
"Ajuste_" Excepto: 6 o D o R</t>
  </si>
  <si>
    <t>SIVIGILA Datos básicos cod_eve: 895</t>
  </si>
  <si>
    <t>Tomar el archivo datos básicos cargado previo a la fecha de cierre de cargue para el perioro evaluado y filtrar
 - “ESTADO” = “Activo”
- "COD_EVE" = 895
- “AJUSTE” = Seleccionar todas excepto “6”, “D” y “R”
- “FECHA_NOTIFICACION” = año vigente
(num/den x 100.000)</t>
  </si>
  <si>
    <t xml:space="preserve">0.20 X 100.000 </t>
  </si>
  <si>
    <t>0.01</t>
  </si>
  <si>
    <t>RPYMS453X</t>
  </si>
  <si>
    <t>Cumplimiento en el ajuste de casos en Sivigila</t>
  </si>
  <si>
    <t>Mide el % de casos notificados al Sivigila con clasificación inicial de probables o sospechosos, a los cuales se debe definir su clasificación final de caso,  puede ser confirmación, descarte por laboratorio o unidad de análisis, descarte por error de digitación</t>
  </si>
  <si>
    <t>ajustes sivigila</t>
  </si>
  <si>
    <t>Ajustes en Sivigila</t>
  </si>
  <si>
    <t>Número de casos del denominador que en la semana epidemiológica más cercana al momento de la evaluación su 
"ajuste_" = 3, 4, 5, 6, R ó D</t>
  </si>
  <si>
    <t xml:space="preserve">Denominador: Número de casos notificados en Sivigila - Datos basicos todos los eventos, exepto evento "cod_eve" = 875
"tip_cas_": 1 ó 2
(tener cuenta cada uno de los eventos que una persona pueda tener dentro del sistema)
"fec_Not_": Últimos 12 meses sin tomar el último mes
</t>
  </si>
  <si>
    <t>Sivigila datos básicos</t>
  </si>
  <si>
    <t>12 meses atrás sin considerar el último mes</t>
  </si>
  <si>
    <t>Usuarios notificados SIVIGILA EISP</t>
  </si>
  <si>
    <t>Evento 875</t>
  </si>
  <si>
    <t>Se tiene en cuenta el ajuste final a los casos independientemente del momento en el cual se realicen. Aplica para los casos notificados cuya clasificación inicial sea sospechoso o probable No aplica su construcción para violencia de género. El ajuste 7 no se considera un cambio en la clasificación inicial de caso, por lo tanto, solo se tienen en cuenta los ajustes 3,4,5,6 y D.</t>
  </si>
  <si>
    <t>Seguir el cumplimiento de las funciones establecidos en el Decreto 3518 de 2006 en sus 
artículos 9 y 10. Reducir a cero el número de casos probables o sospechosos de los 
diferentes eventos y establecer datos reales sobre la incidencia y prevalencia de los mismos 
en los territorios nacionales. Identificar sitios con alto número de casos sin ajustar y 
establecer medidas de mejoramiento</t>
  </si>
  <si>
    <t>Casos del denominador que en "AJUSTE" = 3, 4, 5, 6, R ó D</t>
  </si>
  <si>
    <t>Tomar el archivo datos básicos cargado previo a la fecha de cierre de cargue para el periodo evaluado y filtrar
 - “ESTADO” = “Activo”
- "COD_EVE" = todas excepto "875"
- “TIP_CAS" = "1" y "2"
- “FECHA_NOTIFICACION” = últimos 12 meses sin tomar el último mes</t>
  </si>
  <si>
    <t>80.41%</t>
  </si>
  <si>
    <t>12/12/2025 Sin modificación  7/02/2025  Se ajusta en definicion de variables numerado la opción "R" y en exclusiones el denominador. 9/12/2024: Indicador nuevo protocolo INS; Elvia Milena</t>
  </si>
  <si>
    <t>RPYMS571X</t>
  </si>
  <si>
    <t>Porcentaje de casos con muestra de heces recolectada en los primeros
14 días de inicio la parálisis</t>
  </si>
  <si>
    <t>Tiempo transcurrido entre el inicio de la parálisis y la recolección de una muestra de heces por el personal de la UPGD que capta el caso, se considera oportuno, cuando está dentro de los primeros 14 días.</t>
  </si>
  <si>
    <t>Diagnóstico oportuno PFA</t>
  </si>
  <si>
    <t>Número de personas afiliadas que han sido notificadas en SIVIGILA:
Fecha notificacion "fec_Not_" Últimos 12 mesessin tomar el último mes
Evento: 610
Fecha inicio de paralisis "ini_par": más "antigua"
"fmat_fec", tiene una diferencia en días entre 0 a 14  días a partir de "ini_par"</t>
  </si>
  <si>
    <t xml:space="preserve">Número de personas afiliadas que han sido notificadas en SIVIGILA:
Evento: 610 
"fec_Not_": Últimos 12 meses sin tomar el último mes
Excluir "ajuste_" = D
Tomar fecha más antigua de notificación
</t>
  </si>
  <si>
    <t>12 meses atrás incluyendo el mes a evaluar y no se toman el último mes</t>
  </si>
  <si>
    <t>ajuste_ = D</t>
  </si>
  <si>
    <t>Identifica la eficiencia del sistema para iniciar oportunamente el estudio por laboratorio de un caso probable de PFA</t>
  </si>
  <si>
    <t>Tomar el archivo dispuesto en OneDrive del evento, carpeta cohortes:
- “ESTADO” = “AC”
- “AJUSTE” = Seleccionar todas excepto “D”
- “FECHA_NOTIFICACION” = Seleccionar los últimos 12 meses sin tomar los últimos dos.
- Tomar como caso único la línea de caso con la fecha de notificación más antigua</t>
  </si>
  <si>
    <t>RPYMS572X</t>
  </si>
  <si>
    <t xml:space="preserve">Proporción de casos notificados por Parálisis Flácida Aguda (PFA) con valoración neurológica de 30 días </t>
  </si>
  <si>
    <t>Proporción de casos  de PFA notificados al SIVIGILA que registran  valoración neurológica a los 30 días.</t>
  </si>
  <si>
    <t>Número de personas afiliadas que han sido notificadas en SIVIGILA:
Fecha notificacion "fec_Not_" Últimos 12 meses sin tomar los últimos 2 meses
Evento: 610
"Fecha Efectiva de valoración neurológica 30 días" (cohorte PFA): Fecha entre 23 y 37 dias en relación a la fecha de Fecha inicio de paralisis "ini_par": más "antigua"</t>
  </si>
  <si>
    <t xml:space="preserve">Cohorte de PFA Sigires - Procex
</t>
  </si>
  <si>
    <t>"ajuste_" = D</t>
  </si>
  <si>
    <t>Identifica el seguimiento a los casos de PFA, en relación con la valoración neurológica en los tiempos establecidos de acuerdo con protocolo</t>
  </si>
  <si>
    <t>RPYMS573X</t>
  </si>
  <si>
    <t xml:space="preserve">Proporción de casos notificados por Parálisis Flácida Aguda (PFA) con valoración neurológica de 90 días </t>
  </si>
  <si>
    <t>Proporción de casos  de PFA notificados al SIVIGILA que registran  valoración neurológica a los 90 días.</t>
  </si>
  <si>
    <t>Número de personas afiliadas que han sido notificadas en SIVIGILA:
Fecha notificacion "fec_Not_" Últimos 12 meses sin tomar los últimos 2 meses
Evento: 610
"Fecha Efectiva de valoración neurológica 90 días" (cohorte PFA): Fecha entre 83 y 97 dias en relación a la fecha de Fecha inicio de paralisis "ini_par": más "antigua"</t>
  </si>
  <si>
    <t xml:space="preserve">Número de personas afiliadas que han sido notificadas en SIVIGILA:
Evento: 610 
"fec_Not_": Últimos 12 meses sin tomar los últimos 2 meses
Excluir "ajuste_" = D
Tomar fecha más antigua de notificación
</t>
  </si>
  <si>
    <t>RPYMS574X</t>
  </si>
  <si>
    <t>Incidencia Leishmaniasis Cutánea</t>
  </si>
  <si>
    <t>Número de casos nuevos confirmados de leishmaniasis cutánea que se presenta, por cada 100.000 personas afiliadas</t>
  </si>
  <si>
    <t>Número de personas afiliadas que han sido notificadas en SIVIGILA:
Evento: 420
"fec_not" año vigente 
"Ajuste_" Excepto: 6 o D o R</t>
  </si>
  <si>
    <t xml:space="preserve">SIVIGILA evento 420
</t>
  </si>
  <si>
    <t>Tomar el archivo datos básicos cargado previo a la fecha de cierre de cargue para el perioro evaluado y filtrar
 - “ESTADO” = “Activo”
- "COD_EVE" = 420
- “AJUSTE” = Seleccionar todas excepto “6”, “D” y “R”
- “FECHA_NOTIFICACION” = año vigente
(num/den x 100.000)</t>
  </si>
  <si>
    <t>38.57 x 100.000</t>
  </si>
  <si>
    <t>12.13</t>
  </si>
  <si>
    <t>RPYMS575X</t>
  </si>
  <si>
    <t>Incidencia Leishmaniasis Mucosa</t>
  </si>
  <si>
    <t>Número de casos nuevos confirmados de leishmaniasis mucosa que se presenta, por cada 100.000 personas afiliadas</t>
  </si>
  <si>
    <t>Número de personas afiliadas que han sido notificadas en SIVIGILA:
Evento: 430
"fec_not" año vigente 
"Ajuste_" Excepto: 6 o D o R</t>
  </si>
  <si>
    <t xml:space="preserve">SIVIGILA evento 430
</t>
  </si>
  <si>
    <t>Tomar el archivo datos básicos cargado previo a la fecha de cierre de cargue para el perioro evaluado y filtrar
 - “ESTADO” = “Activo”
- "COD_EVE" = 430
- “AJUSTE” = Seleccionar todas excepto “6”, “D” y “R”
- “FECHA_NOTIFICACION” = año vigente
(num/den x 100.000)</t>
  </si>
  <si>
    <t>0.67 x 100.000</t>
  </si>
  <si>
    <t>0.1</t>
  </si>
  <si>
    <t>RPYMS576X</t>
  </si>
  <si>
    <t>Incidencia Leishmaniasis visceral</t>
  </si>
  <si>
    <t>Número de casos nuevos confirmados de leishmaniasis visceral que se presenta, por cada 100.000 personas afiliadas</t>
  </si>
  <si>
    <t>Número de personas afiliadas que han sido notificadas en SIVIGILA:
Evento: 440
"fec_not" año vigente 
"Ajuste_" Excepto: 6 o D o R</t>
  </si>
  <si>
    <t xml:space="preserve">SIVIGILA evento 440
</t>
  </si>
  <si>
    <t>Tomar el archivo datos básicos cargado previo a la fecha de cierre de cargue para el perioro evaluado y filtrar
 - “ESTADO” = “Activo”
- "COD_EVE" = 440
- “AJUSTE” = Seleccionar todas excepto “6”, “D” y “R”
- “FECHA_NOTIFICACION” = año vigente
(num/den x 100.000)</t>
  </si>
  <si>
    <t>05/12/2025 Se modifica meta del indicadorAprobado el cambio, con ajuste para que el dato del campo "Indicador Actividad" el dato a mostrar sea "No aplica" // 05/12/2025 Se aprueba mostrar el resultado de indicador en número, retirar (%)</t>
  </si>
  <si>
    <t>RPYMS577X</t>
  </si>
  <si>
    <t>Incidencia Leishmaniasis general</t>
  </si>
  <si>
    <t>Número de casos nuevos confirmados y probables de leishmaniasis general, mucosa y/o visceral que se presenta, por cada 100.000 personas afiliadas</t>
  </si>
  <si>
    <t>Número de personas afiliadas que han sido notificadas en SIVIGILA:
Evento: 420, 430 y 440
"fec_not" año vigente 
"Ajuste_" Excepto: 6 o D o R</t>
  </si>
  <si>
    <t xml:space="preserve">SIVIGILA evento 420, 430 y 440
</t>
  </si>
  <si>
    <t>Tomar el archivo datos básicos cargado previo a la fecha de cierre de cargue para el perioro evaluado y filtrar
 - “ESTADO” = “Activo”
- "COD_EVE" = 420, 430 y 440
- “AJUSTE” = Seleccionar todas excepto “6”, “D” y “R”
- “FECHA_NOTIFICACION” = año vigente
(num/den x 100.000)</t>
  </si>
  <si>
    <t>RPYMS578X</t>
  </si>
  <si>
    <t>Incidencia Malaria</t>
  </si>
  <si>
    <t>Número de casos nuevos confirmados y probables de Malaria que se presenta, por cada 100.000 personas afiliadas</t>
  </si>
  <si>
    <t>Número de personas afiliadas que han sido notificadas en SIVIGILA:
Evento: 465
"fec_not" año vigente 
"Ajuste_" Excepto: 6 o D o R</t>
  </si>
  <si>
    <t xml:space="preserve">SIVIGILA evento 465
</t>
  </si>
  <si>
    <t>Se toma de acuerdo con información del INS 2021</t>
  </si>
  <si>
    <t>Tomar el archivo datos básicos cargado previo a la fecha de cierre de cargue para el perioro evaluado y filtrar
 - “ESTADO” = “Activo”
- "COD_EVE" =465
- “AJUSTE” = Seleccionar todas excepto “6”, “D” y “R”
- “FECHA_NOTIFICACION” = año vigente
(num/den x 100.000)</t>
  </si>
  <si>
    <t>6.25 X 100.000</t>
  </si>
  <si>
    <t>127.85</t>
  </si>
  <si>
    <t>RPYMS579X</t>
  </si>
  <si>
    <t>Tasa de mortalidad por malaria</t>
  </si>
  <si>
    <t>Tasa de mortalidad por Malaria</t>
  </si>
  <si>
    <t>Mortalidad</t>
  </si>
  <si>
    <t>Número de personas afiliadas que han sido notificadas en sivigila:
Fecha Consulta "fec_Not_": año vigente
Evento: 465
con_fin_: 2
"Ajuste_" Excepto: 6 o D o R</t>
  </si>
  <si>
    <t>SIVIGILA
Evento: 465
con_fin_: 2
"Ajuste_" Excepto: 6 o D o R</t>
  </si>
  <si>
    <t>SIVIGILA
Evento: 465
Excepto: 6 o D o R
con_fin_: 2</t>
  </si>
  <si>
    <t>Tomar el archivo datos básicos cargado previo a la fecha de cierre de cargue para el perioro evaluado y filtrar
 - “ESTADO” = “Activo”
- "COD_EVE" =465
- "CON_FIN" =2
- “AJUSTE” = Seleccionar todas excepto “6”, “D” y “R”
- “FECHA_NOTIFICACION” = año vigente
(num/den x 100.000)</t>
  </si>
  <si>
    <t>0.01 X 100.000</t>
  </si>
  <si>
    <t>RPYMS580X</t>
  </si>
  <si>
    <t>Proporción de usuarios que inician de manera manera oportuna el tratamiento de malaria</t>
  </si>
  <si>
    <t>Porcentaje de casos de malaria con diagnóstico oportuna (menos de dos días después del inicio de síntomas)</t>
  </si>
  <si>
    <t>Diagnóstico Malaria</t>
  </si>
  <si>
    <t>Número de personas afiliadas que han sido notificadas en sivigila:
Fecha Consulta "fec_Not_": año vigente
Evento: 465
casos que tienen entre 0 y 2 días de diferencia entre el inicio de síntomas: "ini_sin_" y  la fecha de resultado de la muestra: "fec_result"
"Ajuste_" Excepto: 6 o D o R</t>
  </si>
  <si>
    <t>RPYMS581X</t>
  </si>
  <si>
    <t>Letalidad por Malaria</t>
  </si>
  <si>
    <t>Proporción de usuarios con Malaria  que fallecen</t>
  </si>
  <si>
    <t>/ es acumulativo a lo largo del año, tanto en numerador como denominador</t>
  </si>
  <si>
    <t>Casos del denominador que en "CON_FIN" = 2</t>
  </si>
  <si>
    <t>Tomar el archivo datos básicos cargado previo a la fecha de cierre de cargue para el perioro evaluado y filtrar
 - “ESTADO” = “Activo”
- "COD_EVE" = 465
- “AJUSTE” = Seleccionar todas excepto “6”, “D” y “R”
- “FECHA_NOTIFICACION” = año vigente
(num/den x 100.000)</t>
  </si>
  <si>
    <t>&lt;=0,2%</t>
  </si>
  <si>
    <t>&gt;0,2%</t>
  </si>
  <si>
    <t>05/12/2025 Se modifica meta del indicador Se ajuste la estimación con dato INS 2024.  //9/12/2024: Indicador nuevo, Incluido en el protocolo del INS del evento</t>
  </si>
  <si>
    <t>RPYMS582X</t>
  </si>
  <si>
    <t>Incidencia de Dengue</t>
  </si>
  <si>
    <t>Número de casos nuevos confirmados y probables de dengue y dengue grave que se presentan por cada 100.000 personas afiliadas</t>
  </si>
  <si>
    <t>Número de personas afiliadas que han sido notificadas en SIVIGILA:
Evento: 210 y 220
"fec_not" año vigente 
"Ajuste_" Excepto: 6 o D o R</t>
  </si>
  <si>
    <t>Tomar el archivo datos básicos cargado previo a la fecha de cierre de cargue para el perioro evaluado y filtrar
 - “ESTADO” = “Activo”
- "COD_EVE" =210 y 220
- “AJUSTE” = Seleccionar todas excepto “6”, “D” y “R”
- “FECHA_NOTIFICACION” = año vigente
(num/den x 100.000)</t>
  </si>
  <si>
    <t>730.2 X 100.000</t>
  </si>
  <si>
    <t>226.91</t>
  </si>
  <si>
    <t>05/12/2025 Se modifica meta del indicador Se ajusta fuente del numerador. //9/12/2024: Indicador nuevo protocolo INS</t>
  </si>
  <si>
    <t>RPYMS533X</t>
  </si>
  <si>
    <t>Mortalidad por Dengue</t>
  </si>
  <si>
    <t>Tasa de mortalidad por Dengue</t>
  </si>
  <si>
    <t>Mortalidad Dengue</t>
  </si>
  <si>
    <t>Número de personas afiliadas que han sido notificadas en sivigila:
Fecha Consulta "fec_Def_": Año Vigente
Evento: 580
"Ajuste_" Excepto: 6 o D o R</t>
  </si>
  <si>
    <t>Usuarios notificados SIVIGILA evento 580- que no se han descartado</t>
  </si>
  <si>
    <t xml:space="preserve">Tomar el archivo datos básicos cargado previo a la fecha de cierre de cargue para el perioro evaluado y filtrar
 - “ESTADO” = “Activo”
- "COD_EVE" =580
- “AJUSTE” = Seleccionar todas excepto “6”, “D” y “R”
- “FECHA_NOTIFICACION” = año vigente
</t>
  </si>
  <si>
    <t>0.55 X 100.000</t>
  </si>
  <si>
    <t>RPYMS583X</t>
  </si>
  <si>
    <t>Proporción de casos de Chagas agudo notificados con pruebas parasitológicas</t>
  </si>
  <si>
    <t>Proporción de casos a los cuales se les realizan pruebas diagnósticas (métodos
parasitológicos directos) como herramienta para definir la clasificación de un caso probable de Chagas agudo.</t>
  </si>
  <si>
    <t>Diagnóstico Chagas agudo</t>
  </si>
  <si>
    <t xml:space="preserve">Número de personas afiliadas que han sido notificadas en SIVIGILA:
Evento: 205
"fec_not" año vigente 
"clas_caso": 1
"Ajuste_" Excepto: D o R
"micrometod"= 1 o 2; ó "gota_grue" = 1 o 2 ó "micro_hem"= 1 o 2; ó  "strout"= 1 o 2 
</t>
  </si>
  <si>
    <t>Número de personas afiliadas que han sido notificadas en SIVIGILA:
Evento: 205
"fec_not" año vigente 
"clas_caso": 1
"Ajuste_" Excepto: D o R</t>
  </si>
  <si>
    <t>SIVIGILA
Evento: 205
"Ajuste_" Excepto: D o R</t>
  </si>
  <si>
    <t>Usuarios notificados SIVIGILA evento 205- con alguna prueba parasitológica registrada en sivigila</t>
  </si>
  <si>
    <t>Usuarios notificados SIVIGILA evento 205</t>
  </si>
  <si>
    <t>Archivos informes chagas</t>
  </si>
  <si>
    <t>RPYMS584X</t>
  </si>
  <si>
    <t>Incidencia de Chagas agudo</t>
  </si>
  <si>
    <t>Número de casos nuevos confirmados y probables de chagas agudo que se presenta, por cada 100.000 personas afiliadas</t>
  </si>
  <si>
    <t>Número de personas afiliadas que han sido notificadas en SIVIGILA:
Evento: 205
"fec_not" año vigente 
"clas_caso": 1
"Ajuste_" Excepto: 6 o D o R</t>
  </si>
  <si>
    <t xml:space="preserve">SIVIGILA evento 205
</t>
  </si>
  <si>
    <t>0.12 X 100.000</t>
  </si>
  <si>
    <t>RPYMS585X</t>
  </si>
  <si>
    <t>Proporción de casos de Chagas agudo notificados confirmados con el nuevo algoritmo</t>
  </si>
  <si>
    <t>Proporción de casos de chagas agudo notificados que fueron confirmados mediante dos pruebas de Elisa, tal como lo recomienda el algoritmo diagnóstico (Elisa de antígenos totales como primera prueba y como prueba complementaria una Elisa de antígenos recombinantes), sobre el total de casos confirmados al periodo analizado.</t>
  </si>
  <si>
    <t>Número de personas afiliadas que han sido notificadas en SIVIGILA:
Evento: 205
"fec_not" año vigente 
"clas_caso": 1
"tip_cas_"= 3 o 4 o 5
o 
Sí "tip_cas_"=  1 o 2, validar que "Ajuste_" = 3 o 4 o 5 e incluirlos
elisa_noco = 1 Y  elisa = 1</t>
  </si>
  <si>
    <t>Número de personas afiliadas que han sido notificadas en SIVIGILA:
Evento: 205
"fec_not" año vigente 
"clas_caso": 1
"tip_cas_"= 3 o 4 o 5
o 
Sí "tip_cas_"=  1 o 2, validar que "Ajuste_" = 3 o 4 o 5 e incluirlos</t>
  </si>
  <si>
    <t xml:space="preserve">SIVIGILA
Evento: 205
</t>
  </si>
  <si>
    <t>Total población con diagnóstico confirmado por ELISA</t>
  </si>
  <si>
    <t>Total población con diagnóstico confirmado</t>
  </si>
  <si>
    <t xml:space="preserve">"Ajuste_" Excepto: Descartados:6 o D o R
y casos sospechosos: "tip_cas_"= 1 o 2 que en "ajuste_" son 0 o 7  </t>
  </si>
  <si>
    <t>RPYMS586X</t>
  </si>
  <si>
    <t>Incidencia de Chagas crónico</t>
  </si>
  <si>
    <t>Número de casos nuevos confirmados y probables de chagas crónico que se presenta, por cada 100.000 personas afiliadas</t>
  </si>
  <si>
    <t>Número de personas afiliadas que han sido notificadas en SIVIGILA:
Evento: 205
"fec_not" año vigente 
"clas_caso": 2
"Ajuste_" Excepto: 6 o D o R</t>
  </si>
  <si>
    <t xml:space="preserve">Total personas afiladas a Nueva EPS
</t>
  </si>
  <si>
    <t>SIVIGILA
Evento: 205
"Ajuste_" Excepto:6 o D o R</t>
  </si>
  <si>
    <t>Total población con diagnóstico confirmado o probable</t>
  </si>
  <si>
    <t>05/12/2025 Aprobado el cambio, con ajuste para que el dato del campo "Indicador Actividad" el dato a mostrar sea "No aplica" // 05/12/2025 Se aprueba mostrar el resultado de indicador en número, retirar (%).  //9/12/2024: Indicador nuevo protocolo INS</t>
  </si>
  <si>
    <t>RPYMS587X</t>
  </si>
  <si>
    <t>Proporción de casos de Chagas crónico notificados confirmados con el nuevo algoritmo</t>
  </si>
  <si>
    <t>Proporción de casos de chagas crónico notificados que fueron confirmados mediante dos pruebas de Elisa, tal como lo recomienda el algoritmo diagnóstico (Elisa de antígenos totales como primera prueba y como prueba complementaria una Elisa de antígenos recombinantes), sobre el total de casos confirmados al periodo analizado.</t>
  </si>
  <si>
    <t>Diagnóstico Chagas crónico</t>
  </si>
  <si>
    <t>Número de personas afiliadas que han sido notificadas en SIVIGILA:
Evento: 205
"fec_not" año vigente 
"clas_caso": 2
"tip_cas_"= 3 o 4 o 5
o 
Sí "tip_cas_"=  1 o 2, validar que "Ajuste_" = 3 o 4 o 5 e incluirlos
elisa_noco = 1 Y  elisa = 1</t>
  </si>
  <si>
    <t>Número de personas afiliadas que han sido notificadas en SIVIGILA:
Evento: 205
"fec_not" año vigente 
"clas_caso": 2
"tip_cas_"= 3 o 4 o 5
o 
Sí "tip_cas_"=  1 o 2, validar que "Ajuste_" = 3 o 4 o 5 e incluirlos</t>
  </si>
  <si>
    <t>RPYMS534X</t>
  </si>
  <si>
    <t>Letalidad por Chagas Agudo</t>
  </si>
  <si>
    <t>Proporción de usuarios con Chagas Agudo que fallecen</t>
  </si>
  <si>
    <t>Letalidad por Chagas</t>
  </si>
  <si>
    <t>Número de personas afiliadas que han sido notificadas en SIVIGILA:
Evento: 205
"fec_not" año vigente 
con_fin=2
"clas_caso": 1
"tip_cas"= 3, 4 ,5 
Ajuste: 3, 4, 5
"Ajuste_" Excepto: 6 o D o R, o ( tip_cas 1 o 2 y ajuste_ 0 o 7)</t>
  </si>
  <si>
    <t>Número de personas afiliadas que han sido notificadas en SIVIGILA:
Evento: 205
"fec_not" año vigente 
"clas_caso": 1
"tip_cas"= 3, 4 ,5 
Ajuste: 3, 4, 5
"Ajuste_" Excepto: 6 o D o R, o ( tip_cas 1 o 2 y ajuste_ 0 o 7)</t>
  </si>
  <si>
    <t>SIVIGILA
Evento: 205
"Ajuste_" Excepto:6 o D o R o 0 o 7</t>
  </si>
  <si>
    <t>Usuarios notificados SIVIGILA evento 205 "clas_caso": 1
"con_fin_": 2
Casos chagas agudo confirmados fallecidos</t>
  </si>
  <si>
    <t>Usuarios notificados SIVIGILA evento 205 "clas_caso": 1
Casos chagas agudo confirmados</t>
  </si>
  <si>
    <t>"Ajuste_" Excepto: 6 o D o R o 0 o 7</t>
  </si>
  <si>
    <t>05/12/2025 Aprobado el cambio, con ajuste para que el dato del campo "Indicador Actividad" el dato a mostrar sea "No aplica" // 05/12/2025 Se aprueba mostrar el resultado de indicador en número, retirar (%), fuente se cargará por adicionales. //9/12/2024: Indicador nuevo</t>
  </si>
  <si>
    <t>RPYMS622X</t>
  </si>
  <si>
    <t>Incidencia agresiones y contactos con animales potencialmente transmisores de rabia</t>
  </si>
  <si>
    <t>Número de casos nuevos de agresiones y contactos con animales potencialmente transmisores del virus de la rabia presentes en la población de Nueva EPS</t>
  </si>
  <si>
    <t>Zoonosis</t>
  </si>
  <si>
    <t>Impacto</t>
  </si>
  <si>
    <t>Número de personas afiliadas que han sido notificadas en SIVIGILA:
Evento: 300
"fec_not" año vigente 
"Ajuste_" Excepto: 6 o D o R</t>
  </si>
  <si>
    <t xml:space="preserve">SIVIGILA evento 300
</t>
  </si>
  <si>
    <t xml:space="preserve">SIVIGILA
Evento: 300
Excepto: 6 o D o R
</t>
  </si>
  <si>
    <t>De datos basicos SIVIGILA: filtrar el evento 300, año 2025 y excluir de la columna "Ajuste" el 6, D o R</t>
  </si>
  <si>
    <t>Extraer el dato de la cohorte: 03_Validacion_Poblacion_Marzo. Ver hoja "Población_activa"</t>
  </si>
  <si>
    <t>256.9 X 100.000</t>
  </si>
  <si>
    <t>302.59</t>
  </si>
  <si>
    <t>05/12/2025 Se modifica meta del indicador Ajuste para que el dato de la variable "Indicador Actividad" en la visual de tableros se muestre como "No aplica.  //9/12/2024: Indicador nuevo.</t>
  </si>
  <si>
    <t>RPYMS469X</t>
  </si>
  <si>
    <t xml:space="preserve">Proporción de personas con discapacidad </t>
  </si>
  <si>
    <t>Proporción de personas con discapacidad</t>
  </si>
  <si>
    <t>Discapacidad</t>
  </si>
  <si>
    <t xml:space="preserve">Usuarios con discapacidad afiliadas a Nueva EPS
</t>
  </si>
  <si>
    <t>Usuarios con discapacidad afiliados a NEPS</t>
  </si>
  <si>
    <t>Cohorte de discapacidad</t>
  </si>
  <si>
    <t xml:space="preserve"> Año vigente</t>
  </si>
  <si>
    <t>Total de usuarios con discapacidad</t>
  </si>
  <si>
    <t>Se requiere identificar cual es el territorio con mayor poblacion con discapacidad, https://colombia.unwomen.org/sites/default/files/2022-05/Discapacidad.pdf</t>
  </si>
  <si>
    <t>Extraer cohorte de PROCEX: Rutas-Eventos especificos-Discapacidad Nueva. Filtrar Variable "Estado": Activo</t>
  </si>
  <si>
    <t>Cohorte discapacidad</t>
  </si>
  <si>
    <t>05/12/2025 Ajuste para que el dato de la variable "Indicador Actividad" en la visual de tableros se muestre como "No aplica.  // 7/02/2025 Ajuste en periodo numerador y denominador. 9/12/2024: Indicador nuevo, informativo.</t>
  </si>
  <si>
    <t>RPYMS470X</t>
  </si>
  <si>
    <t>Proporción de personas con discapacidad física</t>
  </si>
  <si>
    <t xml:space="preserve">Usuarios con discapacidad física afiliadas a Nueva EPS
</t>
  </si>
  <si>
    <t>De la cohorte de discapacidad se debe extraer la información de la columna AP "Categoria de discapacidad" la variable número "1-Discapacidad física"</t>
  </si>
  <si>
    <t>Total de usuarios con discapacidad física</t>
  </si>
  <si>
    <t xml:space="preserve">Población con discapacidad actual al mes a evaluar, activos, nuevos </t>
  </si>
  <si>
    <t>De la cohorte "Discapacidad Nueva" filtrar variable "Categoria de discapacidad": "1-Discapacidad física"</t>
  </si>
  <si>
    <t>05/12/2025 Ajuste para que el dato de la variable "Indicador Actividad" en la visual de tableros se muestre como "No aplica.  // 7/02/2025 Ajuste en periodo numerador y denominador y en poblacion denominador se elimina suspendido. //  9/12/2024: Indicador nuevo, informativo.</t>
  </si>
  <si>
    <t>RPYMS471X</t>
  </si>
  <si>
    <t>Proporción de personas con discapacidad auditiva</t>
  </si>
  <si>
    <t xml:space="preserve">Usuarios con discapacidad auditiva afiliadas a Nueva EPS
</t>
  </si>
  <si>
    <t>De la cohorte de discapacidad se debe extraer la información de la columna AP "Categoria de discapacidad" la variable número "2-Discapacidad auditiva"</t>
  </si>
  <si>
    <t>Total de usuarios con discapacidad auditiva</t>
  </si>
  <si>
    <t>Población con discapacidad actual al mes a evaluar, activos, nuevos</t>
  </si>
  <si>
    <t>De la cohorte "Discapacidad Nueva" filtrar variable "Categoria de discapacidad": "2-Discapacidad auditiva"</t>
  </si>
  <si>
    <t>RPYMS472X</t>
  </si>
  <si>
    <t>Proporción de personas con discapacidad visual</t>
  </si>
  <si>
    <t xml:space="preserve">Usuarios con discapacidad visual afiliadas a Nueva EPS
</t>
  </si>
  <si>
    <t>De la cohorte de discapacidad se debe extraer la información de la columna AP "Categoria de discapacidad" la variable número "3-Discapacidad visual"</t>
  </si>
  <si>
    <t>Total de usuarios con discapacidad visual</t>
  </si>
  <si>
    <t>De la cohorte "Discapacidad Nueva" filtrar variable "Categoria de discapacidad": "3-Discapacidad visual"</t>
  </si>
  <si>
    <t>2.69%</t>
  </si>
  <si>
    <t>RPYMS473X</t>
  </si>
  <si>
    <t>Proporción de personas con sordoceguera</t>
  </si>
  <si>
    <t xml:space="preserve">Usuarios con sordoceguera afiliadas a Nueva EPS
</t>
  </si>
  <si>
    <t>De la cohorte de discapacidad se debe extraer la información de la columna AP "Categoria de discapacidad" la variable número "4-Sordoceguera"</t>
  </si>
  <si>
    <t>Total de usuarios con sordoceguera</t>
  </si>
  <si>
    <t>De la cohorte "Discapacidad Nueva" filtrar variable "Categoria de discapacidad": "4-Sordoceguera"</t>
  </si>
  <si>
    <t>0.28%</t>
  </si>
  <si>
    <t>05/12/2025 Ajuste para que el dato de la variable "Indicador Actividad" en la visual de tableros se muestre como "No aplica.  // 7/02/2025 Ajuste en periodo numerador y denominador y en poblacion denominador se elimina suspendido.</t>
  </si>
  <si>
    <t>RPYMS474X</t>
  </si>
  <si>
    <t>Proporción de personas con discapacidad intelectual</t>
  </si>
  <si>
    <t xml:space="preserve">Usuarios con discapacidad intelectual afiliadas a Nueva EPS
</t>
  </si>
  <si>
    <t>De la cohorte de discapacidad se debe extraer la información de la columna AP "Categoria de discapacidad" la variable número "5-Discapacidad intelectual"</t>
  </si>
  <si>
    <t>Al mes evaluado</t>
  </si>
  <si>
    <t>Total de usuarios con discapacidad intelectual</t>
  </si>
  <si>
    <t>Población con discapacidad actual al mes a evaluar, activos, nuevos y suspendidos</t>
  </si>
  <si>
    <t>De la cohorte "Discapacidad Nueva" filtrar variable"Categoria de discapacidad": "5-Discapacidad intelectual"</t>
  </si>
  <si>
    <t>7.02%</t>
  </si>
  <si>
    <t>05/12/2025 Ajuste para que el dato de la variable "Indicador Actividad" en la visual de tableros se muestre como "No aplica.   //  9/12/2024: Indicador nuevo, informativo.</t>
  </si>
  <si>
    <t>RPYMS475X</t>
  </si>
  <si>
    <t>Proporción de personas con discapacidad psicosocial (mental)</t>
  </si>
  <si>
    <t xml:space="preserve">Usuarios con discapacidad psicosocial (mental) afiliadas a Nueva EPS
</t>
  </si>
  <si>
    <t>De la cohorte de discapacidad se debe extraer la información de la columna AP "Categoria de discapacidad" la variable número "6-Discapacidad psicosocial/mental"</t>
  </si>
  <si>
    <t>Total de usuarios con discapacidad psicosocial (mental)</t>
  </si>
  <si>
    <t>De la cohorte "Discapacidad Nueva" filtrar variable "Categoria de discapacidad": "6-Discapacidad psicosocial/mental"</t>
  </si>
  <si>
    <t>20.61%</t>
  </si>
  <si>
    <t>RPYMS476X</t>
  </si>
  <si>
    <t>Proporción de personas con discapacidad multiple</t>
  </si>
  <si>
    <t xml:space="preserve">Usuarios con discapacidad multiple afiliadas a Nueva EPS
</t>
  </si>
  <si>
    <t>De la cohorte de discapacidad se debe extraer la información de la columna AP "Categoria de discapacidad" la variable número "7-Discapacidad múltiple"</t>
  </si>
  <si>
    <t>Total de usuarios con discapacidad multiple</t>
  </si>
  <si>
    <t>De la cohorte "Discapacidad Nueva" filtrar variable "Categoria de discapacidad": "7-Discapacidad múltiple"</t>
  </si>
  <si>
    <t>14.28%</t>
  </si>
  <si>
    <t>RPYMS477X</t>
  </si>
  <si>
    <t>Personas con discapacidad que registran actividades de la RPYMS</t>
  </si>
  <si>
    <t>Proporción de personas con discapacidad que registran  atenciones de la RPYMS</t>
  </si>
  <si>
    <t xml:space="preserve">Usuarios con discapacidad afiliadas a Nueva EPS,
con registro de atenciones en la  RPYMS
</t>
  </si>
  <si>
    <t xml:space="preserve">Se requiere que las IPS garanticen la ruta de atencion integral a todos los usuarios identificados con discapacidad </t>
  </si>
  <si>
    <t xml:space="preserve">De la cohorte "Discapacidad Nueva" filtrar la variable con fecha mas reciente de cualquier columna "fecha mas reciente" </t>
  </si>
  <si>
    <t>96.58%</t>
  </si>
  <si>
    <t>12/12/2025 Sin modificación  7/02/2025 Ajuste en periodo numerador y denominador y en poblacion denominador se elimina suspendido. 9/12/2024: Indicador nuevo, informativo</t>
  </si>
  <si>
    <t>RPYMS588X</t>
  </si>
  <si>
    <t>Prevalencia de Triquiasis Tracomatosa</t>
  </si>
  <si>
    <t>Prevalencia de Tracoma en Nueva EPS</t>
  </si>
  <si>
    <t>Número de personas afiliadas que han sido notificadas en SIVIGILA:
Evento: 305
"fec_not" año vigente 
"Ajuste_" Excepto: 6 o D o R</t>
  </si>
  <si>
    <t xml:space="preserve">SIVIGILA evento 305
</t>
  </si>
  <si>
    <t>Cohorte dispuesta en procex: Rutas/sivigila/datos basicos/evento 350, filtrar estado activo</t>
  </si>
  <si>
    <t>&lt;=0.29 x 1000</t>
  </si>
  <si>
    <t>0.23</t>
  </si>
  <si>
    <t>05/12/2025 Se modifica meta del indicador Ajuste para que el dato de la variable "Indicador Actividad" en la visual de tableros se muestre como "No aplica.  //7/02/2025 Se ajusta periodo numerador.  9/12/2024: Indicador nuevo protocolo INS.</t>
  </si>
  <si>
    <t>RPYMS467X</t>
  </si>
  <si>
    <t>Prevalencia de desnutrición aguda en niños menores de cinco años</t>
  </si>
  <si>
    <t>Número de menores entre 0 y 59 meses con desnutrición aguda moderada o severa en el periodo a evaluar</t>
  </si>
  <si>
    <t>Prevalencia de DNT</t>
  </si>
  <si>
    <t>Número de niñas y niños de 0 a 59 meses con desnutrición aguda moderada o severa</t>
  </si>
  <si>
    <t>Número de niños de 0 a 59 meses afiliados a la Aseguradora</t>
  </si>
  <si>
    <t>SIVIGILA
12 meses atrás incluyendo el mes a evaluar
RIPS 
3 Meses atrás incluyendo el mes a evaluar</t>
  </si>
  <si>
    <t>Edad entre 0 y 59 meses al mes evaluado</t>
  </si>
  <si>
    <t>Total de niños y niñas de 0 a 59 meses activos o suspendidos con corte al mes a evaluar</t>
  </si>
  <si>
    <t>Prevalencia calculada para Nueva EPS, corte semana epidemiológica 37 de 2024</t>
  </si>
  <si>
    <t>1.BASE DE DATOS DE AFILIACIONES (CIERRE MES).
2. Total de niños y niñas de 0 a 59 meses con corte al mes a evaluar
3. Estado Activo (ESTADO AC) o SUSPENDIDOS</t>
  </si>
  <si>
    <t>&lt; = 0,76%</t>
  </si>
  <si>
    <t>&gt; 0.76%</t>
  </si>
  <si>
    <t>0.47%</t>
  </si>
  <si>
    <t>RPYMS468X</t>
  </si>
  <si>
    <t>Reincidencia de DNT aguda en niños menores de cinco años</t>
  </si>
  <si>
    <t>Número de niños entre 0 y 59 meses notificados a SIVIGILA que vuelven a ser notificados por desnutrición aguda antes de 90 días desde la ultima notificación</t>
  </si>
  <si>
    <t>Número de niños 0 a 59 meses para los que pasados tres meses o mas a la notificación inicial, se recibe una nueva notificación por diagnóstico de DNT en el periodo a evaluar
El tiempo entre la fecha de notificación previa y la segunda notificación es =&gt; 90 días</t>
  </si>
  <si>
    <t>Número de niños 0 a 59 meses reportados con desnutrición aguda  a través de SIVIGILA</t>
  </si>
  <si>
    <t>Niños y niñas de 0 a 59 meses  con diagnóstico de Desnutrición aguda, moderada o severa, que registran reincidencia del evento, estado activo.</t>
  </si>
  <si>
    <t>Es un caso que, pasados tres meses de una notificación inicial, vuelve a estar registrado en la base de datos del evento del año en curso o el año inmediatamente anterior</t>
  </si>
  <si>
    <t>Dato obtenido del INS, fecha de consulta 20-11-2024</t>
  </si>
  <si>
    <t>1. SIVIGILA EVENTO 113.
2. Seleccionar niños en edad de 0-59 meses a la fecha de consulta (Columna Edad en meses a la fecha de la consulta (SIVIGILA))
3. Estado Activo (ESTADO AC)
4. Fecha de consulta  (fec_con_): últimos 12 meses incluyendo el mes a evaluar
5. "Ajuste_": todos, excepto 6 y D
6. Con P/T &lt; - 2DS o sin dato (DATO_ZSCORE_PT)
7.  Niños que vulven a ser notificados con DNT  en un periodo mayor a 90 días( El tiempo entre la fecha de notificación previa y la segunda notificación es =&gt; 90 días)</t>
  </si>
  <si>
    <t>1. SIVIGILA EVENTO 113.
2. Seleccionar niños en edad de 0-59 meses a la fecha de consulta (Columna Edad en meses a la fecha de la consulta (SIVIGILA))
3. Estado Activo (ESTADO AC)
4. Fecha de consulta  (fec_con_): últimos 12 meses incluyendo el mes a evaluar
5. "Ajuste_": todos, excepto 6 y D
6. Con P/T &lt; - 2DS o sin dato (DATO_ZSCORE_PT)</t>
  </si>
  <si>
    <t>&lt; = 18%</t>
  </si>
  <si>
    <t>&gt; 18%</t>
  </si>
  <si>
    <t>RPYMS545X</t>
  </si>
  <si>
    <t>Número de usuarios identificados como victimas de violencia física, psicológica o Sexual</t>
  </si>
  <si>
    <t>Numero de personas afiliadas que han sido notificadas en SIVIGILA:
Fecha Consulta "fec_Con_": Año vigente
Evento: 875
"Ajuste_" Excepto: 6 o D o R</t>
  </si>
  <si>
    <t>Población afiliada a NEPS en el momento de la evaluación
Estado activo</t>
  </si>
  <si>
    <t>Para evaluacion solo población activa, para seguimiento y monitoreo estado activo y suspendido en las cohortes.</t>
  </si>
  <si>
    <t>Se requiere conocer que tan incidente es la notificación de casos de violencias de género, intrafamiliar y de ataques con agentes químicos en las zonas de influencia</t>
  </si>
  <si>
    <t>Cohorte violencia sexual
Cohorte violencia no sexual</t>
  </si>
  <si>
    <t>0.25%</t>
  </si>
  <si>
    <t>65.57</t>
  </si>
  <si>
    <t>RPYMS546X</t>
  </si>
  <si>
    <t>Incidencia de personas con intento de suicidio</t>
  </si>
  <si>
    <t>Número de casos nuevos identificados por intento de suicidio durante el año</t>
  </si>
  <si>
    <t>Número de casos de intento de suicidio</t>
  </si>
  <si>
    <t>Total de población
Estado activo</t>
  </si>
  <si>
    <t>RPYMS171X</t>
  </si>
  <si>
    <t>Demanda Inducida efectiva a la RPYMS</t>
  </si>
  <si>
    <t>Proporción de personas que han accedido a actividades de la ruta de PYMS, posterior al recibido de alguna acción de inducción de demanda, (SMS, llamada telefonica, mail, VPS)</t>
  </si>
  <si>
    <t>SMS / Llamada telefonica / Correo electronico</t>
  </si>
  <si>
    <t>Que registran en los siguientes 3 meses, (90 días), alguna actividad de la RPYMS</t>
  </si>
  <si>
    <t>Población total activa, a quien se envió alguna acción de inducción de demanda, (SMS, llamada telefonica, mail, VPS), en los ultimos 12 meses</t>
  </si>
  <si>
    <t>Registro de al menos una atención de la RPYMS, vigente de la RPYMS: según lo definido en la lista: "Atenciones_RPYMS"
1 - RIPS 
2 - Res 202- Actividades
3 - Vacunación</t>
  </si>
  <si>
    <t>Sistema Procex- modulo demanda inducida</t>
  </si>
  <si>
    <t>Envío de alguna actividad de DI, en los ultimos 12 meses sin incluir el mes a evaluar, (es decir tomo para el conteo 12 meses a tras con el mes evaluado, pero al denominador solo van los enviados en los 11 primeros meses)</t>
  </si>
  <si>
    <t>Población activa a quien se envío información de DI</t>
  </si>
  <si>
    <t>4%</t>
  </si>
  <si>
    <t>4.44%</t>
  </si>
  <si>
    <t>12/12/2025 Se modifica meta del indicador.  //9/12/2024: se ajusta nombre del indicador; elementos de captura del numerador, y periodo. Edwin P
9/12/2024: Revisar la forma de medición del indicador, la linea de base esta muy alta. EYAV</t>
  </si>
  <si>
    <t>RPYMS171AX</t>
  </si>
  <si>
    <t>Demanda Inducida efectiva al programa de vacunación en menores de 5 años</t>
  </si>
  <si>
    <t>Niños de 0 a 5 años, 11 meses y 29 dias, que han accedido a actividades del programa de vacunación, posterior al recibido de alguna acción de inducción de demanda, (SMS, llamada telefonica, mail, VPS)</t>
  </si>
  <si>
    <t xml:space="preserve">Que en los siguientes 3 meses al envío de la actividad de demanda inducida registran una actividad del programa
</t>
  </si>
  <si>
    <t xml:space="preserve">Niños de 0 a 5 años, 11 meses y 29 dias, a quien se envió alguna acción de inducción de demanda, (SMS, llamada telefonica, mail, VPS), en los ultimos 12 meses
</t>
  </si>
  <si>
    <t>1. MODULO DE VACUNACIÓN- Vacunas con fecha posterior al envío de la actividad de inducción de demanda</t>
  </si>
  <si>
    <t>Afiliados activos, menores de 5 años que recibieron actividad de DI</t>
  </si>
  <si>
    <t>66.95%</t>
  </si>
  <si>
    <t>70.96%</t>
  </si>
  <si>
    <t>RPYMS171BX</t>
  </si>
  <si>
    <t>Demanda Inducida efectiva al programa de DT cáncer de cuello uterino</t>
  </si>
  <si>
    <t>Proporción de mujeres de 25 a 65 años que han accedido a actividades del programa de tamizaje, posterior al recibido de alguna acción de inducción de demanda, (SMS, llamada telefonica, mail, VPS)</t>
  </si>
  <si>
    <t>Que en los siguientes 3 meses al envío de la actividad de demanda inducida registran una actividad del programa de tamizaje para la DT del cancer de cuello uterino</t>
  </si>
  <si>
    <t>Población mujeres entre 25 y 65 años, a quien se envió alguna acción de inducción de demanda, (SMS, llamada telefonica, mail, VPS), en los ultimos 12 meses</t>
  </si>
  <si>
    <t>1- Res 202: Prueba Tamizaje 
   * Variable 86= 1 o 3 o 4,  Fecha tamizaje (Variable 87): Últimos 3 años
   * Variable 86 = 2   Fecha tamizaje(Variable 87): Últimos 5 años</t>
  </si>
  <si>
    <t>Afiliadas activas, de 25 a 65 años con actividad de DI registrada en el sistema</t>
  </si>
  <si>
    <t>44.78%</t>
  </si>
  <si>
    <t>53.06%</t>
  </si>
  <si>
    <t>12/12/2025 Sin modificación  9/12/2024: se ajusta nombre del indicador; elementos de captura del numerador, y periodo. 9/12/2024: Revisar la forma de medición del indicador, la linea de base esta muy alta. EYAV</t>
  </si>
  <si>
    <t>RPYMS171CX</t>
  </si>
  <si>
    <t>Demanda Inducida efectiva al programa de DT cáncer de mama</t>
  </si>
  <si>
    <t>Proporción de mujeres de 50 a 69 años que que han accedido a actividades del programa de tamizaje, posterior al recibido de alguna acción de inducción de demanda, (SMS, llamada telefonica, mail, VPS)</t>
  </si>
  <si>
    <t>Que en los siguientes 3 meses al envío de la actividad de demanda inducida registran una actividad del programa de tamizaje para la DT del cancer de mama</t>
  </si>
  <si>
    <t>Población mujeres entre 50 y 69 años, a quien se envió alguna acción de inducción de demanda, (SMS, llamada telefonica, mail, VPS), en los ultimos 12 meses</t>
  </si>
  <si>
    <t>1- Res 202- 
   Variable 96:  Últimos 2 Años</t>
  </si>
  <si>
    <t>Afiliadas mujeres entre 50 y 69 años con tamizaje para DT de cáncer de mama en los últimos 24 meses</t>
  </si>
  <si>
    <t>Afiliadas activas, de 50 a 69 años con actividad de DI registrada en el sistema</t>
  </si>
  <si>
    <t>39.83%</t>
  </si>
  <si>
    <t>39.1%</t>
  </si>
  <si>
    <t>RPYMS171DX</t>
  </si>
  <si>
    <t>Demanda Inducida efectiva al programa de DT cáncer de Próstata</t>
  </si>
  <si>
    <t>Proporción de hombres de 50 a 75 años y afro de 40 a 49 años, que han accedido a actividades del programa de tamizaje, posterior al recibido de alguna acción de inducción de demanda, (SMS, llamada telefonica, mail, VPS)</t>
  </si>
  <si>
    <t>Que en los siguientes 3 meses al envío de la actividad de demanda inducida registran una actividad del programa de tamizaje para la DT del cancer de prostatá</t>
  </si>
  <si>
    <t>Población hombres entre 50 y 75 años y afro de 40 a 49 años, a quien se envió alguna acción de inducción de demanda, (SMS, llamada telefonica, mail, VPS), en los ultimos 12 meses</t>
  </si>
  <si>
    <t xml:space="preserve">1- Res 202- 
   Variable 73 o 109: Últimos 5 años
</t>
  </si>
  <si>
    <t>Afiliados activos, hombres  de 50  a 75 años y afro de 40 a 49 años, con actividad de DI registrada en el sistema</t>
  </si>
  <si>
    <t>34.47%</t>
  </si>
  <si>
    <t>51.4%</t>
  </si>
  <si>
    <t>RPYMS260X</t>
  </si>
  <si>
    <t>Proporción de usuarios con actividades de demanda inducida en el año</t>
  </si>
  <si>
    <t>Proporción de personas que han recibido alguna acción de inducción de demanda, (SMS, llamada telefonica, mail, VPS), en el año</t>
  </si>
  <si>
    <t>Personas que han recibido alguna acción de inducción de demanda, (SMS, llamada telefonica, mail, VPS)</t>
  </si>
  <si>
    <t>Total de población, dividido en 12 y multiplicado por mes a evaluar</t>
  </si>
  <si>
    <t>Base de datos de afiliados</t>
  </si>
  <si>
    <t>Total de afiliados, activos a la fecha de corte</t>
  </si>
  <si>
    <t>64.93%</t>
  </si>
  <si>
    <t>RPYMS260AX</t>
  </si>
  <si>
    <t>Proporción de usuarios con actividades de Demanda Inducida del Programa de Vacunación en el año</t>
  </si>
  <si>
    <t>Proporción de niños, (hasta 5 años, 11 meses y 29 dias),  que recibieron alguna acción de inducción de demanda, (SMS, llamada telefonica, mail, VPS), en el año</t>
  </si>
  <si>
    <t>Niños y niñas, (hasta 5 años, 11 meses y 29 dias), que han recibido alguna acción de inducción de demanda, (SMS, llamada telefonica, mail, VPS)</t>
  </si>
  <si>
    <t>Niños y niñas, (hasta 5 años, 11 meses y 29 dias), dividido en 12 y multiplicado por mes a evaluar</t>
  </si>
  <si>
    <t>Niños y niñas, (hasta 5 años, 11 meses y 29 dias), activos a la fecha de corte</t>
  </si>
  <si>
    <t>Cohorte DI</t>
  </si>
  <si>
    <t>21.56%</t>
  </si>
  <si>
    <t>35.12%</t>
  </si>
  <si>
    <t>12/12/2025 Sin modificación  27/02/2024 Se describe la cohorte para toma del dato. 9/12/2024: se cambia a evaluativo; se ajusta nombre del indicador elementos de captura del numerador, y periodo.   //9/12/2024: Revisar la forma de medición del indicador, la linea de base esta muy alta. EYAV</t>
  </si>
  <si>
    <t>RPYMS260BX</t>
  </si>
  <si>
    <t>Proporción de usuarios con actividades de Demanda Inducida del Programa de DT Cáncer de Cervix en el año</t>
  </si>
  <si>
    <t>Proporción de mujeres de 25 a 65 años que han recibido alguna acción de inducción de demanda, (SMS, llamada telefonica, mail, VPS), en el año</t>
  </si>
  <si>
    <t>Mujeres del denominador, que han recibido alguna acción de inducción de demanda, (SMS, llamada telefonica, mail, VPS)</t>
  </si>
  <si>
    <t>Mujeres de 25 a 65 años, dividido en 12 y multiplicado por mes a evaluar</t>
  </si>
  <si>
    <t>Mujeres de 25 a 65 años, activas a la fecha de corte</t>
  </si>
  <si>
    <t>46.23%</t>
  </si>
  <si>
    <t>56.73%</t>
  </si>
  <si>
    <t>RPYMS260CX</t>
  </si>
  <si>
    <t>Proporción de usuarios con actividades de Demanda Inducida del Programa de DT Cáncer de Mamá en el año</t>
  </si>
  <si>
    <t>Proporción de mujeres de 50 a 69 años que han recibido alguna acción de inducción de demanda, (SMS, llamada telefonica, mail, VPS), en el año</t>
  </si>
  <si>
    <t>Mujeres entre 50 y 69 años , dividido en 12 y multiplicado por mes a evaluar</t>
  </si>
  <si>
    <t>Mujeres de 50 a 69 años, activas a la fecha de corte</t>
  </si>
  <si>
    <t>92.74%</t>
  </si>
  <si>
    <t>70.74%</t>
  </si>
  <si>
    <t>RPYMS260DX</t>
  </si>
  <si>
    <t>Proporción de usuarios con actividades de Demanda Inducida del Programa de DT Cáncer de próstata en el año</t>
  </si>
  <si>
    <t>Proporción de hombres de 50 a 75 años que han recibido alguna acción de inducción de demanda, (SMS, llamada telefonica, mail, VPS), en el año</t>
  </si>
  <si>
    <t>Población Hombres entre 50 y 75 años, que han recibido alguna acción de inducción de demanda, (SMS, llamada telefonica, mail, VPS)</t>
  </si>
  <si>
    <t>Población Hombres entre 50 y 75 años, dividido en 12 y multiplicado por mes a evaluar</t>
  </si>
  <si>
    <t>Población Hombres entre 50 y 75 años, activos a la fecha de corte</t>
  </si>
  <si>
    <t>41.25%</t>
  </si>
  <si>
    <t>31.07%</t>
  </si>
  <si>
    <t>RPYMS260EX</t>
  </si>
  <si>
    <t>Demanda Inducida efectiva al Programa de DT Cáncer de Colorrectal en el año</t>
  </si>
  <si>
    <t>Proporción de personas de 50 a 75 años que han accedido a actividades del programa de tamizaje, posterior al recibido de alguna acción de inducción de demanda, (SMS, llamada telefonica, mail, VPS)</t>
  </si>
  <si>
    <t>Que en los siguientes 3 meses al envío de la actividad de demanda inducida registran una actividad del programa de tamizaje para la DT del cancer colorrectal</t>
  </si>
  <si>
    <t>Población entre 50 y 75 años, a quien se envió alguna acción de inducción de demanda, (SMS, llamada telefonica, mail, VPS), en los ultimos 12 meses</t>
  </si>
  <si>
    <t xml:space="preserve">1- RIPS
2- RES 202
</t>
  </si>
  <si>
    <t>Últimos 9 meses</t>
  </si>
  <si>
    <t>Población entre 50 y 75 activa a la fecha de corte</t>
  </si>
  <si>
    <t>Cohorte DI y Cohorte DT Colorrectal</t>
  </si>
  <si>
    <t>7.87%</t>
  </si>
  <si>
    <t>12/12/2025 Sin modificación  27/02/2024 Se describe la cohorte para toma del dato y se complementa el numerador de periodo.  9/12/2024: se ajusta nombre del indicador; elementos de captura del numerador, y periodo.  //9/12/2024: Revisar la forma de medición del indicador, la linea de base esta muy alta. EYAV</t>
  </si>
  <si>
    <t>RPYMS260FX</t>
  </si>
  <si>
    <t>Demanda Inducida efectiva al Programa de Salud Oral en el año</t>
  </si>
  <si>
    <t>Proporción de personas que han accedido a actividades del programa de salud oral, posterior al recibido de alguna acción de inducción de demanda, (SMS, llamada telefonica, mail, VPS)</t>
  </si>
  <si>
    <t>Población de 6 meses o mas,  que han recibido alguna acción de inducción de demanda, (SMS, llamada telefonica, mail, VPS)</t>
  </si>
  <si>
    <t>Población de 6 meses y más, dividido en 12 y multiplicado por mes a evaluar</t>
  </si>
  <si>
    <t>Población activa,  de 6 meses y más activos a la fecha de corte</t>
  </si>
  <si>
    <t>6.57%</t>
  </si>
  <si>
    <t>8.76%</t>
  </si>
  <si>
    <t>12/12/2025 Sin modificación  9/12/2024: se ajusta nombre del indicador; elementos de captura del numerador, y periodo.   //9/12/2024: Revisar la forma de medición del indicador, la linea de base esta muy alta. EYAV</t>
  </si>
  <si>
    <t>RPYMS462X</t>
  </si>
  <si>
    <t>Proporción de usuarios con actividades de Demanda Inducida del Programa de planificación familiar en el año</t>
  </si>
  <si>
    <t>Proporción de personas que han recibido alguna acción de inducción de demanda, (SM recibido de alguna acción de inducción de demanda, (SMS, llamada telefonica, mail, VPS), en el año</t>
  </si>
  <si>
    <t>IEC</t>
  </si>
  <si>
    <t>Mujeres de 13 a 49 años, dividido en 12 y multiplicado por mes a evaluar</t>
  </si>
  <si>
    <t>Población de 13 a 49 años
activa a la fecha de corte</t>
  </si>
  <si>
    <t>44.37%</t>
  </si>
  <si>
    <t xml:space="preserve">12/12/2025 Se ajusta medición del indicador se cambio de evaluativo a informativo.  //27/02/2024 Se describe la cohorte para toma del dato.  12/02/2025 Se actualiza tablero.  9/12/2024: se ajusta nombre del indicador; elementos de captura del numerador, y periodo. </t>
  </si>
  <si>
    <t>RPYMS463X</t>
  </si>
  <si>
    <t>Demanda Inducida efectiva al programa  de Planificación familiar</t>
  </si>
  <si>
    <t>Proporción de mujeres de 13 a 49 años que han accedido a actividades del programa de Planificación familiar, posterior al recibido de alguna acción de inducción de demanda, (SMS, llamada telefonica, mail, VPS)</t>
  </si>
  <si>
    <t>Que en los siguientes 3 meses al envío de la actividad de demanda inducida registran una actividad del programa de planificación familiar</t>
  </si>
  <si>
    <t>Población mujeres entre 13 y 49 años a quien se envió alguna acción de inducción de demanda, (SMS, llamada telefonica, mail, VPS), en los ultimos 12 meses</t>
  </si>
  <si>
    <t>1- RES 202
2- RIPS</t>
  </si>
  <si>
    <t>Total mujeres  de 13  a 49 años  con actividad de DI registrada en el sistema</t>
  </si>
  <si>
    <t>9.92%</t>
  </si>
  <si>
    <t>12/12/2025 Sin modificación  9/12/2024: Indicador nuevo</t>
  </si>
  <si>
    <t>RPYMS464X</t>
  </si>
  <si>
    <t>Cobertura en Actividades de Demanda Inducida</t>
  </si>
  <si>
    <t>Proporción de la población que fue contactada, informada o educada mediante actividades de demanda inducida (SMS, correo electrónico, llamada telefónica, visita preventiva en salud).</t>
  </si>
  <si>
    <t>Número de usuarios alcanzados mediante estrategias de demanda inducida. Esto puede incluir:
- Usuarios que cuentan con SMS efectivos para cualquier programa
- Usuarios que cuentan con llamada telefónica efectiva para cualquier programa
- Usuarios que cuentan con correo electrónico efectivo para cualquier programa
- Usuarios que cuentan con visita preventiva en salud</t>
  </si>
  <si>
    <t>Cualquier año atrás incluyendo el mes a evaluar</t>
  </si>
  <si>
    <t>Poblacion que registra SMS, llamada telefónica, visita preventiva en salud o correo electrónico de cualquier programa</t>
  </si>
  <si>
    <t>84.76%</t>
  </si>
  <si>
    <t>12/12/2025 Sin modificación  27/02/2024 Se describe la cohorte para toma del dato.</t>
  </si>
  <si>
    <t>RPYMS522X</t>
  </si>
  <si>
    <t>Proporción de personas con agudeza visual alterada identificadas desde el MGE, que son valoradas en salud visual</t>
  </si>
  <si>
    <t>Afiliados con visita preventiva de salud que registran medición de agudeza visual alterada y que posterior a la misma acceden a consulta de optometría/ Oftalmo</t>
  </si>
  <si>
    <t>Población de 3 años en adelante que recibieron VPS en los ultimos 12 meses;  y que en esa visita hay registro tamizaje de agudeza visual alterado</t>
  </si>
  <si>
    <r>
      <rPr>
        <sz val="10"/>
        <color rgb="FF000000"/>
        <rFont val="Calibri Light"/>
        <family val="2"/>
        <scheme val="major"/>
      </rPr>
      <t xml:space="preserve">1- RIPS - CUPS 
89.0.2.07 Consulta de primera vez por Optometría
89.0.3.07 Consulta de control o de seguimiento por optometría
89.0.2.76 Consulta de primera vez por especialista por en oftalmologia
89.0.3.76 Consulta de control o seguimiento por especialista en Oftalmología
</t>
    </r>
    <r>
      <rPr>
        <b/>
        <sz val="10"/>
        <color rgb="FF000000"/>
        <rFont val="Calibri Light"/>
        <family val="2"/>
        <scheme val="major"/>
      </rPr>
      <t xml:space="preserve"> </t>
    </r>
  </si>
  <si>
    <t>Valoraciones de optometria /oftalmo 12 meses atrás incluid del mes evaluado, y que sea igual o posterior a la fecha de VPS</t>
  </si>
  <si>
    <r>
      <rPr>
        <sz val="10"/>
        <color rgb="FF000000"/>
        <rFont val="Calibri Light"/>
        <family val="2"/>
        <scheme val="major"/>
      </rPr>
      <t xml:space="preserve">Visitas preventivas de los ultimos </t>
    </r>
    <r>
      <rPr>
        <sz val="10"/>
        <color rgb="FFFF0000"/>
        <rFont val="Calibri Light"/>
        <family val="2"/>
        <scheme val="major"/>
      </rPr>
      <t>11 meses</t>
    </r>
    <r>
      <rPr>
        <sz val="10"/>
        <color rgb="FF000000"/>
        <rFont val="Calibri Light"/>
        <family val="2"/>
        <scheme val="major"/>
      </rPr>
      <t>, (sin incluir las VPS del mes evaluado</t>
    </r>
  </si>
  <si>
    <t>1- Misma poblacion del denominador con la realización de la actividad</t>
  </si>
  <si>
    <r>
      <rPr>
        <sz val="10"/>
        <color rgb="FF000000"/>
        <rFont val="Calibri Light"/>
        <family val="2"/>
        <scheme val="major"/>
      </rPr>
      <t xml:space="preserve">1. Tamizajes de agudeza visual con resultado 0, 3, 4, 21
</t>
    </r>
    <r>
      <rPr>
        <sz val="10"/>
        <color rgb="FFFF0000"/>
        <rFont val="Calibri Light"/>
        <family val="2"/>
        <scheme val="major"/>
      </rPr>
      <t>2. Afiliados con edades desde los 3 años, con consulta por oftalmologia u optometria en los ultimos 12 meses, incluyendo el mes evaluado.</t>
    </r>
  </si>
  <si>
    <r>
      <rPr>
        <sz val="10"/>
        <color rgb="FF000000"/>
        <rFont val="Calibri Light"/>
        <family val="2"/>
        <scheme val="major"/>
      </rPr>
      <t xml:space="preserve">1. La fecha de VPS debe ser igual a la fecha de la agudeza visual realizada desde la VPS y notificada en R202.
</t>
    </r>
    <r>
      <rPr>
        <sz val="10"/>
        <color rgb="FFFF0000"/>
        <rFont val="Calibri Light"/>
        <family val="2"/>
        <scheme val="major"/>
      </rPr>
      <t>2. Aplica para Regimen contributivo y régimen subsidiado</t>
    </r>
  </si>
  <si>
    <t>Ir a la variable "FECHA_SALUD_VISUAL_DESPUES_VISITA" y filtrar las fechas</t>
  </si>
  <si>
    <t xml:space="preserve">Ir a variable "EDAD_A" filtrando desde 3 en adelante. 
Manteniendo el filtro, ir a variable "AGUDEZA _VISUAL ALTERADA_EN_VISITA" filtrando los SI, </t>
  </si>
  <si>
    <t>5.72%</t>
  </si>
  <si>
    <t>RPYMS523X</t>
  </si>
  <si>
    <t>Porcentaje de canalización efectiva al programa de detección temprana de cancer de cuello uterino</t>
  </si>
  <si>
    <r>
      <rPr>
        <sz val="10"/>
        <color rgb="FF000000"/>
        <rFont val="Calibri Light"/>
        <family val="2"/>
        <scheme val="major"/>
      </rPr>
      <t xml:space="preserve">Afiliadas residentes en territorios con MGE de 25 a 65 años que </t>
    </r>
    <r>
      <rPr>
        <sz val="10"/>
        <color rgb="FFFF0000"/>
        <rFont val="Calibri Light"/>
        <family val="2"/>
        <scheme val="major"/>
      </rPr>
      <t>a la misma fecha</t>
    </r>
    <r>
      <rPr>
        <sz val="10"/>
        <color rgb="FF000000"/>
        <rFont val="Calibri Light"/>
        <family val="2"/>
        <scheme val="major"/>
      </rPr>
      <t xml:space="preserve"> o despues de la VPS registran tamizaje para detección temprana de cancer de cuello uterino, (CCU, ADN-VPH, VIA VILLI)</t>
    </r>
  </si>
  <si>
    <t>Tamizaje Cáncer de Cuello Uterino</t>
  </si>
  <si>
    <t>Y que registran tamizaje para DT CCU (CCU,ADN-VPH, VIA VILLI),  en los siguientes 3 meses,  (90 días), posterior o igual a la fecha de la VPS.</t>
  </si>
  <si>
    <t>Mujeres entre 25 y 65 años que registran VPS en el periodo a evaluar; y que no cuentan con tamizaje vigente al mes evaluado</t>
  </si>
  <si>
    <r>
      <t xml:space="preserve">1- Resolución 202: Variable 87 "Fecha tamizaje de cancer de cuello uterino" opción (fecha valida)
2- Modulo de gestión: "Pestaña tamizaje"- Fecha valida para Citología cérvico uterina, prueba ADN-VPH, Técnica de inspección visual.
3- RIPS, codigo CUPS:
892904 TÉCNICAS DE INSPECCIÓN VISUAL CON ÁCIDO ACETICO Y LUGOL
898001 ESTUDIO DE COLORACION BASICA EN CITOLOGIA VAGINAL TUMORAL Y/O FUNCIONAL
908436  PAPILOMA VIRUS POR PCR
908890 DETECCION VIRUS DEL PAPILOMA HUMANO POR PRUEBAS MOLECULARES (ESPECIFICO)
</t>
    </r>
    <r>
      <rPr>
        <i/>
        <sz val="10"/>
        <color theme="1"/>
        <rFont val="Calibri Light"/>
        <family val="2"/>
        <scheme val="major"/>
      </rPr>
      <t xml:space="preserve">Nota: </t>
    </r>
    <r>
      <rPr>
        <sz val="10"/>
        <color theme="1"/>
        <rFont val="Calibri Light"/>
        <family val="2"/>
        <scheme val="major"/>
      </rPr>
      <t xml:space="preserve">Dentro de la definición de metodología de evaluación de los indicadores de Modelo se tiene contemplada la evaluación de las actividades realizadas a los usuarios, por ende, lo que se debe tener en cuenta para el numerador en ambos casos es una fecha de toma valida, sin importar el resultado. Por esta razón para nuestros indicadores si se tiene en cuenta la fuente RIPS, por lo que solicitamos se incluya para la correcta medición.
</t>
    </r>
  </si>
  <si>
    <r>
      <rPr>
        <sz val="10"/>
        <color rgb="FF000000"/>
        <rFont val="Calibri Light"/>
        <family val="2"/>
        <scheme val="major"/>
      </rPr>
      <t xml:space="preserve">1. Carga de Archivos &gt; MGE &gt; PIS &gt; Visitas, variables: "Tipo de visita" opción (cualquier tipo de visita) -- "Clasificación de la visita" (efectiva).
</t>
    </r>
    <r>
      <rPr>
        <sz val="10"/>
        <color rgb="FFFF0000"/>
        <rFont val="Calibri Light"/>
        <family val="2"/>
        <scheme val="major"/>
      </rPr>
      <t xml:space="preserve">2- Carga de Archivos &gt; MGE &gt; ACS &gt; Visitas ACS, variables: "Tipo de visita" opción (cualquier tipo de visita) -- "Clasificación de la visita" (efectiva).
</t>
    </r>
    <r>
      <rPr>
        <sz val="10"/>
        <color rgb="FF000000"/>
        <rFont val="Calibri Light"/>
        <family val="2"/>
        <scheme val="major"/>
      </rPr>
      <t xml:space="preserve">
Nota: Se excluyen las que tienen esquema al dia
</t>
    </r>
  </si>
  <si>
    <t>Mismo del denominador</t>
  </si>
  <si>
    <t>Visitas preventivas de los ultimos 11 meses, (sin incluir las VPS del mes evaluado)</t>
  </si>
  <si>
    <r>
      <rPr>
        <sz val="10"/>
        <color rgb="FF000000"/>
        <rFont val="Calibri Light"/>
        <family val="2"/>
        <scheme val="major"/>
      </rPr>
      <t>1- Poblacion actual "Mujeres 25 a 65 años" - activa</t>
    </r>
    <r>
      <rPr>
        <strike/>
        <sz val="10"/>
        <color rgb="FF000000"/>
        <rFont val="Calibri Light"/>
        <family val="2"/>
        <scheme val="major"/>
      </rPr>
      <t>-</t>
    </r>
    <r>
      <rPr>
        <sz val="10"/>
        <color rgb="FF000000"/>
        <rFont val="Calibri Light"/>
        <family val="2"/>
        <scheme val="major"/>
      </rPr>
      <t xml:space="preserve"> Aplica para los dos regimenes con realizacion de la actividad</t>
    </r>
  </si>
  <si>
    <r>
      <rPr>
        <sz val="10"/>
        <color rgb="FF000000"/>
        <rFont val="Calibri Light"/>
        <family val="2"/>
        <scheme val="major"/>
      </rPr>
      <t xml:space="preserve">1- Poblacion actual "Mujeres 25 a 65 años", que recibieron VPS </t>
    </r>
    <r>
      <rPr>
        <sz val="10"/>
        <color rgb="FFFF0000"/>
        <rFont val="Calibri Light"/>
        <family val="2"/>
        <scheme val="major"/>
      </rPr>
      <t>efectiva</t>
    </r>
  </si>
  <si>
    <t>Excluir las usuarias que cumplen cobertura antes de la fecha de VPS, con el esquema definido, de acuerdo a la prueba utilizada:
1-ADN-VPH (908436): 5 años atrás incluyendo el mes evaluado.
2- citología cérvico uterina: 3 años atrás incluyendo el mes evaluado
3- Técnicas de inspección visual (892904): 3 años atrás incluyendo el mes evaluado</t>
  </si>
  <si>
    <t>1.  Aplica para Regimen contributivo y régimen subsidiado</t>
  </si>
  <si>
    <t>Ir a la variable "FECHA_CCU_ADN-VPH_ VIA VILLI_DESPUES_VISITA" y filtrar las fechas</t>
  </si>
  <si>
    <t xml:space="preserve">Ir a variable "EDAD_A" filtrando desde 25 a 65.
Manteniendo el filtro, ir a "SEXO" y filtrar solo F
Manteniendo el filtro, "FECHA_ULTIMA_VISITA_EFECTIVA",  Seleccionado las visitas de los ultimos tres meses </t>
  </si>
  <si>
    <t>Mujeres entre 25 a 65 años</t>
  </si>
  <si>
    <t>16.39%</t>
  </si>
  <si>
    <t>RPYMS524X</t>
  </si>
  <si>
    <t>Porcentaje de canalización efectiva al programa de detección temprana de cancer de mama</t>
  </si>
  <si>
    <r>
      <rPr>
        <sz val="10"/>
        <color rgb="FF000000"/>
        <rFont val="Calibri Light"/>
        <family val="2"/>
        <scheme val="major"/>
      </rPr>
      <t xml:space="preserve">Afiliadas residentes en territorios con MGE de 50 a 69 años que </t>
    </r>
    <r>
      <rPr>
        <sz val="10"/>
        <color rgb="FFFF0000"/>
        <rFont val="Calibri Light"/>
        <family val="2"/>
        <scheme val="major"/>
      </rPr>
      <t>a la misma fecha</t>
    </r>
    <r>
      <rPr>
        <sz val="10"/>
        <color rgb="FF000000"/>
        <rFont val="Calibri Light"/>
        <family val="2"/>
        <scheme val="major"/>
      </rPr>
      <t xml:space="preserve"> </t>
    </r>
    <r>
      <rPr>
        <sz val="10"/>
        <color rgb="FFFF0000"/>
        <rFont val="Calibri Light"/>
        <family val="2"/>
        <scheme val="major"/>
      </rPr>
      <t xml:space="preserve">o </t>
    </r>
    <r>
      <rPr>
        <sz val="10"/>
        <color rgb="FF000000"/>
        <rFont val="Calibri Light"/>
        <family val="2"/>
        <scheme val="major"/>
      </rPr>
      <t>despues de la VPS registran tamizaje para detección temprana de cancer de mama (mamografía)</t>
    </r>
  </si>
  <si>
    <t>Tamizaje Cáncer de Mama</t>
  </si>
  <si>
    <t>que registran tamizaje 3 meses, (90 días), posterior o igual a la fecha de la VPS</t>
  </si>
  <si>
    <t>Número total de mujeres entre 50 y 69 años que registran VPS en el periodo a evaluar,y que no cuentan con tamizaje vigente al mes evaluado</t>
  </si>
  <si>
    <r>
      <t xml:space="preserve">1- Resolución 202: Variable 96: "Fecha de toma de mamografía" opción (fecha valida)
2- Modulo de gestión:
3- RIPS: 876802 XEROMAMOGRAFIA O MAMOGRAFIA, BILATERAL (opción fecha valida)
</t>
    </r>
    <r>
      <rPr>
        <i/>
        <sz val="10"/>
        <color theme="1"/>
        <rFont val="Calibri Light"/>
        <family val="2"/>
        <scheme val="major"/>
      </rPr>
      <t xml:space="preserve">
Nota: Dentro de la definición de metodología de evaluación de los indicadores de Modelo se tiene contemplada la evaluación de las actividades realizadas a los usuarios, por ende, lo que se debe tener en cuenta para el numerador en ambos casos es una fecha de toma valida, sin importar el resultado. Por esta razón para nuestros indicadores si se tiene en cuenta la fuente RIPS, por lo que solicitamos se incluya para la correcta medición.</t>
    </r>
  </si>
  <si>
    <r>
      <rPr>
        <sz val="10"/>
        <color rgb="FF000000"/>
        <rFont val="Calibri Light"/>
        <family val="2"/>
        <scheme val="major"/>
      </rPr>
      <t xml:space="preserve">1. Carga de Archivos &gt; MGE &gt; PIS &gt; Visitas, variables: "Tipo de visita" opción (cualquier tipo de visita) -- "Clasificación de la visita" (efectiva). 
</t>
    </r>
    <r>
      <rPr>
        <sz val="10"/>
        <color rgb="FFFF0000"/>
        <rFont val="Calibri Light"/>
        <family val="2"/>
        <scheme val="major"/>
      </rPr>
      <t xml:space="preserve">2- Carga de Archivos &gt; MGE &gt; ACS &gt; Visitas ACS, variables: "Tipo de visita" opción (cualquier tipo de visita) -- "Clasificación de la visita" (efectiva).
</t>
    </r>
    <r>
      <rPr>
        <sz val="10"/>
        <color rgb="FF000000"/>
        <rFont val="Calibri Light"/>
        <family val="2"/>
        <scheme val="major"/>
      </rPr>
      <t xml:space="preserve">
</t>
    </r>
    <r>
      <rPr>
        <i/>
        <sz val="10"/>
        <color rgb="FF000000"/>
        <rFont val="Calibri Light"/>
        <family val="2"/>
        <scheme val="major"/>
      </rPr>
      <t>Nota: Se excluyen las que tienen esquema al dia en toma de mamografía</t>
    </r>
  </si>
  <si>
    <t xml:space="preserve">1- Poblacion actual "Mujeres 50 a 69 años" - activa- Aplica para los dos regimenes con realzacion de la actividad </t>
  </si>
  <si>
    <r>
      <rPr>
        <sz val="10"/>
        <color rgb="FF000000"/>
        <rFont val="Calibri Light"/>
        <family val="2"/>
        <scheme val="major"/>
      </rPr>
      <t xml:space="preserve">1- Poblacion actual "Mujeres 50 a 69 años, que recibieron VPS </t>
    </r>
    <r>
      <rPr>
        <sz val="10"/>
        <color rgb="FFFF0000"/>
        <rFont val="Calibri Light"/>
        <family val="2"/>
        <scheme val="major"/>
      </rPr>
      <t>efectiva</t>
    </r>
  </si>
  <si>
    <t>Excluir las usuarias que cumplen cobertura antes de la fecha de VPS, con el esquema definido, de acuerdo a la prueba utilizada:
1. Mamografia (876801): 2 años atrás incluyendo el mes evaluado.</t>
  </si>
  <si>
    <t>Ir a la variable "FECHA_MAMOGRAFIA_DESPUES_VISITA" y filtrar las fechas</t>
  </si>
  <si>
    <t xml:space="preserve">Ir a variable "EDAD_A" filtrando desde 50 a 69.
Manteniendo el filtro, ir a "SEXO" y filtrar solo F
Manteniendo el filtro, "FECHA_ULTIMA_VISITA_EFECTIVA",  Seleccionado las visitas de los ultimos tres meses </t>
  </si>
  <si>
    <t>Mujeres entre 50 a 69 años</t>
  </si>
  <si>
    <t>25.73%</t>
  </si>
  <si>
    <t>RPYMS525X</t>
  </si>
  <si>
    <t>Porcentaje de canalización efectiva al programa de detección temprana de cancer de colon desde la VPS</t>
  </si>
  <si>
    <t>Afiliados residentes en territorios con MGE entre 50 a 75 años tamizadas con SOMFI posterior a la VPS</t>
  </si>
  <si>
    <t>Tamizaje Cáncer de Colon y Recto</t>
  </si>
  <si>
    <t xml:space="preserve">Total de población de 50 a 75 años, que registran VPS en el periodo a evaluar, y que no cuentan con tamizaje vigente al mes evaluado
</t>
  </si>
  <si>
    <t>Resolucion 202:
1.Variable: 67 Fecha valida mayor o igual a la fecha de la visita
2.Modulo colorectal 
3.RIPS-CUPS 907009
Nota: Dentro de la definición de metodología de evaluación de los indicadores de Modelo se tiene contemplada la evaluación de las actividades realizadas a los usuarios, por ende, lo que se debe tener en cuenta para el numerador en ambos casos es una fecha de toma valida, sin importar el resultado. Por esta razón para nuestros indicadores si se tiene en cuenta la fuente RIPS, por lo que solicitamos se incluya para la correcta medición.</t>
  </si>
  <si>
    <r>
      <t xml:space="preserve">1- Base poblacion actual- poblacion general -activa al momento de la visita
2- Archivo de visitas,  cualquier tipo de visita efectiva
</t>
    </r>
    <r>
      <rPr>
        <i/>
        <sz val="10"/>
        <color theme="1"/>
        <rFont val="Calibri Light"/>
        <family val="2"/>
        <scheme val="major"/>
      </rPr>
      <t>Nota: Se excluyen los que tienen esquema al dia tamizaje para DT de colon y recto (SOMF)</t>
    </r>
  </si>
  <si>
    <t>1- Poblacion actual "Mujeres 50 a 69 años" - activa- Aplica para los dos regimenes con realzacion de la actividad</t>
  </si>
  <si>
    <t xml:space="preserve">1- Poblacion actual "Hombres y Mujeres 50 a 75 años", que recibieron VPS
</t>
  </si>
  <si>
    <t>Excluir los usuarios que cumplen cobertura antes de la fecha de VPS, con el esquema definido, de acuerdo a la prueba utilizada:</t>
  </si>
  <si>
    <t>Ninguna</t>
  </si>
  <si>
    <t>Ir a la variable "FECHA_ SOMFI_DESPUES_VISITA" y fitrar las fechas</t>
  </si>
  <si>
    <t>Variable "FECHA_ULTIMA_VISITA_EFECTIVA"  filtrar todas las fechas
Manteniendo el fitro, ir a la variabl "EDAD_A" teniendo en cuenta desde 50 a 75</t>
  </si>
  <si>
    <t>Hombres y mujeres entre los 50 y 75 años</t>
  </si>
  <si>
    <t>9.32%</t>
  </si>
  <si>
    <t>RPYMS526X</t>
  </si>
  <si>
    <t>Porcentaje de canalización efectiva para el tamizaje en cancer de prostatá  desde la VPS</t>
  </si>
  <si>
    <t>Porcentaje afiliados residentes en territorios con MGE de 50 a 75 años con tamizaje de próstata con PSA o Tacto rectal posterior a la VPS</t>
  </si>
  <si>
    <t>Tamizaje Cáncer de Próstata</t>
  </si>
  <si>
    <t>Total de hombres entre 50 y 75 años, que registran VPS en el periodo a evaluar, y que no cuentan con tamizaje vigente al mes evaluado</t>
  </si>
  <si>
    <t>1- Resolución 202: Variable 64: "Fecha de toma de tacto rectal" opción (fecha valida)
2- Modulo de gestión:
3- RIPS: TACTO RECTAL (opción fecha valida)
4-Resolucion 202: Variable 73: "Fecha de toma de PSA" opción (fecha valida)
5- RIPS: PSA (opcion fecha valida)
Nota: Dentro de la definición de metodología de evaluación de los indicadores de Modelo se tiene contemplada la evaluación de las actividades realizadas a los usuarios, por ende, lo que se debe tener en cuenta para el numerador en ambos casos es una fecha de toma valida, sin importar el resultado. Por esta razón para nuestros indicadores si se tiene en cuenta la fuente RIPS, por lo que solicitamos se incluya para la correcta medición.</t>
  </si>
  <si>
    <r>
      <t xml:space="preserve">1-Base poblacion actual- poblacion activa al  momento de la visita, 
2- Formato Visitas, variables: "Tipo de visita" opción (cualquier tipo de visita" ----- "Clasificación de la visita" (efectiva)
</t>
    </r>
    <r>
      <rPr>
        <i/>
        <sz val="10"/>
        <color theme="1"/>
        <rFont val="Calibri Light"/>
        <family val="2"/>
        <scheme val="major"/>
      </rPr>
      <t>Nota: Se excluyen los que tienen esquema al dia</t>
    </r>
  </si>
  <si>
    <t>1- Poblacion actual "Hombres 50 a 75 años" - activo - en los regimenes Contributivo  y Subsidiado  con realizacion de la actividad</t>
  </si>
  <si>
    <t>1- Poblacion actual "Hombres 50 a 75 años" - activo, que recibieron VPS</t>
  </si>
  <si>
    <t>Excluir los usuarios que cumplen cobertura antes de la fecha de VPS, con el esquema definido, de acuerdo a la prueba utilizada:
1. PSA: 5 años atrás incluyendo el mes evaluado.
2. Tacto Rectal: 5 años atrás incluyendo el mes evaluado.</t>
  </si>
  <si>
    <t>ir a variable "FECHA_ PSA_TACTORECTAL_DESPUES_VISITA " filtrar las fechas</t>
  </si>
  <si>
    <t xml:space="preserve">Ir a variable "EDAD_A" filtrando desde 50 a 75.
Manteniendo el filtro, ir a "SEXO" y filtrar solo M
Manteniendo el filtro, "FECHA_ULTIMA_VISITA_EFECTIVA",  Seleccionado las visitas de los ultimos tres meses </t>
  </si>
  <si>
    <t>Hombres entre los 50 y 75 años</t>
  </si>
  <si>
    <t>13.72%</t>
  </si>
  <si>
    <t>RPYMS527X</t>
  </si>
  <si>
    <t>Porcentaje de canalización efectiva de mujeres en edad fertil a asesoria de planificación familiar  desde la VPS</t>
  </si>
  <si>
    <r>
      <rPr>
        <sz val="10"/>
        <color rgb="FF000000"/>
        <rFont val="Calibri Light"/>
        <family val="2"/>
        <scheme val="major"/>
      </rPr>
      <t xml:space="preserve">Porcentaje de mujeres en los territorios en donde hay MGE de 13 a 49 años con asesoria en planificacion familiar </t>
    </r>
    <r>
      <rPr>
        <sz val="10"/>
        <color rgb="FFFF0000"/>
        <rFont val="Calibri Light"/>
        <family val="2"/>
        <scheme val="major"/>
      </rPr>
      <t xml:space="preserve">igual o </t>
    </r>
    <r>
      <rPr>
        <sz val="10"/>
        <color rgb="FF000000"/>
        <rFont val="Calibri Light"/>
        <family val="2"/>
        <scheme val="major"/>
      </rPr>
      <t>posterior a la VPS</t>
    </r>
  </si>
  <si>
    <t>Asesoria en anticoncepción</t>
  </si>
  <si>
    <t>Y que registran asesoria en planificación familiar y/o suministro de metodo,  en los siguientes 3 meses,  (90 días), posterior o igual a la fecha de la VPS.</t>
  </si>
  <si>
    <t>Numero de mujeres entre 13 a 49 años, que registran VPS en el periodo a evaluar, y que no cuentan con asesoria y/o suministro vigente al mes evaluado</t>
  </si>
  <si>
    <t>1- RIPS: 
* CUPS con Finalidad 3 o CUPS con CIE-10 Z300, Z304, Z308; Z309
89.0.2.01 (consulta de primera vez por medicina general)
89.0.3.01 (Consulta de control o seguimiento por medicina general)
89.0.2.83 (consulta de primera vez por especialista en pediatría)
89.0.3.83 (Consulta de control o seguimiento por especialista en pediatría)
89.02.50 (consulta de primera vez por especialista en ginecología y obstetricia)
89.03.50 (consulta de control o seguimiento por especialista en ginecología y obstetricia)
89.0.2.63 (consulta de primera vez por especialista en medicina familiar)
89.0.3.63 (Consulta de control o seguimiento por especialista en medicina familiar)
89.0.2.05 (Consulta de primera vez por enfermería)
89.0.3.05 (Consulta de control o de seguimiento por enfermería)
* Res 2275 CUPS con Finalidad 19 o CUPS con CIE-10 Z300, Z304, Z308; Z309
89.0.2.01 (consulta de primera vez por medicina general)
89.0.3.01 (Consulta de control o seguimiento por medicina general)
89.0.2.83 (consulta de primera vez por especialista en pediatría)
89.0.3.83 (Consulta de control o seguimiento por especialista en pediatría)
89.02.50 (consulta de primera vez por especialista en ginecología y obstetricia)
89.03.50 (consulta de control o seguimiento por especialista en ginecología y obstetricia)
89.0.2.63 (consulta de primera vez por especialista en medicina familiar)
89.0.3.63 (Consulta de control o seguimiento por especialista en medicina familiar)
89.0.2.05 (Consulta de primera vez por enfermería)
89.0.3.05 (Consulta de control o de seguimiento por enfermería)
2- Res 202 Variable 53 - fecha válida (mas antigua)</t>
  </si>
  <si>
    <r>
      <rPr>
        <sz val="10"/>
        <color rgb="FF000000"/>
        <rFont val="Calibri Light"/>
        <family val="2"/>
        <scheme val="major"/>
      </rPr>
      <t xml:space="preserve">1. Base de poblacion actual 
2. Archivo de visitas - Variables : Tipos de visita "cualquier tipo de visita" - Clasificación de la visita "efectiva"
</t>
    </r>
    <r>
      <rPr>
        <sz val="10"/>
        <color rgb="FFFF0000"/>
        <rFont val="Calibri Light"/>
        <family val="2"/>
        <scheme val="major"/>
      </rPr>
      <t>3- Carga de Archivos &gt; MGE &gt; ACS &gt; Visitas ACS, variables: "Tipo de visita" opción (cualquier tipo de visita) -- "Clasificación de la visita" (efectiva).</t>
    </r>
  </si>
  <si>
    <t xml:space="preserve">Población actual-  activas
Mujeres de 13 a 49 años 
con realizacion de la actividad
</t>
  </si>
  <si>
    <r>
      <rPr>
        <sz val="10"/>
        <color rgb="FF000000"/>
        <rFont val="Calibri Light"/>
        <family val="2"/>
        <scheme val="major"/>
      </rPr>
      <t xml:space="preserve">Población actual-  activas, que recibieron VPS </t>
    </r>
    <r>
      <rPr>
        <sz val="10"/>
        <color rgb="FFFF0000"/>
        <rFont val="Calibri Light"/>
        <family val="2"/>
        <scheme val="major"/>
      </rPr>
      <t xml:space="preserve">efectiva
</t>
    </r>
    <r>
      <rPr>
        <sz val="10"/>
        <color rgb="FF000000"/>
        <rFont val="Calibri Light"/>
        <family val="2"/>
        <scheme val="major"/>
      </rPr>
      <t xml:space="preserve">Mujeres de 13 a 49 años en los regimenes Contributivo  y Subsidiado
</t>
    </r>
  </si>
  <si>
    <t>1- Excluir las usuarias que tienen fecha de asesoria valida y o suministro de método, hasta 1 año antes de la fecha de VPS, 
2- Se excluyen las mujeres con:
* Infertilidad 
* Histerectomía total (CUPS Histerectomía: 680100, 684000, 684001, 684010, 684020, 684100, 684101, 685110, 685120, 685130, 686100, 687000)
* Pomeroy o esterilización
* Excluir lo que se capture por RIPS con los códigos de "Infertilidad", "esterilización", "histerectomía" cargadas mensualmente por adicionales</t>
  </si>
  <si>
    <t xml:space="preserve">FECHA_ ASESORIA_PF_DESPUES_VISITA </t>
  </si>
  <si>
    <t xml:space="preserve">Ir a variable "EDAD_A" filtrando desde 13 a 49.
Manteniendo el filtro, ir a "SEXO" y filtrar solo F
Manteniendo el filtro, "FECHA_ULTIMA_VISITA_EFECTIVA",  Seleccionado las visitas de los ultimos tres meses </t>
  </si>
  <si>
    <t>Mujeres de 13 a 49 años</t>
  </si>
  <si>
    <t>17.73%</t>
  </si>
  <si>
    <t>RPYMS528X</t>
  </si>
  <si>
    <t>Porcentaje de canalización efectiva  a tercera dosis de pentavalente  desde la VPS</t>
  </si>
  <si>
    <t>1. SIGIRES Modulo de gestion de casos -opción "vacunacion - menor de 6" - vacuna trazadora pentavalente 3 dosis y  cumple trazadora "Si"</t>
  </si>
  <si>
    <t>1- Excluir los usuarios que tienen la vacuna de tercera de pentavalenteida antes de la fecha de VPS</t>
  </si>
  <si>
    <t>ir a variable "FECHA_TERCERA_PENTA_DESPUES_VISITA" filtrar las fechas</t>
  </si>
  <si>
    <t xml:space="preserve">Ir a variable "EDAD_A" filtrando desde 0 a 5.
Manteniendo el filtro, "FECHA_ULTIMA_VISITA_EFECTIVA",  Seleccionado las visitas de los ultimos tres meses </t>
  </si>
  <si>
    <t>Menores de 5 a 11 meses y  29 dias</t>
  </si>
  <si>
    <t>1.04%</t>
  </si>
  <si>
    <t>RPYMS33X</t>
  </si>
  <si>
    <t>Cumplimiento en la consulta de valoración de la salud bucal en el año</t>
  </si>
  <si>
    <t>Personas mayores de 6 meses que registran valoración de salud bucal en el año</t>
  </si>
  <si>
    <t>Población de 6 meses y más; dividido en 12 multiplicado por mes a evaluar, que registra consulta de odontologia en el año vigente</t>
  </si>
  <si>
    <t>1- RIPS: CUPS: 890203 (Consulta primera vez)
2- Res 202 Variable 76: Fecha Valida</t>
  </si>
  <si>
    <t>Consulta de odontología 
Año vigente
edad consulta: mayor o igual a 6 meses de edad.</t>
  </si>
  <si>
    <t>Total de población de 6 meses y más. activa y nueva
Dividido en 12 multiplicado por mes a evaluar</t>
  </si>
  <si>
    <t>el CUPS 890303 NO APLICA por ser consulta de control</t>
  </si>
  <si>
    <t>se mantiene la meta por linea de base NEPS con el CUPS 890203 que aplica para este indicador, con linea base del 20,6% corte deptiembre 2024</t>
  </si>
  <si>
    <t>890203</t>
  </si>
  <si>
    <t>28.84%</t>
  </si>
  <si>
    <t>RPYMS30aX</t>
  </si>
  <si>
    <t>Cobertura aplicación de flúor en barniz (esquema completo)</t>
  </si>
  <si>
    <t xml:space="preserve">Proporción de personas de 1 a 17 años que registran aplicación de flúor en barniz 2 veces en los últimos 12 meses (Esquema de topicación) </t>
  </si>
  <si>
    <t>Flúor</t>
  </si>
  <si>
    <t xml:space="preserve">Total de población de 1 a 17 años.
</t>
  </si>
  <si>
    <t>1- RIPS: CUPS 997106 (Topicación de flúor en barniz)</t>
  </si>
  <si>
    <t xml:space="preserve">
Aplicación de flúor en barniz  2 veces en el ultimo año (diferencia mínima de 3 meses y maximo de 6 meses entre dosis)
personas de 1 a 17 años</t>
  </si>
  <si>
    <t>Población actual al mes a evaluar activos y nuevos
1 a 17 años</t>
  </si>
  <si>
    <t>Pasa de ser informativo a evaluativo</t>
  </si>
  <si>
    <t>997106</t>
  </si>
  <si>
    <t>6.68%</t>
  </si>
  <si>
    <t>9.26%</t>
  </si>
  <si>
    <t>RPYMS36X</t>
  </si>
  <si>
    <t>Proporción de mujeres con asesoría en anticoncepción - primera vez</t>
  </si>
  <si>
    <t>Proporción de mujeres de 13 a 49 años con asesoría en planificación familiar alguna vez en la vida</t>
  </si>
  <si>
    <t>Número de mujeres
Recibieron consulta de asesoría en anticoncepción de primera vez por medicina general, medicina familiar, de enfermería, de ginecología
Edad a la consulta 13 a 49 años.</t>
  </si>
  <si>
    <t>1- RIPS: 
* CUPS con Finalidad 3 o CUPS con CIE-10 Z300, Z304, Z308; Z309
89.0.2.01 (consulta de primera vez por medicina general)
89.0.3.01 (Consulta de control o seguimiento por medicina general)
89.0.2.83 (consulta de primera vez por especialista en pediatría)
89.0.3.83 (Consulta de control o seguimiento por especialista en pediatría)
89.02.50 (consulta de primera vez por especialista en ginecología y obstetricia)
89.03.50 (consulta de control o seguimiento por especialista en ginecología y obstetricia)
89.0.2.63 (consulta de primera vez por especialista en medicina familiar)
89.0.3.63 (Consulta de control o seguimiento por especialista en medicina familiar)
89.0.2.05 (Consulta de primera vez por enfermería)
89.0.3.05 (Consulta de control o de seguimiento por enfermería)
* Res 2275 CUPS con Finalidad 19 o CUPS con CIE-10 Z300, Z304, Z308; Z309
89.0.2.01 (consulta de primera vez por medicina general)
89.0.3.01 (Consulta de control o seguimiento por medicina general)
89.0.2.83 (consulta de primera vez por especialista en pediatría)
89.0.3.83 (Consulta de control o seguimiento por especialista en pediatría)
89.02.50 (consulta de primera vez por especialista en ginecología y obstetricia)
89.03.50 (consulta de control o seguimiento por especialista en ginecología y obstetricia)
89.0.2.63 (consulta de primera vez por especialista en medicina familiar)
89.0.3.63 (Consulta de control o seguimiento por especialista en medicina familiar)
89.0.2.05 (Consulta de primera vez por enfermería)
89.0.3.05 (Consulta de control o de seguimiento por enfermería)
2- Res 202 Variable 53 - fecha válida (mas antigua)</t>
  </si>
  <si>
    <t>BASE DE DATOS DE AFILIACIONES
COHORTE MEF
(CIERRE MES)</t>
  </si>
  <si>
    <t xml:space="preserve">Mujeres del denominador
Registro de consulta de planificación familiar </t>
  </si>
  <si>
    <t xml:space="preserve">Variable:
Población al mes a evaluar activos y nuevos
Mujeres en edad fértil 
13 a 49 años
</t>
  </si>
  <si>
    <t>Se excluyen las usuarias con:
* Histerectomía total
* Infertilidad
* Pomeroy (ver población a exonerar en FPSS) Archivo. 
*Menopausia
Ir exonerando lo que se capture por RIPS con los códigos, de acuerdo a listado anexo hoja de este archivo denominado "Infertilidad" y "Menopausias" cargadas mensualmente por adicionales</t>
  </si>
  <si>
    <t>Se excluyen las usuarias con:
* Histerectomía total
* Infertilidad
* Pomeroy (ver población a exonerar en FPSS) Archivo. 
*Menopausia
Ir exonerando lo que se capture por RIPS con los códigos, de acuerdo a listado anexo hoja de este archivo denominado "Infertilidad" y "Menopausias" cargadas mensualmente por adicionales</t>
  </si>
  <si>
    <t>Cohorte Planificación familiar general
1. Calcular edad a corte del periodo evaluar. Formula: =sifecha(FechaNacimiento;FechaCorte;"y")
2. Filtrar sexo "F"
3. Filtrar edad de 13 a 49 años
4. Calcular edad a corte de la consulta mas reciente de planificación familiar. Formula: =sifecha(FechaNacimiento;Fechaconsulta;"y")
5. Filtrar edad al momento de la consulta de 13 a 49 años
6. En la columna "Histerectomia" filtrar las usuarias con registro "NO"
7. En la columna "Esterilización" filtrar las usuarias con registro "NO"
8. En la columna "Infertilidad" filtrar las usuarias con registro "NO"</t>
  </si>
  <si>
    <t>Cohorte MEF
1. Calcular edad a corte del periodo evaluar. Formula: =sifecha(FechaNacimiento;FechaCorte;"y")
2. Filtrar edad de 13 a 49 años
3. En la columna "Histerectomia" filtrar las usuarias con registro "NO"
4. En la columna "Esterilización" filtrar las usuarias con registro "NO"
5. En la columna "Infertilidad" filtrar las usuarias con registro "NO"</t>
  </si>
  <si>
    <t>53.68%</t>
  </si>
  <si>
    <t>57.41%</t>
  </si>
  <si>
    <t>12/12/2025 Sin modificación  30/04/2025 Se incluye cohorte de MEF como fuente en denominador.  31/03/2025 Se actualiza a ultima Resolución de Cups 2275/2023 en variable fuente.  05/03/2025 Se ajusta población del numerador y denominador.  9/12/2024: Se deja evaluativo, al ser reportado en la orden 3 de la intervención forzosa administrativa, Lesly.</t>
  </si>
  <si>
    <t>RPYMS39X</t>
  </si>
  <si>
    <t>Proporción de mujeres con asesoría en anticoncepción - control</t>
  </si>
  <si>
    <t>Proporción de mujeres de 13 a 49 años con asesoría en planificación familiar en los últimos 12 meses</t>
  </si>
  <si>
    <t>Recibieron con consulta de asesoría en anticoncepción de primera vez o control por medicina general, medicina familiar, de enfermería, de ginecología
Últimos 12 meses incluyendo el mes evaluado
Edad a la consulta 13 a 49 años.</t>
  </si>
  <si>
    <t>Mujeres del denominador 
Registro de consulta de planificación familiar en los últimos 12 meses incluyendo el mes a evaluar</t>
  </si>
  <si>
    <t xml:space="preserve">Variable:
Población actual al mes a evaluar activos y nuevos
Mujeres en edad fértil 
13 a 49 años
</t>
  </si>
  <si>
    <t>Cohorte Planificación familiar general
1. Calcular edad a corte del periodo evaluar. Formula: =sifecha(FechaNacimiento;FechaCorte;"y")
2. Filtrar sexo "F"
3. Filtrar edad de 13 a 49 años
4. Calcular edad a corte de la consulta mas reciente de planificación familiar. Formula: =sifecha(FechaNacimiento;Fechaconsulta;"y")
5. Filtrar edad al momento de la consulta de 13 a 49 años
6. En la columna fecha de consulta mas reciente de planificación familiar, filtrar consulta 12 meses atras
7. En la columna "Histerectomia" filtrar las usuarias con registro "NO"
8. En la columna "Esterilización" filtrar las usuarias con registro "NO"
9. En la columna "Infertilidad" filtrar las usuarias con registro "NO"</t>
  </si>
  <si>
    <t>28.39%</t>
  </si>
  <si>
    <t>28.92%</t>
  </si>
  <si>
    <t>12/12/2025 Sin modificación  30/04/2025 Se incluye cohorte de MEF como fuente en denominador.  31/03/2025 Se actualiza a ultima Resolución de Cups 2275/2023 en variable fuente.  05/03/2025 Se ajusta población del numerador y denominador, Se ajusta puntaje.  09/12/2024: Por línea de base se ajusta meta general y especial de 30% a 35% ; se ajsuta puntaje.</t>
  </si>
  <si>
    <t>RPYMS103X</t>
  </si>
  <si>
    <t>Proporción de personas con ITS a quien se entrega preservativos</t>
  </si>
  <si>
    <t>Proporción de personas de 10 años y mas con diagnóstico de ITS, que reporta suministro de preservativos en los últimos 12 meses.</t>
  </si>
  <si>
    <t>Número de usuarios con ITS &gt;=10 Años
Reporte de suministro de preservativos
*Al menos un suministro 12 meses hacia atrás, incluido el mes evaluado.
* Fecha suministro posterior o igual al ultimo diagnostico reportado</t>
  </si>
  <si>
    <t xml:space="preserve">Total de usuarios con ITS
Edad a la fecha de corte &gt;=10 años
</t>
  </si>
  <si>
    <t>1- Datos adicionales: "PRESERVATIVOS"
2- Res 202 
  Variable 55: últimos 12 meses
  Variable 54: 2-4-6-8-10-12-14-15</t>
  </si>
  <si>
    <t xml:space="preserve">1- RIPS. CIE 10:
Permanencia 6 meses (a partir del ultimo CIE10 reportado):
A510, A511, A512, A513, A514, A515, A519, A528, A529, A530, A539, A540, A541, A546, A548, A549, A55X, A560, A561, A562, A563, A568, A57X, A58X, A590, A598, A599, A630, A638, A64X, B160, B161, B162, B169, B170.
Permanente:
B24X, B200, B201, B202, B203, B204, B205, B206, B207, B208, B209, B210, B211, B212, B213, B217, B218, B219, B220, B221, B222, B227, B230, B231, B232, B238.
2 - BASE DE COHORTE PATOLOGIAS:
Permanente: EV09
</t>
  </si>
  <si>
    <t>12 meses hacia atrás, incluido el mes evaluado</t>
  </si>
  <si>
    <t>Toda la vida para pacientes con VIH y otras ITS solo 6 meses</t>
  </si>
  <si>
    <t>Población del denominador 
Registro de suministro de preservativos en los últimos 12 meses</t>
  </si>
  <si>
    <t>Variable:
Población &gt;= 10 años al mes a evaluar activos y nuevos
Usuarios con el diagnostico de ITS (según permanencia)</t>
  </si>
  <si>
    <t>Todo lo que cumpla en el numerador debe estar incluido en denominador.
Usuarios ya diagnosticados con ITS (No tamizajes).</t>
  </si>
  <si>
    <t>Cohorte ITS
1. Calcular edad a corte del periodo evaluar. Formula: =sifecha(FechaNacimiento;FechaCorte;"y")
2. Filtrar población &gt;=10 años
3. Validar fecha de diagnostico &lt;= 6 meses para los diagnosticos: A510, A511, A512, A513, A514, A515, A519, A528, A529, A530, A539, A540, A541, A546, A548, A549, A55X, A560, A561, A562, A563, A568, A57X, A58X, A590, A598, A599, A630, A638, A64X, B160, B161, B162, B169, B170.
4. Validar fecha de diagnostico toda la vida para los diagnosticos: B24X, B200, B201, B202, B203, B204, B205, B206, B207, B208, B209, B210, B211, B212, B213, B217, B218, B219, B220, B221, B222, B227, B230, B231, B232, B238.
5. En la columna "Fecha de suministro Preservativos" filtrar suministro hasta 12 meses atras</t>
  </si>
  <si>
    <t>Cohorte ITS
1. Calcular edad a corte del periodo evaluar. Formula: =sifecha(FechaNacimiento;FechaCorte;"y")
2. Filtrar población &gt;=10 años
3. Validar fecha de diagnostico &lt;= 6 meses para los diagnosticos: A510, A511, A512, A513, A514, A515, A519, A528, A529, A530, A539, A540, A541, A546, A548, A549, A55X, A560, A561, A562, A563, A568, A57X, A58X, A590, A598, A599, A630, A638, A64X, B160, B161, B162, B169, B170.
4. Validar fecha de diagnostico toda la vida para los diagnosticos: B24X, B200, B201, B202, B203, B204, B205, B206, B207, B208, B209, B210, B211, B212, B213, B217, B218, B219, B220, B221, B222, B227, B230, B231, B232, B238.</t>
  </si>
  <si>
    <t>cohorte ITS</t>
  </si>
  <si>
    <t>49.4%</t>
  </si>
  <si>
    <t>32.92%</t>
  </si>
  <si>
    <t xml:space="preserve">12/12/2025 Sin modificación  05/03/2025 Se ajusta definición del denominador, periodo del denominador, población del numerador y denominador, se complementa observación del indicador.  09/12/2024: Por línea de base se ajusta meta general y especial de 50% a 55% </t>
  </si>
  <si>
    <t>RPYMS89X</t>
  </si>
  <si>
    <t>Cobertura para tamización de Hepatitis C</t>
  </si>
  <si>
    <t>Proporción de personas de 50 años o mas que registran fecha de toma y resultado de Hepatitis C en algún momento de la vida</t>
  </si>
  <si>
    <t>Número de personas de 50 años y más afiliados a Nueva EPS
Registro toma  y resultado de prueba de Hepatitis C</t>
  </si>
  <si>
    <t xml:space="preserve">Total de población de 50 años y mas
</t>
  </si>
  <si>
    <t>1- Res 202: Variable 110 fecha válida - Variable 42 Opción 4 y 5</t>
  </si>
  <si>
    <t>50 años y más
Registro de tamización para Hepatitis C</t>
  </si>
  <si>
    <t xml:space="preserve">Población al mes a evaluar activos y nuevos 
50 años y más
 </t>
  </si>
  <si>
    <t>Cohorte Adultez/Vejez (Realizar los filtros en cada cohorte)
1. Calcular edad a corte del periodo evaluar. Formula: =sifecha(FechaNacimiento;FechaCorte;"y")
2. En la columna edad filtrar población mayor de 50 años
3. En la columna Fecha de tamizaje para Hepatitis C, filtrar tamizajes realizados
4. En la columna Resultado tamizaje para Hepatitis C, filtrar tamizajes con resultados
5. Sumar resultado de cada cohorte para obtener dato general</t>
  </si>
  <si>
    <t xml:space="preserve">Población actual
1. En la columna edad filtrar población mayor o igual a 50 años
</t>
  </si>
  <si>
    <t>Adultez
Vejez</t>
  </si>
  <si>
    <t>14.97%</t>
  </si>
  <si>
    <t>19.89%</t>
  </si>
  <si>
    <t>12/12/2025 Sin modificación  9/12/2024 Se ajusta meta por línea de base pasando de 15% a 20% en general, especial de 10 a 15%, Lesly.</t>
  </si>
  <si>
    <t>RPYMS158X</t>
  </si>
  <si>
    <t>Cumplimiento en la tamización de Hepatitis C en el año</t>
  </si>
  <si>
    <r>
      <rPr>
        <strike/>
        <sz val="10"/>
        <color theme="1"/>
        <rFont val="Calibri Light"/>
        <family val="2"/>
        <scheme val="major"/>
      </rPr>
      <t>P</t>
    </r>
    <r>
      <rPr>
        <sz val="10"/>
        <color theme="1"/>
        <rFont val="Calibri Light"/>
        <family val="2"/>
        <scheme val="major"/>
      </rPr>
      <t>ersonas de 50 años o mas que registran fecha de toma y resultado de Hepatitis C en el año</t>
    </r>
  </si>
  <si>
    <t>Número de personas de 50 años y más afiliados a Nueva EPS
Registro toma  y resultado de prueba de Hepatitis C
año vigente</t>
  </si>
  <si>
    <t>Total de población de 50 años y mas
que no registra toma de Hepatitis C en años previos
Dividido en 12 multiplicado por el mes a evaluar</t>
  </si>
  <si>
    <t>1- Res 202: Variable 110 fecha válida
Variable 42 Opción 4 y 5</t>
  </si>
  <si>
    <t>Población al mes a evaluar activos y nuevos 
50 años y más
dividido en 12 multiplicado por el mes a evaluar</t>
  </si>
  <si>
    <t>Cohorte Adultez/Vejez (Realizar los filtros en cada cohorte)
1. Calcular edad a corte del periodo evaluar. Formula: =sifecha(FechaNacimiento;FechaCorte;"y")
2. En la columna Fecha de tamizaje para Hepatitis C, filtrar tamizajes realizados en año vigente
3. En la columna Resultado tamizaje para Hepatitis C, filtrar tamizajes con resultados
4. Sumar resultado de cada cohorte para obtener dato general</t>
  </si>
  <si>
    <t>Cohorte Adultez/Vejez (Realizar los filtros en cada cohorte)
1. Calcular edad a corte del periodo evaluar. Formula: =sifecha(FechaNacimiento;FechaCorte;"y")
2. En la columna Fecha de tamizaje para Hepatitis C, excluir las tamizaciones anteriores
3. Sumar resultado de cada cohorte para obtener dato general</t>
  </si>
  <si>
    <t>8.41%</t>
  </si>
  <si>
    <t>12/12/2025 Sin modificación  5/03/2025 Se ajusta definición operacional y población denominador.  09/12/2024: Por línea de base Se ajusta meta pasando de 10% a 15% en general, especial de 8% a 10%; se ajsuta puntaje.</t>
  </si>
  <si>
    <t>RPYMS345X</t>
  </si>
  <si>
    <t>Proporción de personas con resultado reactivo en prueba de tamización para hepatitis C, que tienen valoración medica posterior</t>
  </si>
  <si>
    <t>Proporción de personas con resultado reactivo en prueba de tamización para hepatitis C, que tienen valoración medica posterior (incluye los siguientes 3 meses posterior a la emisión del resultado de la prueba alterada)</t>
  </si>
  <si>
    <t>Valoración médica</t>
  </si>
  <si>
    <t>Numero de personas con prueba de Hepatitis C
Resultado: 4 -Reactivo
con valoracion por medicina o especialista posterior o igual  a tamizaje (maximo 3 meses posterior a la prueba)</t>
  </si>
  <si>
    <t>Numero de personas con prueba de Hepatitis C
Resultado: 4 -Reactivo
ultimos 12 meses</t>
  </si>
  <si>
    <t>1- RIPS. 
* CUPS: MEDICINA 
890201 (consulta de primera vez por medicina general)
890301 (Consulta de control o seguimiento por medicina general)
890263 (consulta de primera vez por especialista en medicina familiar)
890363 (Consulta de control o seguimiento por especialista en medicina familiar).
890254 (consulta de primera vez por especialista en infectologia)
890354 (Consulta de control o seguimiento por especialista en infectologia)
890246	CONSULTA DE PRIMERA VEZ POR ESPECIALISTA EN GASTROENTEROLOGIA
890346	CONSULTA DE CONTROL O DE SEGUIMIENTO POR ESPECIALISTA EN GASTROENTEROLOGIA
890266	CONSULTA DE PRIMERA VEZ POR ESPECIALISTA EN MEDICINA INTERNA
890366	CONSULTA DE CONTROL O DE SEGUIMIENTO POR ESPECIALISTA EN MEDICINA INTERNA</t>
  </si>
  <si>
    <t>1- Res 202: Variable 110 fecha válida
Variable 42 Opción  4 -Reactivo</t>
  </si>
  <si>
    <t>Cursos de vida:  adultez y vejez.</t>
  </si>
  <si>
    <t>61.27%</t>
  </si>
  <si>
    <t>15/12/2025: se modifica meta y puntaje, eyav// 12/12/2025 Sin modificación  5/03/2025 Se ajusta la cohorte para validar.  09/12/2024: Por línea de base Se ajusta meta pasando de 70% a 75% en general, especial de 60% a 65%</t>
  </si>
  <si>
    <t>RPYMS157X</t>
  </si>
  <si>
    <t>Cobertura en la realización de la tamización para VIH</t>
  </si>
  <si>
    <t>Proporción de personas de 12 años o mas que registran fecha de toma y resultado de VIH en algún momento de la vida</t>
  </si>
  <si>
    <t>Numero de personas de 12 años y mas 
Reporte Toma y Resultado de Tamización para VIH</t>
  </si>
  <si>
    <t>1- Res 202
Variable 82 fecha válida (año vigente)
Variable 83 opción 4 - 5 - (4505: 1 - 2)</t>
  </si>
  <si>
    <t>12 años y más
Registro de tamización para VIH
Año vigente</t>
  </si>
  <si>
    <t xml:space="preserve">Población actual al mes a evaluar activos y nuevos
12 años y más
</t>
  </si>
  <si>
    <t>INFORME CAC 2020: La incidencia cruda del VIH fue de 25,36 por 100.000 habitantes y al ajustarla por la edad fue de 25,15 por 100.000 habitantes (IC 95% 24,72-25,60). Al compararla por el sexo, se muestra una mayor incidencia en los hombres, con una incidencia ajustada de 41,42 por 100.000 habitantes (IC 95% 40,63-42,22) (tabla 19). No se calculó la incidencia en el grupo de intersexuales, dado que no se cuenta con el denominador de esta población; se reportaron 5 casos nuevos de este grupo en el periodo</t>
  </si>
  <si>
    <t>Cohorte Adolescencia/Juventud/Adultez/Vejez (Realizar los filtros en cada cohorte)
1. Calcular edad a corte del periodo evaluar. Formula: =sifecha(FechaNacimiento;FechaCorte;"y")
2. En la columna edad filtrar población mayor o igual a 12 años
3. En la columna Fecha de tamizaje para VIH, filtrar tamizajes realizados
4. En la columna Resultado tamizaje para VIH, filtrar tamizajes con resultados
5. Sumar resultado de cada cohorte para obtener dato general</t>
  </si>
  <si>
    <t xml:space="preserve">Población actual
1. En la columna edad filtrar población de 12 años y mas
</t>
  </si>
  <si>
    <t>Adolescencia
Juventud
Adultez
Vejez</t>
  </si>
  <si>
    <t>24.96%</t>
  </si>
  <si>
    <t>30.84%</t>
  </si>
  <si>
    <t>12/12/2025 Sin modificación09/12/2024. Se ajusta meta por línea de base, pasando de 30% a 35% en general, especial de 20% a 25%, lelsy. De acuerdo a PDSP se debe llegar en 2031 al 70%, motivo por el cual deberiamos subir 6% cada año partiendo de una linea de base del 24% en 2024, (se define subir 10 puntos), jimena /EYAV.</t>
  </si>
  <si>
    <t>RPYMS80X</t>
  </si>
  <si>
    <t>Cumplimiento en la realización de la tamización para VIH en el año</t>
  </si>
  <si>
    <t>Personas de 12 años o mas que registran fecha de toma y resultado de VIH en el año</t>
  </si>
  <si>
    <t>Reporte Toma y Resultado de Tamización para VIH
Numero de personas de 12 años y mas 
Año vigente</t>
  </si>
  <si>
    <t>Total de población de 12 años y más
Dividido en 12 y multiplicado por mes a evaluar</t>
  </si>
  <si>
    <t>Población del denominador  
Registro de tamización para VIH
Año vigente</t>
  </si>
  <si>
    <t>Población al mes a evaluar activos y nuevos
12 años y más
Dividido en 12 y multiplicado por mes a evaluar</t>
  </si>
  <si>
    <t>Cohorte Adolescencia/Jueventud/Adultez/Vejez (Realizar los filtros en cada cohorte)
1. Calcular edad a corte del periodo evaluar. Formula: =sifecha(FechaNacimiento;FechaCorte;"y")
2. En la columna Fecha de tamizaje para VIH, filtrar tamizajes realizados en año vigente
3. En la columna Resultado tamizaje para VIH, filtrar tamizajes con resultados
3. Sumar resultado de cada cohorte para obtener dato general</t>
  </si>
  <si>
    <t>Total población &gt;12 años, divido en 12 multiplicado por el mes a evaluar</t>
  </si>
  <si>
    <t>11.92%</t>
  </si>
  <si>
    <t>13.19%</t>
  </si>
  <si>
    <t xml:space="preserve">15/12/2025 Modificación de puntaje  5/03/2025 Se ajusta definición operacional y población numerador y denominador, se ajusta CUPS de descuentos.  12/02/2025 Por indicacion de la DPYMS este indicador aplica para descuentos lo que se ajusta esta celda. 09/12/2024: Por línea de base se ajusta meta general y especial de 15% a 20% </t>
  </si>
  <si>
    <t>RPYMS159X</t>
  </si>
  <si>
    <t>Cobertura de tamización de Hepatitis B</t>
  </si>
  <si>
    <t>Proporción de personas de 18 años o mas que registran fecha de toma y resultado de Hepatitis B en algún momento de la vida</t>
  </si>
  <si>
    <t>Número de personas de 18 años y más afiliados a Nueva EPS
Registro toma y Resultado de prueba de tamizaje para Hepatitis B
Edad a corte: 18 años y mas procedimiento en cualquier momento de la vida</t>
  </si>
  <si>
    <t xml:space="preserve">Total de población de 18 años y mas
</t>
  </si>
  <si>
    <t>1- Res 202
Variable 78 fecha válida 
Variable 79 opción 4 - 5  - (4505: 1 - 2)</t>
  </si>
  <si>
    <t>18 años y mas
Registro de tamización</t>
  </si>
  <si>
    <t>Población actual al mes a evaluar activos y nuevos 
18 años y más</t>
  </si>
  <si>
    <t>Cohorte Juventud/Adultez/Vejez (Realizar los filtros en cada cohorte)
1. Calcular edad a corte del periodo evaluar. Formula: =sifecha(FechaNacimiento;FechaCorte;"y")
2. En la columna edad filtrar población mayor o igual a 18 años
3. En la columna Fecha de tamizaje para Hepatitis B, filtrar tamizajes realizados
4. En la columna Resultado tamizaje para Hepatitis B, filtrar tamizajes con resultados
5. Sumar resultado de cada cohorte para obtener dato general</t>
  </si>
  <si>
    <t xml:space="preserve">Población actual
1. En la columna edad filtrar población de 18 años y mas
</t>
  </si>
  <si>
    <t>18.02%</t>
  </si>
  <si>
    <t>23.68%</t>
  </si>
  <si>
    <t>12/12/2025 Sin modificación09/12/2024: Se ajusta meta pasando de 20% a 25% en general, especial de 15% a 20%, lelsy.</t>
  </si>
  <si>
    <t>RPYMS161X</t>
  </si>
  <si>
    <t>Cobertura para tamización de Sífilis</t>
  </si>
  <si>
    <t>Proporción de personas de 18 años o mas que registran fecha de toma y resultado de tamizaje para Sifilis en algún momento de la vida</t>
  </si>
  <si>
    <t>Número de personas de 18 años y más afiliados a Nueva EPS
Registro toma y Resultado de prueba de tamizaje para Sífilis</t>
  </si>
  <si>
    <t>1 - Res 202
Variable 80 fecha válida 
Variable 81 opción 4 - 5   - (4505: 1 - 2)</t>
  </si>
  <si>
    <t>Cohorte Juventud/Adultez/Vejez (Realizar los filtros en cada cohorte)
1. Calcular edad a corte del periodo evaluar. Formula: =sifecha(FechaNacimiento;FechaCorte;"y")
2. En la columna edad filtrar población mayor o igual a 18 años
3. En la columna Fecha de tamizaje para Sifilis, filtrar tamizajes realizados
4. En la columna Resultado tamizaje para Sifilis, filtrar tamizajes con resultados
5. Sumar resultado de cada cohorte para obtener dato general</t>
  </si>
  <si>
    <t>22.96%</t>
  </si>
  <si>
    <t>12/12/2025 Sin modificación  9/12/2024 Se ajusta meta por línea de base, pasando de 20% a 35% tanto en general como especial, Lelsy</t>
  </si>
  <si>
    <t>RPYMS386X</t>
  </si>
  <si>
    <t>Cobertura de mujeres con intención reproductiva a corto plazo que reciben atención preconcepcional</t>
  </si>
  <si>
    <t>Proporción de mujeres de 15 a 49 años con posibilidad de quedar en gestación que reciben consulta preconcepcional</t>
  </si>
  <si>
    <t>Preconcepcional</t>
  </si>
  <si>
    <t>Total de Mujeres de 15 a 49 años,
Recibieron consulta de atención preconcepcional  por medicina general o  medicina familiar o de enfermería o  ginecología
En el cualquier momento de la vida
Edad a la consulta: entre 15 y 49 años.</t>
  </si>
  <si>
    <t>Total de Mujeres de 15 a 49 años, 
Excluye: Sin Esterilización, Menopausia, histerectomía o  infertilidad</t>
  </si>
  <si>
    <t>1- RIPS: 
* FInalidad "22" nueva Res ó CUPS con CIE-10: Z316, Z318, Z319
89.0.2.01 (consulta de primera vez por medicina general)
89.0.3.01 (Consulta de control o seguimiento por medicina general)
89.02.50 (consulta de primera vez por especialista en ginecología y obstetricia)
89.03.50 (consulta de control o seguimiento por especialista en ginecología y obstetricia)
89.0.2.63 (consulta de primera vez por especialista en medicina familiar)
89.0.3.63 (Consulta de control o seguimiento por especialista en medicina familiar)
89.0.2.05 (Consulta de primera vez por enfermería)
89.0.3.05 (Consulta de control o de seguimiento por enfermería)</t>
  </si>
  <si>
    <t>Registro de consulta de atención preconcepcionalen cualquier momento de la vida
Edad a la consulta entre 15 y 49 años</t>
  </si>
  <si>
    <t>Variable:
Total de Mujeres de 15 a 49 años, 
Excluye: Sin Esterilización, Menopausia, histerectomía o  infertilidad.</t>
  </si>
  <si>
    <t xml:space="preserve">NO
</t>
  </si>
  <si>
    <t xml:space="preserve">Se excluyen las usuarias con:
* Histerectomía total
* Infertilidad
* Esterilización
* Menopausia
</t>
  </si>
  <si>
    <t>Indicador Res 2364 de 2023</t>
  </si>
  <si>
    <t xml:space="preserve">Cohorte Preconcepcional
1. Calcular edad a corte del periodo evaluar. Formula: =sifecha(FechaNacimiento;FechaCorte;"y")
2. Filtrar edad 15 a 49 años
3. Calcular edad a corte de la consulta mas reciente de  preconcepcional. Formula: =sifecha(FechaNacimiento;FechaConsulta;"y")
4. Filtrar edad  a la consulta de 15 a 49 años
</t>
  </si>
  <si>
    <t xml:space="preserve">Cohorte MEF
1. Calcular edad a corte del periodo evaluar. Formula: =sifecha(FechaNacimiento;FechaCorte;"y")
2. Filtrar edad 15 a 49 años
3. En la columna "Histerectomia" filtrar las usuarias con registro "NO"
4. En la columna "Esterilización" filtrar las usuarias con registro "NO"
5. En la columna "Infertilidad" filtrar las usuarias con registro "NO"
</t>
  </si>
  <si>
    <t xml:space="preserve">Cohorte preconcepcional </t>
  </si>
  <si>
    <t>8.79%</t>
  </si>
  <si>
    <t>11.08%</t>
  </si>
  <si>
    <t>12/12/2025 Sin modificación  31/12/2024 De acuerdo al anexo 3 de la Resolucion 02717 del 2024 Ajuste UPC - la meta para ese indicador es del 25,94% y NEPS esta en el 26% se deja.   9/12/2024: Indicador informativo, sin cambios, Lesly.</t>
  </si>
  <si>
    <t>RPYMS77X</t>
  </si>
  <si>
    <t>Cumplimiento en la atención preconcepcional en el año en mujeres con intención reproductiva a corto plazo</t>
  </si>
  <si>
    <t>Mujeres de 15 a 49 años con posibilidad de quedar en gestación que reciben consulta preconcepcional</t>
  </si>
  <si>
    <t>Número de mujeres
Recibieron consulta de atención preconcepcional  por medicina general o  medicina familiar o de enfermería o  ginecología
En el año Vigente 
Edad a la consulta mayor o igual 15 años.</t>
  </si>
  <si>
    <t>Total de Mujeres de 15 a 49 años, 
incluye mujeres con método PNF posterior  a cita preconcepcional
Dividido en 12 multiplicado por mes a evaluar</t>
  </si>
  <si>
    <r>
      <t xml:space="preserve">1- RIPS: 
* FInalidad "22" nueva Res ó </t>
    </r>
    <r>
      <rPr>
        <b/>
        <sz val="10"/>
        <color theme="1"/>
        <rFont val="Calibri Light"/>
        <family val="2"/>
        <scheme val="major"/>
      </rPr>
      <t>CUPS con CIE-10: Z316, Z318, Z319</t>
    </r>
    <r>
      <rPr>
        <sz val="10"/>
        <color theme="1"/>
        <rFont val="Calibri Light"/>
        <family val="2"/>
        <scheme val="major"/>
      </rPr>
      <t xml:space="preserve">
89.0.2.01 (consulta de primera vez por medicina general)
89.0.3.01 (Consulta de control o seguimiento por medicina general)
89.02.50 (consulta de primera vez por especialista en ginecología y obstetricia)
89.03.50 (consulta de control o seguimiento por especialista en ginecología y obstetricia)
89.0.2.63 (consulta de primera vez por especialista en medicina familiar)
89.0.3.63 (Consulta de control o seguimiento por especialista en medicina familiar)
89.0.2.05 (Consulta de primera vez por enfermería)
89.0.3.05 (Consulta de control o de seguimiento por enfermería)</t>
    </r>
  </si>
  <si>
    <t>Registro de consulta de atención preconcepcional en el año vigente
Edad mayor o igual a 15 años</t>
  </si>
  <si>
    <r>
      <t xml:space="preserve">Variable:
Total de Mujeres de 15 a 49 años, 
Incluye mujeres con método PNF posterior  a cita preconcepcional
</t>
    </r>
    <r>
      <rPr>
        <strike/>
        <sz val="10"/>
        <color theme="1"/>
        <rFont val="Calibri Light"/>
        <family val="2"/>
        <scheme val="major"/>
      </rPr>
      <t xml:space="preserve">
</t>
    </r>
    <r>
      <rPr>
        <sz val="10"/>
        <color theme="1"/>
        <rFont val="Calibri Light"/>
        <family val="2"/>
        <scheme val="major"/>
      </rPr>
      <t>Dividido en 12 multiplicado por mes a evaluar</t>
    </r>
  </si>
  <si>
    <t>Se excluyen las usuarias con:
* Histerectomía total
* Infertilidad
* Esterilización
* Menopausia
* o con método planificación vigente anterior a consulta preconcepcional.</t>
  </si>
  <si>
    <t>Se excluyen las usuarias con:
* Histerectomía total
* Infertilidad
* Esterilización
* Menopausia
* o con método planificación vigente anterior a consulta preconcepcional.
Adicionalmente, se excluyen la usuarias del numerador del indicador RPYMS94</t>
  </si>
  <si>
    <t xml:space="preserve">Cohorte Preconcepcional
1. Calcular edad a corte del periodo evaluar. Formula: =sifecha(FechaNacimiento;FechaCorte;"y")
2. Filtrar edad 15 a 49 años
3. Calcular edad a corte de la consulta mas reciente de  preconcepcional. Formula: =sifecha(FechaNacimiento;FechaConsulta;"y")
4. Filtrar edad 15 a 49 años
</t>
  </si>
  <si>
    <t>Cohorte MEF
1. Calcular edad a corte del periodo evaluar. Formula: =sifecha(FechaNacimiento;FechaCorte;"y")
2. Filtrar edad 15 a 49 años
3. En la columna "Histerectomia" filtrar las usuarias con registro "NO"
4. En la columna "Esterilización" filtrar las usuarias con registro "NO"
5. En la columna "Infertilidad" filtrar las usuarias con registro "NO"
6. Excluir población del numerador RPYMS94X
7. Dividir en 12 y multiplicar por el mes a evaluar</t>
  </si>
  <si>
    <t>4.95%</t>
  </si>
  <si>
    <t>6.56%</t>
  </si>
  <si>
    <t>12/12/2025 Sin modificación  30/04/2025 Se modifica fuente del denominador y exclusiones del numerador.  05/03/2025 Se ajusta nombre del indicador, definición operacional, definición del denominador, población del denominador, exclusiones del numerador y denominador, y por aval de la jefe Elsa de modifica metas para General y Especial.  09/12/2024. AJUSTA - FUENTE POR INCLUSION DE NUEVA FINALIDAD (Res1036 de 2022). Atencion para el cuidado preconcepcional Finalidad 22; se modifica meta Nany</t>
  </si>
  <si>
    <t>RPYMS172X</t>
  </si>
  <si>
    <t>Porcentaje de usuarias gestantes con consulta preconcepcional</t>
  </si>
  <si>
    <t>Proporción de gestantes que registran atención preconcepcional</t>
  </si>
  <si>
    <t>Número de mujeres
Recibieron consulta de atención preconcepcional  por medicina general o  medicina familiar o de enfermería o  ginecología
valida consultas preconcepcionales hasta 1 año antes de inicio de gestación.</t>
  </si>
  <si>
    <t>21 meses hasta 9 meses antes de la fecha probable de parto</t>
  </si>
  <si>
    <t>Población denominador
Registro de consulta preconcepcional</t>
  </si>
  <si>
    <t>6.99%</t>
  </si>
  <si>
    <t>8.49%</t>
  </si>
  <si>
    <t>RPYMS173X</t>
  </si>
  <si>
    <t>Porcentaje de gestantes que recibieron suministro de ácido fólico antes de la gestación (preconcepcional)</t>
  </si>
  <si>
    <t>Proporción de gestantes que registran suministro de acido Fólico Preconcepcional</t>
  </si>
  <si>
    <t>Número de usuarias gestantes que recibieron  ácido fólico preconcepcional</t>
  </si>
  <si>
    <t>1- Res. 202:
Variable 23 opción 1- sí</t>
  </si>
  <si>
    <t>Población denominador
Registro de suministro de ácido fólico preconcepcional</t>
  </si>
  <si>
    <t>20.9%</t>
  </si>
  <si>
    <t>25.08%</t>
  </si>
  <si>
    <t xml:space="preserve">12/12/2025 Sin modificación  9/12/2024: Se pasa a evaluativo, se asigna puntaje, Se ajusta meta general de 20 a 30%.  Se debe crear tablero para RMP, que no suma al de RPYMS, (son evaluaciones diferentes) EYAV. </t>
  </si>
  <si>
    <t>RPYMS387X</t>
  </si>
  <si>
    <t>Proporción de gestantes que reciben valoración para la promoción de la alimentación y nutrición en el embarazo</t>
  </si>
  <si>
    <t>Es la proporción de gestantes que acceden a una consulta por profesional de nutricion y dietetica en la etapa prenatal</t>
  </si>
  <si>
    <t>Consulta de Nutricion
Prueba Valida: menor a 10 meses</t>
  </si>
  <si>
    <t>RIPS AC
890106 -  ATENCION [VISITA] DOMICILIARIA POR NUTRICION Y DIETETICA
890206 -  CONSULTA DE PRIMERA VEZ POR NUTRICION Y DIETETICA
890306 - CONSULTA DE CONTROL O DE SEGUIMIENTO POR NUTRICION Y DIETETICA
890406 - INTERCONSULTA POR NUTRICION Y DIET?ICA</t>
  </si>
  <si>
    <t>Consulta de Nutricion durante la gestacion</t>
  </si>
  <si>
    <t>43.54%</t>
  </si>
  <si>
    <t>45.88%</t>
  </si>
  <si>
    <t xml:space="preserve">15/12/2025: se ajusta la meta y puntaje, eyva // 31/12/2024 De acuerdo al anexo 3 de la Resolucion 02717 del 2024 Ajuste UPC - la meta para ese indicador es del 19,43% y NEPS esta en el 45%, se deja.  9/12/2024: Se ajusta nombre del indicador, se pasa a evaluativo, se asigna puntaje.  Se debe crear tablero para RMP, que no suma al de RPYMS, (son evaluaciones diferentes); Se ajusta meta de general de 19% a 45% y especial de 19% a 25% EYAV. </t>
  </si>
  <si>
    <t>RPYMS49X</t>
  </si>
  <si>
    <t>Cobertura de personas jóvenes, con atención en salud por medicina general o medicina familiar de acuerdo al esquema definido</t>
  </si>
  <si>
    <t>Proporción de personas de 18 a 28 años que cumplen con el esquema definido de valoración integral por medicina general o Familiar</t>
  </si>
  <si>
    <t xml:space="preserve">Número de personas, con atención en salud por medicina general o medicina familiar  en el curso de vida de la juventud, según el subgrupo:
Edad corte: 18 años            - Edad consulta: últimos 12 meses
Edad corte: 18 a 23 años  - Edad consulta:18 a 23 años 
Edad corte: 24 a 28 años  - Edad consulta: 24 a 28 años ó que la ultima consulta no supere los 5 años
</t>
  </si>
  <si>
    <t>1- RIPS:
MEDICINA:
* CUPS Finalidad 5 o CIE-10: Z003
89.0.2.01 (consulta de primera vez por medicina general)
89.0.3.01 (Consulta de control o seguimiento por medicina general)
89.0.2.63 (consulta de primera vez por especialista en medicina familiar)
89.0.3.63 (Consulta de control o seguimiento por especialista en medicina familiar).
* Res 2275 - CUPS con finalidad 11 o CIE-10: Z003
89.0.2.01 (consulta de primera vez por medicina general)
89.0.3.01 (Consulta de control o seguimiento por medicina general)
89.0.2.63 (consulta de primera vez por especialista en medicina familiar)
89.0.3.63 (Consulta de control o seguimiento por especialista en medicina familiar).
2- Res 202: Variable 52 - Fecha valida
Edad a la fecha de corte y a la fecha de la consulta</t>
  </si>
  <si>
    <t xml:space="preserve"> población del denominador
Registro de consultas según esquema</t>
  </si>
  <si>
    <t xml:space="preserve">Población al mes a evaluar activos y nuevos 
18 a 28 años </t>
  </si>
  <si>
    <t xml:space="preserve">Al menos 1 consulta en el subgrupo etario que se encuentre el usuario.
Todo lo que cumpla en el numerador debe estar incluido en denominador
</t>
  </si>
  <si>
    <t>Se incrementa meta de cobertura según linea de base y PDSP (Res 1035 de 2022)</t>
  </si>
  <si>
    <t>1. Calcular edad a corte del periodo evaluar. Formula: =sifecha(FechaNacimiento;FechaCorte;"y")
2. Filtrar edad  de 18 años
3. En la columna juventud en el subgrupo de edad 18 a 23 años filtrar los usuarios sin consulta
4. En la columna adolescencia en las consultas de 17 años filtrar las consultas realizadas 12 meses atras
5. Registrar dato obtenido y quitar filtros
6. Filtrar edad de 18 a 23 años
7. En la columna juventud en el subgrupo de edad 18 a 23 años filtrar total consultas realizadas en el subgrupo de edad.
8. Registrar dato obtenido y quitar filtros
9. Filtrar edad de 24 años
10. En la columna juventud en el subgrupo de edad 24 a 28 años filtrar los usuarios sin consulta
11. En la columna juventud en el subgrupo de edad 18 a 23 años filtrar las consultas realizadas 12 meses atras
12. Registrar dato obtenido y quitar filtros
13. Filtrar edad de 24 a 28 años
14. En la columna juventud en el subgrupo de edad 24 a 28 años filtrar total consultas realizadas en el subgrupo de edad.
15. Sumar las consultas obtenidas por cada subgrupo de edad para obtener dato general</t>
  </si>
  <si>
    <t>1. Calcular edad a corte del periodo evaluar. Formula: =sifecha(FechaNacimiento;FechaCorte;"y")</t>
  </si>
  <si>
    <t>49.05%</t>
  </si>
  <si>
    <t>50.94%</t>
  </si>
  <si>
    <t>22/01/2026 Se ajusta definciion del numerador  //29/12/2025 Se ajusta definicion del numerador y denominador, se ajusta poblacion del denominador, ajuste meta general y especial y puntaje.  //12/12/2025 Sin modificación  31/03/2025 Se actualiza a ultima Resolución de Cups 2275/2023 en variable fuente.  05/03/2025 Se ajusta población numerador y denominador. 31/12/2024 De acuerdo al anexo 3 de la Resolucion 02717 del 2024 Ajuste UPC - la meta para ese indicador es del 31% y NEPS esta en el 50% 09/12/2024. Se ajusta meta general de 50% a 55% y especial de 45% a 50%. Lesly- Nany</t>
  </si>
  <si>
    <t>RPYMS589X</t>
  </si>
  <si>
    <t>Cobertura de vacunación con BCG</t>
  </si>
  <si>
    <t>Proporción de  niños de 0 a 11 meses 29 días con aplicación de BCG</t>
  </si>
  <si>
    <t>Total de afiliados que registran aplicación de BCG
Edad a la fecha de aplicación entre 0-11 meses 29 días</t>
  </si>
  <si>
    <t>Población denominador
Poblacion que registra aplicación de vacuna
Edad a la aplicación entre 0-11 meses 29 días
estado de afiliacion (Activo)</t>
  </si>
  <si>
    <t>77.31%</t>
  </si>
  <si>
    <t>12/12/2025 Sin modificación  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//9/12/2024: Indicador nuevo de cobertura; hijo del 272X</t>
  </si>
  <si>
    <t>RPYMS590X</t>
  </si>
  <si>
    <t>Cobertura de vacunación con Hepatitis B (RN)</t>
  </si>
  <si>
    <t>Proporción de  niños de 0 a 11 meses 29 días con aplicación de Hepatitis B de RN</t>
  </si>
  <si>
    <t>Total de afiliados que registran aplicación de Hepatitis B-Recien Nacido
Edad a la fecha de aplicación entre 0-11 meses 29 días</t>
  </si>
  <si>
    <t xml:space="preserve">Población denominador
Poblacion que registra aplicación de vacuna
Edad a la aplicación entre 0-11 meses 29 días
estado de afiliacion (Activo) </t>
  </si>
  <si>
    <t>72.75%</t>
  </si>
  <si>
    <t>12/12/2025 Sin modificación  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9/12/2024: Se crea nuevo indicador de cobertura hijo del 273X</t>
  </si>
  <si>
    <t>RPYMS591X</t>
  </si>
  <si>
    <t>Cobertura en aplicación de Pentavalente primera dosis</t>
  </si>
  <si>
    <r>
      <t>Proporción de  niños de</t>
    </r>
    <r>
      <rPr>
        <sz val="10"/>
        <color rgb="FFFF0000"/>
        <rFont val="Calibri Light"/>
        <family val="2"/>
        <scheme val="major"/>
      </rPr>
      <t xml:space="preserve"> 2 mes</t>
    </r>
    <r>
      <rPr>
        <sz val="10"/>
        <rFont val="Calibri Light"/>
        <family val="2"/>
        <scheme val="major"/>
      </rPr>
      <t xml:space="preserve"> a 11 meses con aplicación de primera dosis de pentavalente</t>
    </r>
  </si>
  <si>
    <r>
      <rPr>
        <sz val="10"/>
        <color rgb="FF000000"/>
        <rFont val="Calibri Light"/>
        <family val="2"/>
        <scheme val="major"/>
      </rPr>
      <t xml:space="preserve">Total de afiliados que registran aplicación de Pentavalente 1 dosis
</t>
    </r>
    <r>
      <rPr>
        <sz val="10"/>
        <color rgb="FFFF0000"/>
        <rFont val="Calibri Light"/>
        <family val="2"/>
        <scheme val="major"/>
      </rPr>
      <t xml:space="preserve">registre la fecha valida de aplicación primera dosis de pentavalente independientemente de la edad de aplicación </t>
    </r>
  </si>
  <si>
    <r>
      <t>Total de población de 2</t>
    </r>
    <r>
      <rPr>
        <sz val="10"/>
        <color rgb="FFFF0000"/>
        <rFont val="Calibri Light"/>
        <family val="2"/>
        <scheme val="major"/>
      </rPr>
      <t xml:space="preserve"> mes</t>
    </r>
    <r>
      <rPr>
        <sz val="10"/>
        <rFont val="Calibri Light"/>
        <family val="2"/>
        <scheme val="major"/>
      </rPr>
      <t xml:space="preserve"> a 11 meses y 29 días (menores de 1 año)</t>
    </r>
  </si>
  <si>
    <r>
      <rPr>
        <sz val="10"/>
        <color rgb="FF000000"/>
        <rFont val="Calibri Light"/>
        <family val="2"/>
        <scheme val="major"/>
      </rPr>
      <t xml:space="preserve">Población denominador
Poblacion que registra aplicación de vacuna Pentavalente primera dosis 
</t>
    </r>
    <r>
      <rPr>
        <sz val="10"/>
        <color rgb="FFFF0000"/>
        <rFont val="Calibri Light"/>
        <family val="2"/>
        <scheme val="major"/>
      </rPr>
      <t xml:space="preserve">registre la fecha valida de aplicación primera dosis de pentavalente independientemente de la edad de aplicación
</t>
    </r>
    <r>
      <rPr>
        <sz val="10"/>
        <color rgb="FF000000"/>
        <rFont val="Calibri Light"/>
        <family val="2"/>
        <scheme val="major"/>
      </rPr>
      <t>estado de afiliacion (Activo)</t>
    </r>
  </si>
  <si>
    <t>Población actual al mes a evaluar activos y nuevos
2 meses a 11 meses 29 días</t>
  </si>
  <si>
    <t>Para el numerador en los indicadores de cobertura se toma la misma población del denominador (los del den que cumplan con la actividad)</t>
  </si>
  <si>
    <r>
      <t xml:space="preserve">1. Calcular edad a la fecha de aplicación 1a Pentavalente. Formula: =sifecha(FechaNacimiento;Fecha1aPentavalente;"m")
</t>
    </r>
    <r>
      <rPr>
        <strike/>
        <sz val="10"/>
        <rFont val="Calibri Light"/>
        <family val="2"/>
        <scheme val="major"/>
      </rPr>
      <t>2. Filtrar edad de 2 a 11 meses</t>
    </r>
    <r>
      <rPr>
        <sz val="10"/>
        <rFont val="Calibri Light"/>
        <family val="2"/>
        <scheme val="major"/>
      </rPr>
      <t xml:space="preserve">
</t>
    </r>
    <r>
      <rPr>
        <sz val="10"/>
        <color rgb="FFFF0000"/>
        <rFont val="Calibri Light"/>
        <family val="2"/>
        <scheme val="major"/>
      </rPr>
      <t>2. Filtrar fecha valida de aplicación de primera dosis de pentavalente</t>
    </r>
  </si>
  <si>
    <t>1. Calcular edad al corte. Formula: =sifecha(FechaNacimiento;FechaCorte;"m")
2. Filtrar menores de 2 a 11 meses</t>
  </si>
  <si>
    <t>85.02%</t>
  </si>
  <si>
    <t>12/12/2025 Se ajusta definición del numerador, se modifica la poblacion del numerador y se actualiza los filtros para validación del numerador.  //15/10/2025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//9/12/2024: Se crea nuevo indicador de cobertura hijo del 274X.</t>
  </si>
  <si>
    <t>RPYMS592X</t>
  </si>
  <si>
    <t>Cobertura en aplicación de Polio primera dosis</t>
  </si>
  <si>
    <t xml:space="preserve">Proporción de  niños de 2 a 11 meses con aplicación de primera dosis de Polio </t>
  </si>
  <si>
    <t>Total de afiliados que registran aplicación de Polio 1 dosis
Edad a la fecha de aplicación entre 2-11 meses</t>
  </si>
  <si>
    <t>Total de población de 2 a 11 meses y 29 días (menores de 1 año)</t>
  </si>
  <si>
    <t>Población denominador
Poblacion que registra aplicación de vacuna polio primera dosis
Edad a la aplicación entre 2-11 meses
estado de afiliacion (Activo)</t>
  </si>
  <si>
    <t>Población actual al mes a evaluar activos y nuevos 
2 a 11 meses 29 días</t>
  </si>
  <si>
    <t xml:space="preserve">1. Calcular edad a la fecha de aplicación 1a Polio. Formula: =sifecha(FechaNacimiento;Fecha1aPolio;"m")
2. Filtrar edad de 2 a 11 meses
</t>
  </si>
  <si>
    <t>85.19%</t>
  </si>
  <si>
    <t>12/12/2025 Sin modificación  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//9/12/2024: Se crea nuevo indicador de cobertura hijo del 275</t>
  </si>
  <si>
    <t>RPYMS593X</t>
  </si>
  <si>
    <t>Cobertura en aplicación de Rotavirus primera dosis</t>
  </si>
  <si>
    <t>Proporción de  niños de 2 a 11 meses con aplicación de primera dosis de Rotavirus</t>
  </si>
  <si>
    <t>Total de afiliados que registran aplicación de Rotavirus 1 dosis
Edad a la fecha de aplicación entre 2-11 meses</t>
  </si>
  <si>
    <t>Población denominador
Poblacion que registra aplicación de vacuna rotavirus primera dosis
Edad a la aplicación entre 2-11 meses
estado de afiliacion (Activo)</t>
  </si>
  <si>
    <t xml:space="preserve">1. Calcular edad a la fecha de aplicación 1a Rotavirus. Formula: =sifecha(FechaNacimiento;Fecha1aRotavirus;"m")
2. Filtrar edad de 2 a 11 meses
</t>
  </si>
  <si>
    <t>84.44%</t>
  </si>
  <si>
    <t>12/12/2025 Sin modificación  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//9/12/2024: Se crea nuevo indicador de cobertura hijo del 276</t>
  </si>
  <si>
    <t>RPYMS594X</t>
  </si>
  <si>
    <t>Cobertura en aplicación de Neumococo primera dosis</t>
  </si>
  <si>
    <t>Proporción de  niños de 2 a 11 meses con aplicación de primera dosis de Neumococo</t>
  </si>
  <si>
    <t>Total de afiliados que registran aplicación de Neumococo 1 dosis
Edad a la fecha de aplicación entre 2-11 meses</t>
  </si>
  <si>
    <t>Población denominador
Poblacion que registra aplicación de vacuna neumococo primera dosis
Edad a la aplicación entre 2-11 meses
estado de afiliacion (Activo)</t>
  </si>
  <si>
    <t xml:space="preserve">1. Calcular edad a la fecha de aplicación 1a Neumococo. Formula: =sifecha(FechaNacimiento;Fecha1aNeumococo;"m")
2. Filtrar edad de 2 a 11 meses
</t>
  </si>
  <si>
    <t>82.47%</t>
  </si>
  <si>
    <t>12/12/2025 Sin modificación  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//9/12/2024: Se crea nuevo indicador de cobertura hijo del 277</t>
  </si>
  <si>
    <t>RPYMS595X</t>
  </si>
  <si>
    <t>Cobertura en aplicación de Pentavalente segunda dosis</t>
  </si>
  <si>
    <r>
      <t xml:space="preserve">Proporción de  niños de </t>
    </r>
    <r>
      <rPr>
        <sz val="10"/>
        <color rgb="FFFF0000"/>
        <rFont val="Calibri Light"/>
        <family val="2"/>
        <scheme val="major"/>
      </rPr>
      <t>4 meses</t>
    </r>
    <r>
      <rPr>
        <sz val="10"/>
        <rFont val="Calibri Light"/>
        <family val="2"/>
        <scheme val="major"/>
      </rPr>
      <t xml:space="preserve"> a 11 meses con aplicación de segunda dosis de pentavalente</t>
    </r>
  </si>
  <si>
    <r>
      <rPr>
        <sz val="10"/>
        <color rgb="FF000000"/>
        <rFont val="Calibri Light"/>
        <family val="2"/>
        <scheme val="major"/>
      </rPr>
      <t xml:space="preserve">Total de afiliados que registran aplicación de Pentavalente 2 dosis
</t>
    </r>
    <r>
      <rPr>
        <sz val="10"/>
        <color rgb="FFFF0000"/>
        <rFont val="Calibri Light"/>
        <family val="2"/>
        <scheme val="major"/>
      </rPr>
      <t>registre la fecha valida de aplicación segunda dosis de pentavalente independientemente de la edad de aplicación</t>
    </r>
  </si>
  <si>
    <r>
      <t>Total de población de 4</t>
    </r>
    <r>
      <rPr>
        <sz val="10"/>
        <color rgb="FFFF0000"/>
        <rFont val="Calibri Light"/>
        <family val="2"/>
        <scheme val="major"/>
      </rPr>
      <t xml:space="preserve"> meses</t>
    </r>
    <r>
      <rPr>
        <sz val="10"/>
        <rFont val="Calibri Light"/>
        <family val="2"/>
        <scheme val="major"/>
      </rPr>
      <t xml:space="preserve"> a 11 meses y 29 días (menores de 1 año)</t>
    </r>
  </si>
  <si>
    <r>
      <rPr>
        <sz val="10"/>
        <color rgb="FF000000"/>
        <rFont val="Calibri Light"/>
        <family val="2"/>
        <scheme val="major"/>
      </rPr>
      <t xml:space="preserve">Población denominador
Poblacion que registra aplicación de vacuna Pentavalente segunda dosis
</t>
    </r>
    <r>
      <rPr>
        <sz val="10"/>
        <color rgb="FFFF0000"/>
        <rFont val="Calibri Light"/>
        <family val="2"/>
        <scheme val="major"/>
      </rPr>
      <t xml:space="preserve">registre la fecha valida de aplicación segunda dosis de pentavalente independientemente de la edad de aplicación
</t>
    </r>
    <r>
      <rPr>
        <sz val="10"/>
        <color rgb="FF000000"/>
        <rFont val="Calibri Light"/>
        <family val="2"/>
        <scheme val="major"/>
      </rPr>
      <t>estado de afiliacion (Activo)</t>
    </r>
  </si>
  <si>
    <t>Población actual al mes a evaluar activos y nuevos
4 a 11 meses 29 días</t>
  </si>
  <si>
    <t xml:space="preserve">Para el numerador en los indicadores de cobertura se toma la misma población del denominador (los del den que cumplan con la actividad)
</t>
  </si>
  <si>
    <t>1. Calcular edad a la fecha de aplicación 2a Pentavalente. Formula: =sifecha(FechaNacimiento;Fecha1aPentavalente;"m")
2. Filtrar fecha valida de aplicación de segunda dosis de pentavalente</t>
  </si>
  <si>
    <t>1. Calcular edad al corte. Formula: =sifecha(FechaNacimiento;FechaCorte;"m")
2. Filtrar menores de 4 a 11 meses</t>
  </si>
  <si>
    <t>82.74%</t>
  </si>
  <si>
    <t>12/12/2025 Se ajusta definición del numerador, se modifica la poblacion del numerador y se incluyen filtros para validación de numerador y denominador. //15/10/2025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//9/12/2024: Se crea nuevo indicador de cobertura hijo del 278X.</t>
  </si>
  <si>
    <t>RPYMS596X</t>
  </si>
  <si>
    <t>Cobertura en aplicación de Polio segunda dosis</t>
  </si>
  <si>
    <t xml:space="preserve">Proporción de  niños de 4 a 11 meses con aplicación de segunda dosis de Polio </t>
  </si>
  <si>
    <t>Total de afiliados que registran aplicación de Polio 2 dosis
Edad a la fecha de aplicación entre 4-11 meses</t>
  </si>
  <si>
    <t>Total de población de 4 a 11 meses y 29 días (menores de 1 año)</t>
  </si>
  <si>
    <t>Población denominador
Poblacion que registra aplicación de vacuna polio segunda dosis
Edad a la aplicación entre 4-11 meses
estado de afiliacion (Activo)</t>
  </si>
  <si>
    <t>Población actual al mes a evaluar activos y nuevos 
4 a 11 meses 29 días</t>
  </si>
  <si>
    <t>12/12/2025 Sin modificación  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//9/12/2024: Se crea nuevo indicador de cobertura hijo del 279</t>
  </si>
  <si>
    <t>RPYMS597X</t>
  </si>
  <si>
    <t>Cobertura en aplicación de Rotavirus segunda dosis</t>
  </si>
  <si>
    <t>Proporcion de  niños de 4 a 11 meses con aplicación de segunda dosis de Rotavirus</t>
  </si>
  <si>
    <t>Total de afiliados que registran aplicación de Rotavirus 2 dosis
Edad a la fecha de aplicación entre 4-11 meses</t>
  </si>
  <si>
    <t>Población denominador
Poblacion que registra aplicación de vacuna rotavirus segunda dosis
Edad a la aplicación entre 4-11 meses
estado de afiliacion (Activo)</t>
  </si>
  <si>
    <t>82.16%</t>
  </si>
  <si>
    <t>12/12/2025 Sin modificación  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//9/12/2024: Se crea nuevo indicador de cobertura hijo del 280</t>
  </si>
  <si>
    <t>RPYMS598X</t>
  </si>
  <si>
    <t>Cobertura en aplicación de Neumococo segunda dosis</t>
  </si>
  <si>
    <t>Proporción de  niños de 4 a 11 meses con aplicación de segunda dosis de Neumococo</t>
  </si>
  <si>
    <t>Total de afiliados que registran aplicación de Neumococo 2 dosis
Edad a la fecha de aplicación entre 4-11 meses</t>
  </si>
  <si>
    <t>Población denominador
Poblacion que registra aplicación de vacuna neumococo segunda dosis
Edad a la aplicación entre 4-11 meses
estado de afiliacion (Activo)</t>
  </si>
  <si>
    <t>78.62%</t>
  </si>
  <si>
    <t>12/12/2025 Sin modificación  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//9/12/2024: Se crea nuevo indicador de cobertura hijo del 281</t>
  </si>
  <si>
    <t>RPYMS599X</t>
  </si>
  <si>
    <t>Cobertura en aplicación de Polio tercera dosis</t>
  </si>
  <si>
    <t>Proporción de  niños de 6 a 11 meses con aplicación de Tercera dosis de polio</t>
  </si>
  <si>
    <t>Total de afiliados que registran aplicación de Polio 3 dosis
Edad a la fecha de aplicación entre 6-11 meses</t>
  </si>
  <si>
    <t>Total de población de 6 a 11 meses y 29 días (menores de 1 año)</t>
  </si>
  <si>
    <r>
      <t>Población denominador
Poblacion que registra aplicación de vacuna polio tercera dosis
Edad a la aplicación entre 6-11 meses
estado de afiliacion (Activo) -  n</t>
    </r>
    <r>
      <rPr>
        <strike/>
        <sz val="10"/>
        <color theme="1"/>
        <rFont val="Calibri Light"/>
        <family val="2"/>
        <scheme val="major"/>
      </rPr>
      <t>o necesariamente debe estar incluido en el denominador</t>
    </r>
  </si>
  <si>
    <t>Población actual al mes a evaluar activos y nuevos 
6 a 11 meses 29 días</t>
  </si>
  <si>
    <t>76.98%</t>
  </si>
  <si>
    <t>12/12/2025 Sin modificación  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//19/06/2025 Se realiza ajuste en el numerador de la variable población eliminando la condición "no necesariamente debe estar incluido en el denominador.  9/12/2024: Se crea nuevo indicador de cobertura hijo del 283</t>
  </si>
  <si>
    <t>RPYMS600X</t>
  </si>
  <si>
    <t>Cobertura en aplicación de Triple Viral primera dosis</t>
  </si>
  <si>
    <t>Proporción de  niños de 12 a 23 meses con aplicación de primera dosis de Triple viral</t>
  </si>
  <si>
    <t>Total de afiliados que registran aplicación de Triple viral 1 dosis
Edad a la fecha de aplicación entre 12-23 meses</t>
  </si>
  <si>
    <t xml:space="preserve">Total de población de 12 a 23 meses (1 año)
</t>
  </si>
  <si>
    <t xml:space="preserve">Población denominador
Poblacion que registra aplicación de vacuna Triple viral primera dosis
Edad a la aplicación entre 12-23 meses
estado de afiliacion (Activo) </t>
  </si>
  <si>
    <t>84.55%</t>
  </si>
  <si>
    <t>12/12/2025 Sin modificación  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//9/12/2024: Se crea nuevo indicador de cobertura hijo del 284</t>
  </si>
  <si>
    <t>RPYMS601X</t>
  </si>
  <si>
    <t>Cobertura en aplicación de Hepatitis A</t>
  </si>
  <si>
    <t>Proporción de  niños de 12 a 23 meses con aplicación de primera dosis de Hepatitis A</t>
  </si>
  <si>
    <t>Total de afiliados que registran aplicación de Hepatitis A
Edad a la fecha de aplicación entre 12-23 meses</t>
  </si>
  <si>
    <t>Población denominador
Poblacion que registra aplicación de vacuna Hepatitis A
Edad a la aplicación entre 12-23 meses
estado de afiliacion (Activo)</t>
  </si>
  <si>
    <t>84.57%</t>
  </si>
  <si>
    <t>12/12/2025 Sin modificación  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//9/12/2024: Se crea nuevo indicador de cobertura hijo del 285</t>
  </si>
  <si>
    <t>RPYMS602X</t>
  </si>
  <si>
    <t>Cobertura en aplicación de Varicela primera dosis</t>
  </si>
  <si>
    <t>Proporción de  niños de 12 a 23 meses con aplicación de primera dosis de Varicela</t>
  </si>
  <si>
    <t>Total de afiliados que registran aplicación de Varicela 1 dosis
Edad a la fecha de aplicación entre 12-23 meses</t>
  </si>
  <si>
    <t>Población denominador
Poblacion que registra aplicación de vacuna varicela primera dosis
Edad a la aplicación entre 12-23 meses
estado de afiliacion (Activo)</t>
  </si>
  <si>
    <t>83.24%</t>
  </si>
  <si>
    <t>12/12/2025 Sin modificación  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//9/12/2024: Se crea nuevo indicador de cobertura hijo del 286</t>
  </si>
  <si>
    <t>RPYMS603X</t>
  </si>
  <si>
    <t>Cobertura en aplicación de Neumococo refuerzo</t>
  </si>
  <si>
    <t>Proporción de niños de 12 a 23 meses con aplicación de Refuerzo de Neumococo</t>
  </si>
  <si>
    <t>Total de afiliados que registran aplicación de Neumococo Refuerzo
Edad a la fecha de aplicación entre 12-23 meses</t>
  </si>
  <si>
    <t>Población denominador
Poblacion que registra aplicación de vacuna Neumococo refuerzo
Edad a la aplicación entre 12-23 meses
estado de afiliacion (Activo)</t>
  </si>
  <si>
    <t>79.63%</t>
  </si>
  <si>
    <t>12/12/2025 Sin modificación  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//9/12/2024: Se crea nuevo indicador de cobertura hijo del 287</t>
  </si>
  <si>
    <t>RPYMS604X</t>
  </si>
  <si>
    <t>Cobertura en aplicación de Polio primer refuerzo</t>
  </si>
  <si>
    <t>Proporción de niños de 12 a 23 meses con aplicación de Primer Refuerzo de polio</t>
  </si>
  <si>
    <t>Total de afiliados que registran aplicación de Polio 1 Ref
Edad a la fecha de aplicación entre 12-23 meses</t>
  </si>
  <si>
    <r>
      <t xml:space="preserve">Población denominador
Poblacion que registra aplicación de vacuna Polio 1 Ref
Edad a la aplicación entre 12-23 meses
estado de afiliacion (Activo) -  </t>
    </r>
    <r>
      <rPr>
        <strike/>
        <sz val="10"/>
        <color theme="1"/>
        <rFont val="Calibri Light"/>
        <family val="2"/>
        <scheme val="major"/>
      </rPr>
      <t>no necesariamente debe estar incluido en el denominador</t>
    </r>
  </si>
  <si>
    <t>34.83%</t>
  </si>
  <si>
    <t>12/12/2025 Sin modificación  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//19/06/2025 Se realiza ajuste en el numerador de la variable población eliminando la condición "no necesariamente debe estar incluido en el denominador.  9/12/2024 Se crea nuevo indicador de cobertura hijo del 289</t>
  </si>
  <si>
    <t>RPYMS605X</t>
  </si>
  <si>
    <t>Cobertura en aplicación de Pentavalente primer refuerzo</t>
  </si>
  <si>
    <t>Proporción de  niños de 12 a 23 meses con aplicación de Refuerzo de pentavalente</t>
  </si>
  <si>
    <t>Total de afiliados que registran aplicación de pentavalente 1 Ref
Edad a la fecha de aplicación entre 12-23 meses</t>
  </si>
  <si>
    <t>Población denominador
Poblacion que registra aplicación de vacuna Pentavalente 1 Ref
Edad a la aplicación entre 12-23 meses
estado de afiliacion (Activo)</t>
  </si>
  <si>
    <t>34.52%</t>
  </si>
  <si>
    <t>12/12/2025 Sin modificación  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//9/12/2024: Se crea nuevo indicador de cobertura hijo del 290</t>
  </si>
  <si>
    <t>RPYMS606X</t>
  </si>
  <si>
    <t>Cobertura en aplicación de Triple Viral refuerzo (Nuevo Esquema- 18 meses)</t>
  </si>
  <si>
    <t xml:space="preserve">Proporción de  niños de 12 a 23 meses con aplicación de Refuerzo de Triple Viral </t>
  </si>
  <si>
    <t>Total de afiliados que registran aplicación de Triple Viral 1 Ref
Edad a la fecha de aplicación entre 18-23 meses</t>
  </si>
  <si>
    <t xml:space="preserve">Población denominador
Poblacion que registra aplicación de vacuna
Edad a la aplicación entre 18-23 meses
estado de afiliacion (Activo) 
</t>
  </si>
  <si>
    <t>26.94%</t>
  </si>
  <si>
    <t>12/12/2025 Sin modificación  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//9/12/2024: Se crea nuevo indicador de cobertura hijo del 291x</t>
  </si>
  <si>
    <t>RPYMS607X</t>
  </si>
  <si>
    <t>Cobertura en aplicación de Triple Viral refuerzo (2 años y mas)</t>
  </si>
  <si>
    <t>Proporción de  niños de  24 a 71 meses con aplicación de Refuerzo de Triple viral
(Menores nacidos antes de Junio de 2021)</t>
  </si>
  <si>
    <t>Total de afiliados que registran aplicación de Triple Viral 1 Ref
Edad a la fecha de aplicación entre 24 a 71 meses</t>
  </si>
  <si>
    <t>Total de población de 24 a 71 meses (2 a 5 años)
Que no registra aplicación de vacuna contra TV 1 refuerzo en años previos
(Menores nacidos antes de Junio de 2021)</t>
  </si>
  <si>
    <t>Población denominador
Poblacion que registra aplicación de vacuna Triple viral 1 Ref
Edad a la aplicación entre 24-71 meses (2 a 5 años)
estado de afiliacion (Activo)</t>
  </si>
  <si>
    <t>Población actual al mes a evaluar activos y nuevos 
24 a 71 meses 29 días  (2 a 5 años)
(Menores nacidos antes de Junio de 2021)</t>
  </si>
  <si>
    <t>indicador ajustado a nuevo Esquema PAI para administracion de refuerzo a la población que no registra aplicación de biologico de triple viral -  se ajusta para la vigencia 2024
Para el numerador en los indicadores de cobertura se toma la misma población del denominador (los del den que cumplan con la actividad)</t>
  </si>
  <si>
    <t>18.24%</t>
  </si>
  <si>
    <t>12/12/2025 Sin modificación  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//9/12/2024: Se crea nuevo indicador de cobertura hijo del 291AX</t>
  </si>
  <si>
    <t>RPYMS608X</t>
  </si>
  <si>
    <t>Cobertura en aplicación de Varicela refuerzo</t>
  </si>
  <si>
    <t>Proporción de  niños de  60 a 71 meses con aplicación de Refuerzo de varicela</t>
  </si>
  <si>
    <t>Total de afiliados que registran aplicación de Varicela 1 Ref
Edad a la fecha de aplicación entre 60-71 meses</t>
  </si>
  <si>
    <t>Población denominador
Poblacion que registra aplicación de vacuna Varicela Refuerzo
Edad a la aplicación entre 60-71 meses
estado de afiliacion (Activo)</t>
  </si>
  <si>
    <t>12/12/2025 Sin modificación  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//9/12/2024: Se crea nuevo indicador de cobertura hijo del xxxx</t>
  </si>
  <si>
    <t>RPYMS609X</t>
  </si>
  <si>
    <t>Cobertura en la aplicación de DPT segundo refuerzo</t>
  </si>
  <si>
    <t>Proporción de  niños de  60 a 71 meses con aplicación de segundo Refuerzo de DPT</t>
  </si>
  <si>
    <t>Total de afiliados que registran aplicación de DPT 2 Ref
Edad a la fecha de aplicación entre 60-71 meses</t>
  </si>
  <si>
    <t xml:space="preserve">Total de población de 60 a 71 meses (5 años)
</t>
  </si>
  <si>
    <t xml:space="preserve">Población denominador
Poblacion que registra aplicación de vacuna
Edad a la aplicación entre 60-71 meses
estado de afiliacion (Activo) </t>
  </si>
  <si>
    <t>71.94%</t>
  </si>
  <si>
    <t>12/12/2025 Sin modificación  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//9/12/2024: Se crea nuevo indicador de cobertura hijo del293</t>
  </si>
  <si>
    <t>RPYMS610X</t>
  </si>
  <si>
    <t>Cobertura en aplicación de polio segundo refuerzo</t>
  </si>
  <si>
    <t xml:space="preserve">Proporción de  niños de  60 a 71 meses con aplicación de segundo Refuerzo de Polio </t>
  </si>
  <si>
    <t>Total de afiliados que registran aplicación de Polio 2 Ref
Edad a la fecha de aplicación entre 60-71 meses</t>
  </si>
  <si>
    <t>Población denominador
Poblacion que registra aplicación de vacuna Polio 2 Ref
Edad a la aplicación entre 60-71 meses
estado de afiliacion (Activo)</t>
  </si>
  <si>
    <t>72.06%</t>
  </si>
  <si>
    <t>12/12/2025 Sin modificación  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//9/12/2024: Se crea nuevo indicador de cobertura hijo del 294</t>
  </si>
  <si>
    <t>RPYMS611X</t>
  </si>
  <si>
    <t>Cobertura en aplicación de Influenza primera dosis (menor 1 año)</t>
  </si>
  <si>
    <t>Proporcion de niños de 6 a 11 meses que reciben aplicacion de primera dosis de Influenza estacional</t>
  </si>
  <si>
    <t>Total de afiliados que registran aplicación de Influenza 1 dosis
Edad a la fecha de aplicación entre 6-11 meses</t>
  </si>
  <si>
    <t>Población denominador
Poblacion que registra aplicación de vacuna
Edad a la aplicación entre 6-11 meses
estado de afiliacion (Activo)</t>
  </si>
  <si>
    <t>77.87%</t>
  </si>
  <si>
    <t>12/12/2025 Sin modificación  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//9/12/2024: Se crea nuevo indicador de cobertura hijo del 304</t>
  </si>
  <si>
    <t>RPYMS612X</t>
  </si>
  <si>
    <t>Cobertura en aplicación de Influenza segunda dosis (menor 1 año)</t>
  </si>
  <si>
    <t>Proporcion de niños de 6 a 11 meses que reciben aplicacion de segunda dosis de Influenza estacional</t>
  </si>
  <si>
    <t>Total de afiliados que registran aplicación de Influenza 2 dosis
Edad a la fecha de aplicación entre 6-11 meses</t>
  </si>
  <si>
    <t>49.83%</t>
  </si>
  <si>
    <t>RPYMS613X</t>
  </si>
  <si>
    <t>Cobertura en aplicación de Influenza primera dosis (1 año)</t>
  </si>
  <si>
    <t>Total de afiliados que registran aplicación de Influenza 1 Dosis
Edad a la fecha de aplicación entre 12-23 meses</t>
  </si>
  <si>
    <t>Total de población de 12 a 23 meses y 29 días (1 año)
Que NO registra edad a la fecha de aplicación de dosis 1  y 2 (Entre 6 y 11 meses)</t>
  </si>
  <si>
    <t xml:space="preserve">Población denominador
Poblacion que registra aplicación de vacuna
Edad a la aplicación entre 12-23 meses
estado de afiliacion (Activo) </t>
  </si>
  <si>
    <t>55.75%</t>
  </si>
  <si>
    <t>12/12/2025 Sin modificación  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//9/12/2024: Se crea nuevo indicador de cobertura hijo del 306</t>
  </si>
  <si>
    <t>RPYMS614X</t>
  </si>
  <si>
    <t>Coberura en aplicación de Influenza segunda dosis (1 año)</t>
  </si>
  <si>
    <t>Total de afiliados que registran aplicación de Influenza 2 Dosis
Edad a la fecha de aplicación entre 12-23 meses</t>
  </si>
  <si>
    <t>Poblacion que registra aplicación de vacuna
Edad a la aplicación entre 12-23 meses
estado de afiliacion (Activo)</t>
  </si>
  <si>
    <t>32.58%</t>
  </si>
  <si>
    <t>12/12/2025 Sin modificación  9/12/2024: Se crea nuevo indicador de cobertura hijo del307</t>
  </si>
  <si>
    <t>RPYMS615X</t>
  </si>
  <si>
    <t>Cobertura en aplicación de Influenza refuerzo</t>
  </si>
  <si>
    <t>Total de afiliados que registran aplicación de Influenza Refuerzo
Edad a la fecha de aplicación entre 12-23 meses</t>
  </si>
  <si>
    <t>Total de población de 12 a 23 meses y 29 días (1 año)
Que Registra edad a la fecha de aplicación de dosis 1 y 2 (Entre 6 y 11 meses)</t>
  </si>
  <si>
    <t>Población denominador
Poblacion que registra aplicación de vacuna
Edad a la aplicación entre 12-23 meses
estado de afiliacion (Activo)</t>
  </si>
  <si>
    <t>54.94%</t>
  </si>
  <si>
    <t>12/12/2025 Sin modificación  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//9/12/2024: Se crea nuevo indicador de cobertura hijo del 308</t>
  </si>
  <si>
    <t>RPYMS383X</t>
  </si>
  <si>
    <t>Cobertura de vacunación contra el virus del papiloma humano (VPH) en niños y adolescentes</t>
  </si>
  <si>
    <t>Proporción de niños y adolescentes de 9 a 17 años que registran al menos una dosis de vacuna contra VPH</t>
  </si>
  <si>
    <t>Numero de niños y adolescentes de 9 a 17 años que registre aplicación de  al menos una dosis de VPH 
Edad a la fecha de aplicación entre 9 a 17 años</t>
  </si>
  <si>
    <t xml:space="preserve">Total de niños y adolescentes (hombres) de 9 a 17 años
</t>
  </si>
  <si>
    <t>Población denominador
Niños y adolescentes (hombres) de 9 a 17 años
Registró de Vacunación contra VPH</t>
  </si>
  <si>
    <t>Población actual al mes a evaluar activos y nuevos 
niños de 9 a 17 años</t>
  </si>
  <si>
    <t>Cohorte Vacunación Adultos
1. Calcular edad a corte del periodo evaluar. Formula: =sifecha(FechaNacimiento;FechaCorte;"y")
2. Filtrar sexo masculino
3. Filtrar edad de 9 a 17 años
4. Calcular edad a fecha de aplicación VPH. Formula: =sifecha(FechaNacimiento;FechaaplicaciónVPH;"y")
5. Filtrar edad de aplicación entre 9 a 17 años (al menos 1  dosis)</t>
  </si>
  <si>
    <t>Cohorte Vacunación Adultos
1. Calcular edad a corte del periodo evaluar. Formula: =sifecha(FechaNacimiento;FechaCorte;"y")
2. Filtrar sexo masculino
3. Filtrar edad de 9 a 17 años</t>
  </si>
  <si>
    <t>28.75%</t>
  </si>
  <si>
    <t>35.28%</t>
  </si>
  <si>
    <t>12/12/2025 Sin modificación  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//05/03/2025 Se ajusta nombre del indicador, definición operacional, definición variable numerador y cohorte para validar. 09/12/2024. Se pasa a cobertura, tal como lo revisa el MSPS. Se amplia rango de edad hasta los 17 años, Yesenia.</t>
  </si>
  <si>
    <t>RPYMS616X</t>
  </si>
  <si>
    <t>Cobertura de aplicacion de Segunda Dosis de vacunación contra COVID en poblacion general</t>
  </si>
  <si>
    <t>Proporción de personas de 6 meses y mas con aplicación de primera dosis (diferente Janssen) que registran aplicación de segunda dosis contra COVID 19</t>
  </si>
  <si>
    <t>Total de población objeto de 6 meses y más 
Con reporte de aplicación de Primera dosis (Diferente a Jannsen)</t>
  </si>
  <si>
    <t>Población denominador
6 meses y más 
Esquema de vacunación COVID completo (2 dosis)</t>
  </si>
  <si>
    <t>Población actual al mes a evaluar activos y nuevos
6 meses y más 
con primera dosis diferente a Janssen</t>
  </si>
  <si>
    <t>81.26%</t>
  </si>
  <si>
    <t>12/12/2025 Sin modificación  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//9/12/2024: Se crea nuevo indicador de cobertura hijo del 321</t>
  </si>
  <si>
    <t>RPYMS322X</t>
  </si>
  <si>
    <t xml:space="preserve">Cobertura de aplicacion de Dosis adicional vacunación COVID en poblacion general </t>
  </si>
  <si>
    <t>Proporción de personas de 12 años y mas con esquema completo (2 dosis o 1Janssen) que registran aplicación de dosis adicional contra COVID 19</t>
  </si>
  <si>
    <r>
      <t xml:space="preserve">Total de población objeto </t>
    </r>
    <r>
      <rPr>
        <b/>
        <sz val="10"/>
        <color theme="1"/>
        <rFont val="Calibri Light"/>
        <family val="2"/>
        <scheme val="major"/>
      </rPr>
      <t>de</t>
    </r>
    <r>
      <rPr>
        <sz val="10"/>
        <color theme="1"/>
        <rFont val="Calibri Light"/>
        <family val="2"/>
        <scheme val="major"/>
      </rPr>
      <t xml:space="preserve"> 12</t>
    </r>
    <r>
      <rPr>
        <b/>
        <sz val="10"/>
        <color theme="1"/>
        <rFont val="Calibri Light"/>
        <family val="2"/>
        <scheme val="major"/>
      </rPr>
      <t xml:space="preserve"> años y mas</t>
    </r>
    <r>
      <rPr>
        <sz val="10"/>
        <color theme="1"/>
        <rFont val="Calibri Light"/>
        <family val="2"/>
        <scheme val="major"/>
      </rPr>
      <t xml:space="preserve">
Con reporte de aplicación de Primera dosis de Jannsen o 
Primera y Segunda dosis de otros biologicos contra COVID</t>
    </r>
  </si>
  <si>
    <t>Población actual al mes a evaluar activos y nuevos
12 años y más</t>
  </si>
  <si>
    <t>39.53%</t>
  </si>
  <si>
    <t>38.78%</t>
  </si>
  <si>
    <t>12/12/2025 Sin modificación  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//09/12/2024Se realiza ajuste de acuerdo al esquema actual de vacunación COVID19 (Esquema primario 2 dosis, y una dosis adicional 6 meses despues de la ultima aplicación), Yesenia</t>
  </si>
  <si>
    <t>RPYMS385X</t>
  </si>
  <si>
    <t xml:space="preserve">Cumplimiento de aplicación de DOSIS ADICIONAL de vacunación COVID en poblacion en riesgo </t>
  </si>
  <si>
    <t>Proporción de personas en riesgo con aplicación de dosis adicional contra COVID 19</t>
  </si>
  <si>
    <t>Total de población objeto: Total de población objeto: Gestantes, usuarios de 60 años o mas y Usuarios con HTA, Diabetes, Obesidad,
Registro aplicación 2 dosis o Registro aplicación 1 dosis de vacuna Janssen
Registro aplicación 3 dosis o dosis de refuerzo</t>
  </si>
  <si>
    <t xml:space="preserve">Total de población objeto: Gestantes, usuarios de 60 años o mas y Usuarios EV01, EV02, EV03, EV07, EV08, EV09 
CIE10:
Obesidad Morbida: E66x con IMC calculado &gt;=40 (Mayores de 18 años)
Fibrosis quistica: E84x
Con reporte de aplicación de Primera y Segunda dosis de otros vacunas contra COVID y aplicación de Primer y segundo refuerzo de vacuna contra COVID
</t>
  </si>
  <si>
    <t>Población denominador
Esquema de vacunación COVID completo + dosis adicional</t>
  </si>
  <si>
    <t xml:space="preserve">Población actual al mes a evaluar activos y nuevos
Total de población objeto: Gestantes, usuarios de 60 años o mas y Usuarios con HTA, Diabetes, Obesidad,
</t>
  </si>
  <si>
    <t>Nuevo esquema de vacunacion contra COVID que inicio en 2023</t>
  </si>
  <si>
    <t>3.1%</t>
  </si>
  <si>
    <t>3.82%</t>
  </si>
  <si>
    <t>12/12/2025 Sin modificación  11/02/2025 Se realiza eliminación de los 3 meses de afiliación. 09/12/2024 Se realiza ajuste de acuerdo al esquema actual de vacunación COVID19 (Esquema primario 2 dosis, y una dosis adicional 6 meses despues de la ultima aplicación). Aplica para población sin antecedente vacunal: Con antecedente vacunal colocar una dosis adicional, seis meses despues de la dosis mas reciente de una vacuna de Covid19
Fuente: Lineamientos 2024 MSPS- Vacunación COVID19. Yesenia</t>
  </si>
  <si>
    <t>RPYMS385AX</t>
  </si>
  <si>
    <t>Cobertura de aplicación de DOSIS ADICIONAL de vacunación COVID en gestantes</t>
  </si>
  <si>
    <t>Proporción de personas en riesgo con aplicación de dosis adicional contra COVID 19 a Gestantes</t>
  </si>
  <si>
    <t xml:space="preserve">Total de población Gestante 
Total de mujeres Gestantes que tienen 12 semanas o más de edad gestacional con registro de alguna dosis de COVID en la gestación </t>
  </si>
  <si>
    <t>Ultimos 6 meses</t>
  </si>
  <si>
    <t>Población denominador
Esquema de vacunación COVID  completo + dosis adicional</t>
  </si>
  <si>
    <t>Población actual al mes a evaluar activos y nuevos
Total de población objeto: Gestantes</t>
  </si>
  <si>
    <t>Nuevo esquema de vacunacion contra COVID que inicio en 2023
Para el numerador en los indicadores de cobertura se toma la misma población del denominador (los del den que cumplan con la actividad)</t>
  </si>
  <si>
    <t>0.86%</t>
  </si>
  <si>
    <t>4.13%</t>
  </si>
  <si>
    <t>12/12/2025 Sin modificación  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//09/12/2024 Se realiza ajuste de acuerdo al esquema actual de vacunación COVID19 (Esquema primario 2 dosis, y una dosis adicional 6 meses despues de la ultima aplicación). Aplica para población sin antecedente vacunal: Con antecedente vacunal colocar una dosis adicional, seis meses despues de la dosis mas reciente de una vacuna de Covid19
Fuente: Lineamientos 2024 MSPS- Vacunación COVID19. Yesenia
Con antecedente vacunal colocar una dosis adicional, seis meses despues de la dosis mas reciente de una vacuna de Covid19</t>
  </si>
  <si>
    <t>RPYMS385BX</t>
  </si>
  <si>
    <t>Cobertura de aplicación de DOSIS ADICIONAL de vacunación COVID en mayores de 60 años</t>
  </si>
  <si>
    <t>Proporción de personas en riesgo con aplicación de dosis adicional contra COVID 19 a personas con 60 años y más</t>
  </si>
  <si>
    <t>Total de población de 60 años  y más
Registro aplicación 2 dosis o Registro aplicación 1 dosis de vacuna Janssen
Registro aplicación 3 dosis o dosis de refuerzo</t>
  </si>
  <si>
    <t>Total de población objeto de 60 años y mas
Con reporte de aplicación de Primera dosis de Jannsen o 
Primera y Segunda dosis de otros biologicos contra COVID</t>
  </si>
  <si>
    <t>Población actual al mes a evaluar activos y nuevos
Total de población objeto: Usuarios de 60 años o más</t>
  </si>
  <si>
    <t>2.96%</t>
  </si>
  <si>
    <t>12/12/2025 Sin modificación  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//09/12/2024 Se realiza ajuste de acuerdo al esquema actual de vacunación COVID19 (Esquema primario 2 dosis, y una dosis adicional 6 meses despues de la ultima aplicación). Aplica para población sin antecedente vacunal: Con antecedente vacunal colocar una dosis adicional, seis meses despues de la dosis mas reciente de una vacuna de Covid19
Fuente: Lineamientos 2024 MSPS- Vacunación COVID19. Yesenia</t>
  </si>
  <si>
    <t>RPYMS385CX</t>
  </si>
  <si>
    <t>Cumplimiento de aplicación de DOSIS ADICIONAL de vacunación COVID en Personas con patologias</t>
  </si>
  <si>
    <t>Proporción de personas en riesgo con aplicación de dosis adicional contra COVID 19 a personas con patologias</t>
  </si>
  <si>
    <t>Total de población con Hipertencion, Diabetes y Obesidad 
Con reporte de aplicación de Primera y Segunda dosis de otros vacunas contra COVID y aplicación de Primer y segundo refuerzo de vacuna contra COVID (6 meses desde la ultima dosis)
Registro aplicación dosis adicional (Ultimos 6 meses)</t>
  </si>
  <si>
    <t xml:space="preserve">Total de población con patologias 
EV01, EV02, EV03, EV07, EV08, EV09 
CIE10:
Obesidad Morbida: E66x con IMC calculado &gt;=40 (Mayores de 18 años)
Fibrosis quistica: E84xd 
Con reporte de aplicación de Primera y Segunda dosis de otros vacunas contra COVID y aplicación de Primer y segundo refuerzo de vacuna contra COVID (6 meses desde la ultima dosis)
</t>
  </si>
  <si>
    <t>BASE DE DATOS DE AFILIACIONES (CIERRE MES)
PATOLOGIAS: EV01, EV02, EV03, EV07, EV08, EV09 
CIE10:
Obesidad Morbida: E66x con IMC calculado &gt;=40 (Mayores de 18 años)
Fibrosis quistica: E84x</t>
  </si>
  <si>
    <t xml:space="preserve">Población actual al mes a evaluar activos y nuevos
Total de población objeto: Usuarios con EV01, EV02, EV03, EV07, EV08, EV09 
CIE10: 
Obesidad Morbida: E66x con IMC calculado &gt;=40 (Mayores de 18 años)
Fibrosis quistica: E84x
</t>
  </si>
  <si>
    <t>1.95%</t>
  </si>
  <si>
    <t>0.3%</t>
  </si>
  <si>
    <t>RPYMS617X</t>
  </si>
  <si>
    <t>Cobertura aplicación primera dosis de Hepatitis B</t>
  </si>
  <si>
    <t>Proporcion de personas de 18 años o mas, en condicion de vulnerabilidad para Hepatitis B y sin registro de prueba de hepatitis B "positiva"</t>
  </si>
  <si>
    <t>Número de población afiliada clasificada como poblacion vulnerable o Indigena con  1 dosis de vacuna contra hepatitis B</t>
  </si>
  <si>
    <t xml:space="preserve">Total de población de 18 años y más clasificada como poblacion Vulnerable o Indigena  con resultado de tamizaje de Hepatitis B: Negativo </t>
  </si>
  <si>
    <t>Población actual al mes a evaluar activos y nuevos
poblacion Vulnerable e indigena</t>
  </si>
  <si>
    <t>5.05%</t>
  </si>
  <si>
    <t>12/12/2025 Sin modificación  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//9/12/2024: Se crea nuevo indicador de cobertura hijo del 379</t>
  </si>
  <si>
    <t>RPYMS618X</t>
  </si>
  <si>
    <t>Cobertura aplicación segunda dosis de Hepatitis B</t>
  </si>
  <si>
    <t>Número de población afiliada clasificada como poblacion vulnerable o Indigena con  2 dosis de vacuna contra hepatitis B</t>
  </si>
  <si>
    <t xml:space="preserve">Total de población de 18 años y más clasificada como poblacion Vulnerable o Indigena con resultado de tamizaje de Hepatitis B: Negativo </t>
  </si>
  <si>
    <t>2.25%</t>
  </si>
  <si>
    <t>12/12/2025 Sin modificación  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//9/12/2024: Se crea nuevo indicador de cobertura hijo del 380</t>
  </si>
  <si>
    <t>RPYMS619X</t>
  </si>
  <si>
    <t>Cobertura aplicación tercera dosis de Hepatitis B</t>
  </si>
  <si>
    <t>Número de población afiliada clasificada como poblacion vulnerable o Indigena con  3 dosis de vacuna contra hepatitis B</t>
  </si>
  <si>
    <t>Total de población de 18 años y más clasificada como poblacion Vulnerable o Indigena con resultado de tamizaje de Hepatitis B: Negativo</t>
  </si>
  <si>
    <t>1.42%</t>
  </si>
  <si>
    <t>12/12/2025 Sin modificación  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//9/12/2024: Se crea nuevo indicador de cobertura hijo del 381</t>
  </si>
  <si>
    <t>RPYMS620X</t>
  </si>
  <si>
    <t>Cobertura aplicación Refuerzo de Hepatitis B</t>
  </si>
  <si>
    <t>Proporcion de personas de 18 años o mas, en condicion de vulnerabilidad para Hepatitis B y sin registro de prueba de hepatitis B "positiva", que registran esquema completo de vacunación contra hepatitis B</t>
  </si>
  <si>
    <t>Número de población afiliada clasificada como poblacion vulnerable o Indigena con refuerzo de vacuna contra hepatitis B</t>
  </si>
  <si>
    <t>12/12/2025 Sin modificación  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//9/12/2024: Se crea nuevo indicador de cobertura hijo del 382</t>
  </si>
  <si>
    <t>RPYMS65X</t>
  </si>
  <si>
    <t>Cobertura de tamizaje Cáncer de Mama</t>
  </si>
  <si>
    <t>Proporción de mujeres de 50 a 69 años que cumplen con toma de mamografía en los últimos 2 años</t>
  </si>
  <si>
    <t>Mamografia</t>
  </si>
  <si>
    <t>Mujeres de 50 a 69 años 
Fecha a la toma: 50 a 69 años 
Toma de mamografía y resultado válido 
Últimos 2 años incluyendo mes evaluado</t>
  </si>
  <si>
    <t>Total de mujeres de 50 a 69 años
activas al corte del mes evaluado</t>
  </si>
  <si>
    <t>1- Res 202: Variable 96: fecha valida, Variable 97: "1 al 7"
Nota: No se incluye fuente RIPS porque no trae resultado</t>
  </si>
  <si>
    <t>Población denominador
Fecha válida de mamografía en últimos 24 meses incluyendo mes evaluado</t>
  </si>
  <si>
    <t>Población actual al mes a evaluar activos y nuevos
Mujeres de 50 a 69 años</t>
  </si>
  <si>
    <t xml:space="preserve">
1- Usuarias con diagnostico de cancer de mama</t>
  </si>
  <si>
    <t>Se ajusta la meta por el plan de intervención forsoza administrativa para nueva EPS</t>
  </si>
  <si>
    <t>Para hallar el numerador se debe descargar la base del Dt de mama y se deben tomar las mujeres de 50 a 69 años en la variable edad, de sexo femenino que tengan en la variable fecha de toma de mamografia una fecha fecha valida 24 meses atrás incluyendo el mes a evaluar y resultado valido de mamografía</t>
  </si>
  <si>
    <t xml:space="preserve">Para hallar el denominador se debe descargar la base de población actual y nuevos y se debe tomar las mujeres de 50 a 69 años para eso se debe calcular la edad al tamizaje y que esten activas al corte del mes a evaluar
Posteriormente se debe cruzar esta información con la base de patologias y se deben desmarcar las usuarias con diagnóstico de cáncer de mama
</t>
  </si>
  <si>
    <t>40.25%</t>
  </si>
  <si>
    <t>39.15%</t>
  </si>
  <si>
    <t>15/12/2025: se cambia nombre del indicador, meta, puntaje; para de informatico a evaluativo //. 18/12/2024 Se ajusta exclusión en denominador. //9/12/2024: Se ajusta nombre del indicador de acuerdo a nombre del indicador de MSPS y meta a la evaluación Fénix. Del 45% al 70%. Y zonas especiales de 30% sube a 50% Teniendo en cuenta la definicion Fenix se aumenta lacbobertura y cumplimiento; Lesly y Gabriel</t>
  </si>
  <si>
    <t>RPYMS100X</t>
  </si>
  <si>
    <t>Cumplimiento en el tamizaje para cáncer de mama en el año</t>
  </si>
  <si>
    <t>Proporción de mujeres de 50 a 69 años que cumplen con toma de mamografía en el año</t>
  </si>
  <si>
    <t>Mamografía</t>
  </si>
  <si>
    <t>Toma  y resultado de mamografía
Año vigente
edad a la fecha de toma mamografía 50 a 69 años</t>
  </si>
  <si>
    <t>Total de Mujeres de 50 a 69 años
activas al corte del mes evaluado sin tamizaje de mamografia en los ultimos 2 años 
Dividido en 12 y multiplicado por mes a evaluar</t>
  </si>
  <si>
    <t>1- Res 202- 
   Variable 96: fecha valida
   Variable 97: "1 al 7"
Nota: No se incluye fuente RIPS porque no trae resultado</t>
  </si>
  <si>
    <t>1-BASE DE DATOS DE AFILIACIONES (CIERRE MES)
2-Cohorte DT mama
varible: Fecha toma mamografia
Nota: Teniendo en cuenta que en el denominador no se incluyen usuarias con tamizaje vigente, éste se deberá cruzar con la cohorte DT mama</t>
  </si>
  <si>
    <t xml:space="preserve">Que no tengan vigencia en los 24 años atrás o la que la pierdan en el año vigente
</t>
  </si>
  <si>
    <t>Población denominador
Fecha valida de mamografía y resultado
Año vigente</t>
  </si>
  <si>
    <t>Población al mes a evaluar activos y nuevos
Mujeres de 50 a 69 años
Dividido en 12 y multiplicado por mes a evaluar</t>
  </si>
  <si>
    <t xml:space="preserve">
Que no tengan vigencia o la que la pierdan en el año vigente</t>
  </si>
  <si>
    <t>Se debe realizar el tamizaje al 50% en un año para cumplir con la cobertura del tamizaje de 100%  en 2 años, se ajusta meta por linea de base</t>
  </si>
  <si>
    <t>1. Con la cohorte general del DT de mama, se calcula la edad al tamizaje y se toman las mujeres de 50 a 69 años
2. de la variable fecha del tamizaje con mamografia se filtran las fechas del año vigente, se debe verificar que esas usuarias tengan resultado en la variable resultado de mamografia
3. se toman de la variable sexo solo sexo femenino</t>
  </si>
  <si>
    <t>1. Descargue la cohorte de población activos y nuevos
2. de la variable fecha del tamizaje de mamaografia retire las usuarias 2024
3. de la variable sexo retire los afiliados sexo masculino
4. verifique que todos sean activos y por ultimo de los que quedan dividalos en 12 y multiplique el resultado por el numero del mes a evaluar</t>
  </si>
  <si>
    <t>876802</t>
  </si>
  <si>
    <t>24.11%</t>
  </si>
  <si>
    <t>23.38%</t>
  </si>
  <si>
    <t>11/03/2025 Se ajusta de periodo el denominador con nueva regla.  05/03/2025 Ajuste en definicion de variables denominador, en fuente el denominador, en periodo el denominador y en exclusiones el denominador. 07/02/2025 Se ajusta definición del denominar y se incluyen exclusiones en el denominador. 9/12/2024: Se ajusta meta año a 50% (año 2024 en 30%) y se ajusta denominador con la población activa con corte al mes evaluado. Se ajusta meta de zonas especiales de 20 sube a 30%; Lesly- Gabriel; se ajsuta puntaje.</t>
  </si>
  <si>
    <t>RPYMS101X</t>
  </si>
  <si>
    <t>Proporción de Mamografías con toma adecuada</t>
  </si>
  <si>
    <t>Proporción de mujeres que reportan toma de mamografía con calidad esperada durante el año (diferente a Birads 0)</t>
  </si>
  <si>
    <t xml:space="preserve">Mujeres de 50 a 69 años 
Resultado de mamografía: Diferente a Birads 0
Año vigente
Edad a la fecha de la toma: mujeres de 50 a 69 años
</t>
  </si>
  <si>
    <t xml:space="preserve">Total de mamografías con toma y resultado en el año vigente
Edad a la fecha de la toma: mujeres de 50 a 69 años
</t>
  </si>
  <si>
    <t>1- Res 202- 
   Variable 96: fecha valida
   Variable 97: "2 al 7"
Nota: No se incluye fuente RIPS porque no trae resultado</t>
  </si>
  <si>
    <t xml:space="preserve">1- Res 202
   Variable 96: Fecha valida 
   Variable 97: 1 a 7 </t>
  </si>
  <si>
    <t>Población denominador
Fecha valida de mamografía y resultado Birads 1,2,3,4,5,6
Año vigente</t>
  </si>
  <si>
    <t>Población al mes a evaluar activos y nuevos
Mujeres de 50 a 69 años
Reporte de mamografía en año vigente</t>
  </si>
  <si>
    <t>1. de las uaurias que dieron en el denominador se quitan las usuarias con tamizaje Birads 0 de la variable resultado de mamografia y ese seria el valor del numerador</t>
  </si>
  <si>
    <t>1. De la cohorte del DT de mama, se debe calcular la edad a la fecha al tamizaje 
2. Posteriormente se filtra de la variable fecha de la mamografia los tamizajes año vigente, por ultimo de la variable edad se filtran las usuarias de 50 a 69 años</t>
  </si>
  <si>
    <t>89.28%</t>
  </si>
  <si>
    <t>90.3%</t>
  </si>
  <si>
    <t>15/12/2025: se ajusta puntaje, meta. eyav// 11/03/2025 Nuevamente se vuelve a clasificar como cobertura y se deja el indicador como proporción.  05/03/2025 Se ajusta el nombre del indicador, la clasificación de medición, la defición de variables en numerador y denominador, en población el denominador.  9/12/2024: Se ajusta meta del indicador dado confirma con la Dra. Natalia que de acuerdo con las guias de practica clinica el birads 0 debe ser inferior al 7% en el programa de tamización; Lesly- Gabriel</t>
  </si>
  <si>
    <t>RPYMS328X</t>
  </si>
  <si>
    <t>Cumplimiento en la realización examen clínico de la mama, en el año</t>
  </si>
  <si>
    <t>Corresponde a la proporción de mujeres entre 40 y 69 años, tamizadas con examen clínico de la mama  en el año</t>
  </si>
  <si>
    <t>ECM</t>
  </si>
  <si>
    <t>Total de Mujeres 
"EXA_CLINICO_MAMA"
edad al examen clinico 40 a 69 años
Año vigente</t>
  </si>
  <si>
    <t>Total de Mujeres de 40 a 69 años
activas al corte del mes evaluado sin tamizaje de exámen clínico de mama en el último año
Dividido en 12 y multiplicado por mes a evaluar</t>
  </si>
  <si>
    <t xml:space="preserve">1- datos adicionales
"EXA_CLINICO_MAMA"
</t>
  </si>
  <si>
    <t>1-BASE DE DATOS DE AFILIACIONES (CIERRE MES)
2-Cohorte DT mama
varible: Examen clínico mama</t>
  </si>
  <si>
    <t>Población denominador
Examen Clinico de Mama
Año vigente</t>
  </si>
  <si>
    <t>Población al mes a evaluar activos y nuevos
Mujeres de 40 a 69 años
Dividido en 12 y multiplicado por mes a evaluar</t>
  </si>
  <si>
    <t>Todo lo que cumpla en el numerador debe estar incluido en denominador
El exámen clinico de mama, pierde vigencia cada año.</t>
  </si>
  <si>
    <t>1. De la Cohorte nueva del DT de mama de la variable sexo se toman solo femenino
2. se clacula la edad al tamizaje de examen clinico de mama
3. de la variable examen clinico de mama se toman las fechas del año vigente</t>
  </si>
  <si>
    <t>1. de la corte de población activos y nuevos se filtra de la variable sexo los de sexo femenino
2. se filtra de la variable examen clinico de mama las todas las fechas menos las del año inmediatamente anterior
3. ese total se divide en 12 y se multiplica por el mes a evaluar</t>
  </si>
  <si>
    <t>3.34%</t>
  </si>
  <si>
    <t>15/12/2025: cambio en el nombre del indicador, meta, puntaje eyav//  31/03/2025 Se modifica la fuente del numerador dejando fuentes adicionales y eliminando Rips.  11/03/2025 Se modifica la fuente del numerador, se aclara observaciones del indicador y del periodo el numerador.  05/03/2025 Se ajusta el nombre del indicador, la definición operacional, la definición de variable del denominador, se ajusta fuente del numerador y denominador, periodo denominador, población denominador  y exclusiones en el denominador. 09/12/2024: Se incluye el CIE Z123 (EXAMEN DE PESQUISA ESPECIAL PARA TUMOR DE LA MAMA) que reportan en RIPS
Cambia a evaluativo</t>
  </si>
  <si>
    <t>RPYMS88X</t>
  </si>
  <si>
    <t>Cobertura de tamizaje para cancer colorrectal, con SOMFI</t>
  </si>
  <si>
    <t>Proporción de personas entre 50 a 75 que cumplen con  el  tamizaje de  SOMF según esquema (últimos 2 años)</t>
  </si>
  <si>
    <t>SOMFI</t>
  </si>
  <si>
    <t>Numero de personas entre 50 y 75 años 
Reporte de tamizaje para DT cáncer de colon y recto (SOMF)
Últimos 2 años incluyendo mes evaluado
Edad calculada al procedimiento de 50 a 75 años</t>
  </si>
  <si>
    <t>Total de población de 50 a 75 años
Activos al corte del mes evaluado</t>
  </si>
  <si>
    <t>1- Res 202: Variable 67
2- Modulo colorrectal
3- RIPS 
CUPS: 907009</t>
  </si>
  <si>
    <t>SOMF en los últimos 2 años
SOMF entre 50 - 75 años</t>
  </si>
  <si>
    <t xml:space="preserve">Población actual al mes a evaluar activos y nuevos 
50 a 75 años
</t>
  </si>
  <si>
    <t>1- Usuarios con diagnostico de cancer colorrectal</t>
  </si>
  <si>
    <t>Estan relacionados los indicadores: RPYMS88X, RPYMS69X, RPYMS494X, ya que los 3 miden cobertura de tamizaje</t>
  </si>
  <si>
    <t>Para hallar el numerador se debe tomar los usuarios de 50 a 75 años y que tengan toma de SOMFI y que en la variable fecha mas reciente de SOMFI se toman los ultimos 24 meses incluyendo el mes a evaluar</t>
  </si>
  <si>
    <t>Para hallar el denominador se debe descargar la base de población actual y nuevos y se toman los hombres y mujeres de 50 a 75 años al mes a evaluar, se debe cruzar la base con la de patologias y desmarcar los usuarios con cancer colorrectal</t>
  </si>
  <si>
    <t>26.23%</t>
  </si>
  <si>
    <t>29.43%</t>
  </si>
  <si>
    <t>15/12/2025: se ajusta nombre del indicador, y se pasa a informativo; se disminuye meta, eyav // 31/12/2024 De acuerdo al anexo 3 de la Resolucion 02717 del 2024 Ajuste UPC - la meta para ese indicador es del 1,8% y NEPS esta en el 70%  por plan de intervención.  18/12/2024 Se ajusta exclusión en denominador. //04/12/2024 Se ajusta Meta de  acuerdo con lo solicitado por la intervención forsoza administrativa de 30% pasa a 35% Pasa a Informativo</t>
  </si>
  <si>
    <t>RPYMS135X</t>
  </si>
  <si>
    <t>Cumplimiento en el tamizaje para cancer colorrectal, con SOMFI, en el año</t>
  </si>
  <si>
    <t>Personas entre 50 a 75 que cumplen con  el  tamizaje de  SOMFi en el año</t>
  </si>
  <si>
    <t>Reporte de tamizaje para DT cáncer de colon y recto (SOMF)
Año vigente
Edad calculada al procedimiento de 50 a 75 años</t>
  </si>
  <si>
    <t>Total de población de 50 a 75 años 
sin tamizaje de SOMF en los últimos 2 años 
Dividido en 12 multiplicado por mes a evaluar</t>
  </si>
  <si>
    <t>1- Res 202: Variable 67 Fecha SOMF
2- Modulo colorrectal: Pestaña fecha SOMF
3- RIPS  CUPS: 907009</t>
  </si>
  <si>
    <t>BASE DE DATOS DE AFILIACIONES (CIERRE MES)
Cohorte DT colorrectal: Fecha SOMF mas reciente</t>
  </si>
  <si>
    <t>Que no tengan vigencia el tamizaje o la que la pierdan en el año vigente</t>
  </si>
  <si>
    <t xml:space="preserve">Población del denominador
tamizaje de SOM año vigente
</t>
  </si>
  <si>
    <t xml:space="preserve">Población al mes a evaluar activos y nuevos 
50 a 75 años
</t>
  </si>
  <si>
    <t>se debe realizar el tamizaje al 50% en un año para cumplir con la cobertura del tamizaje de 100%  en 2 años, se mantiene meta  de cumplimiento por linea de base de cobertura NEPS.</t>
  </si>
  <si>
    <t>1. De la Cohorte del DT colorrectal se calcula la edad a la fecha del tamizaje
2. de la variable edad se toman los usuarios de 50 a 75 años 
3. de la variable fecha de tamizaje mas reciente se SOMFI  se toman las fechas del año vigente</t>
  </si>
  <si>
    <t>1. de la corte de población activos y nuevos del Dt colorrectal se filtra de la variable Fecha de tamizaje de SOMFI todos menos 2024 y eso mismo se hace con las fechas anteriores con el fin de quitar los que aun  tienen el tamizaje vigente
2. se realiza calculo de la edad a la fecha del tamizaje y se toman los usuarios de 50 a 75 años
3. ese total se divide en 12 y se multiplica por el mes a evaluar</t>
  </si>
  <si>
    <t>16.4%</t>
  </si>
  <si>
    <t>18.5%</t>
  </si>
  <si>
    <t xml:space="preserve">8/01/2026 Se ajusta nuevamente tipo de indicador, pasando de informativo a evaluativo y se adiciona puntaje.   //16/01/2026. Por un tema de descuentos nuevamente se pasa el indicador a informativo.  //15/12/2025: Se ajusta nombre del indicador y puntaje, se pasa a informativo... eyav // 11/03/2025 Se aclara del periodo el numerador.  05/03/2025 Se ajusta nombre del indicador, definición operacional, fuente para numerador y denominador, periodo del denominador, población del numerador y denominador, y exclusiones del denominador.  07/02/2025 Se ajusta definición del denominar y se incluyen exclusiones en el denominador y se eliminan los 3 meses de afiliados. 05/12/2024. Se ajusta Meta de 20% pasa a 40%, teniendo en cuenta plan de intervención. </t>
  </si>
  <si>
    <t>RPYMS69X</t>
  </si>
  <si>
    <t>Cobertura de tamizaje para cancer colorrectal, con colonoscopia</t>
  </si>
  <si>
    <t>Proporción de personas entre 50 a 75 que cumplen con  el  tamizaje de  Colonoscopia según esquema  (últimos 10 años)</t>
  </si>
  <si>
    <t>Colonoscopia</t>
  </si>
  <si>
    <t>Número total de personas entre 50 y 75 años, 
Edad calculada a la toma de la Colonoscopia entre 50 y 75 años, 
afiliadas a Nueva EPS a quienes se le ha realizado colonoscopia en los últimos 10 años</t>
  </si>
  <si>
    <t xml:space="preserve">Número total de personas entre 50 y 75 años, afiliadas a Nueva EPS
</t>
  </si>
  <si>
    <t>Resolución 202 (variable 36 y 66)</t>
  </si>
  <si>
    <t>toma colonoscopia 10 años</t>
  </si>
  <si>
    <t xml:space="preserve">Activos y nuevos: hombres y mujeres de 50 a 75 años
</t>
  </si>
  <si>
    <t>Para hallar el numerador se toma número total de personas entre 50 y 75 años de la cohorte del DT colorrectal, 
Edad calculada a la toma de la Colonoscopia entre 50 y 75 años, 
afiliados a Nueva EPS a quienes se le ha realizado colonoscopia en los últimos 10 años</t>
  </si>
  <si>
    <t>Para hallar el denominador se debe descargar la base de población actual y nuevos y se toman los hombres y mujeres de 50 a 75 años al mes a evaluar.</t>
  </si>
  <si>
    <t>2.39%</t>
  </si>
  <si>
    <t>3%</t>
  </si>
  <si>
    <t>15/12/2025: se ajusta nombre del indicador, se disminuye meta, eyav //11/02/2025 Se realiza eliminación de los 3 meses de afiliación. 31/12/2024 De acuerdo al anexo 3 de la Resolucion 02717 del 2024 Ajuste UPC - la meta para ese indicador es del 1,8% y NEPS esta en el 5%.  4/12/2024 Cambia la meta general 2% a 5% y especial de 1.8% a 3%</t>
  </si>
  <si>
    <t>RPYMS136X</t>
  </si>
  <si>
    <t>Cumplimiento en el tamizaje para cancer colorrectal, con colonoscopia, en el año</t>
  </si>
  <si>
    <t>Proporción de personas entre 50 a 75 que cumplen con  el  tamizaje de  Colonoscopia en el año</t>
  </si>
  <si>
    <t>Número total de personas con edad a la  toma de colonoscopia entre 50 y 75 años,  en el año vigente</t>
  </si>
  <si>
    <t>Número total de personas entre 50 y 75 años, afiliadas a Nueva EPS
Dividido en 12 multiplicado por mes a evaluar</t>
  </si>
  <si>
    <t>toma colonoscopia año Vigente</t>
  </si>
  <si>
    <t>Activos y nuevos: hombres y mujeres de 50 a 75 años
dividido en 12 multiplicado por mes a evaluar</t>
  </si>
  <si>
    <t>Para hallar el numerador se descarga la cohorte del Dt colorrectal y se toman los usuarios con tamizaje de colonoscopia con edades de 50 a 75 años, que la fecha de la colonoscopia sea del año vigente</t>
  </si>
  <si>
    <t>Para hallar el denominador se debe descargar la base de población actual y nuevos y se toman los hombres y mujeres de 50 a 75 años al mes a evaluar, ese dato se divide en 12 y se multiplica por el numero del mes a evaluar osea si es abril se divide en 12 y se multiplica por 4.</t>
  </si>
  <si>
    <t>1.1%</t>
  </si>
  <si>
    <t>0.95%</t>
  </si>
  <si>
    <t>12/12/2025 Sin modificación  11/02/2025 Se realiza eliminación de los 3 meses de afiliación. 05/12/2024. Cambia a informativo y la meta pasa al 10% en general y 5% en especial. Se pasa a informativo para dar fuerza a coberturas y no a cumplimiento</t>
  </si>
  <si>
    <t>RPYMS68X</t>
  </si>
  <si>
    <t>Proporción de personas entre 50 y 75 años con tamizaje de sangre oculta en materia fecal positivos a los que se les realizó colonoscopia</t>
  </si>
  <si>
    <t>Proporción de personas con tamizaje de SOMFI positivo que cumplen con la toma de colonoscopia</t>
  </si>
  <si>
    <t>* Edad al tamizaje 50 a 75 años
* Periodo:  24 meses atrás sin incluir mes evaluado 
* Resultado Tamizaje (variable 24): 4
* Fecha de toma de Colonoscopia posterior o igual a SOMFI (Variable 66)
* SOMFI posterior o igual Fecha de afiliación.</t>
  </si>
  <si>
    <t xml:space="preserve">
* Edad al tamizaje: 50 a 75 años
* Periodo:  24 meses atrás  sin incluir mes evaluado  (variable 67)
* Resultado Tamizaje (variable 24): 4
* SOMFI posterior o igual fecha de afiliación.</t>
  </si>
  <si>
    <t>1- Res 202: 
Variable 66 "colonoscopia" - fecha valida
Variable 36 "colonoscopia" - Resultado: 2,3,4,5, y 6</t>
  </si>
  <si>
    <t>1- Res 202:
Variable 67 "SOMFI" - Fecha valida
Variable 24 "SOMFI" - Resultado: 4</t>
  </si>
  <si>
    <t xml:space="preserve"> 24 meses atrás sin incluir mes evaluado 
Fecha colonoscopia Posterior o igual a prueba de tamización del SOMFI</t>
  </si>
  <si>
    <t xml:space="preserve">24 meses atrás sin incluir mes evaluado </t>
  </si>
  <si>
    <t>Población denominador
Fecha valida de colonoscopia</t>
  </si>
  <si>
    <r>
      <t xml:space="preserve">Población activos y nuevos 
SOMF Positivo (Res202: variable 24  resultado  "4")
Tamizaje: 24 meses atrás sin incluir el mes a evaluar </t>
    </r>
    <r>
      <rPr>
        <strike/>
        <sz val="10"/>
        <color theme="1"/>
        <rFont val="Calibri Light"/>
        <family val="2"/>
        <scheme val="major"/>
      </rPr>
      <t xml:space="preserve"> </t>
    </r>
    <r>
      <rPr>
        <sz val="10"/>
        <color theme="1"/>
        <rFont val="Calibri Light"/>
        <family val="2"/>
        <scheme val="major"/>
      </rPr>
      <t xml:space="preserve">
SOMF posterior o igual a Fecha de afiliación</t>
    </r>
  </si>
  <si>
    <t>Usuarios con Ca Colon y Recto 
Usuarios con justificacion de no realizacion colonoscopia
1805,1810, 1825, 1830, 1835, 1840</t>
  </si>
  <si>
    <t>1. A partir d e la información del denominador , se debe filtrar la variable fecha valida de colonoscopia y filtrar las fechas con 24 meses atrás
2. se debe verificar que la variable fecha de colonoscopia sea valida y ademas que sea posterior o igual a la fecha de afiliación</t>
  </si>
  <si>
    <t>!. Para hallar el denominador se debe realizar el calculo de la edad al tamizaje
2. se debe cruzar la cohorte del DT de colorrectal con la base de alto impacto para filtrar en ese cruce realizado y se demarcan los pacientes con cáncer de colon y recto
Se filtra la variable edad y se toman los usuarios de 50 a 75 años
3. se filtra en la variable fecha del tamizaje de SOMFI mas reciente  las fechas de 24 meses atras sin tomar el ultimo mes a evaluar 
4. se realiza una validación para verificar que la fecha de SOMFI sea posterior o igual a la fecha de afiliación
5. se debe verificar que los tamizajes de SOMFI  tengan en la variable resultado tengan el numero 4 y que ademas tengan fecha valido de colonoscopia
6. por ultimo que la fecha del SOMFI sea posterior o igual a la fecha de afiliación</t>
  </si>
  <si>
    <t>84.86%</t>
  </si>
  <si>
    <t>78.91%</t>
  </si>
  <si>
    <t>15/12/2025: se modifica puntaje, eyav /  05/03/2025 Se ajusta el nombre del indicador, en definición de variables el numerador y denominador, periodo el numerador y denominador y en población el denominador. 09/12/2024 Cambia a evaluativo y metas de 30 al 80% tanto general como especial</t>
  </si>
  <si>
    <t>RPYMS137X</t>
  </si>
  <si>
    <t>Proporción de personas que cumplen con la oportunidad diagnostica en cáncer colorrectal</t>
  </si>
  <si>
    <t>Proporción de personas con tamizaje alterado para cancer colorrectal y que les fue realizada la biopsia antes del dia 45 desde la fecha de toma del tamizaje</t>
  </si>
  <si>
    <t>Personas que tienen resultado de biopsia positiva, (y no tienen diagnositco de cancer CCR), y que tienen una fecha de biopsia valida antes del dia 45.</t>
  </si>
  <si>
    <t>Personas que tienen resultado de biopsia positiva, (y no tienen diagnositco de cancer CCR)</t>
  </si>
  <si>
    <r>
      <t xml:space="preserve">Para toma de la biopsia se puede obtener de:
1- CAC
</t>
    </r>
    <r>
      <rPr>
        <b/>
        <sz val="10"/>
        <rFont val="Calibri Light"/>
        <family val="2"/>
        <scheme val="major"/>
      </rPr>
      <t>2- RIPS: CUPS:  OBSERVACION CODIGO INACTIVO: 452501 BIOPSIA DE INTESTINO GRUESO VÍA ENDOSCÓPICA ( SE REEMPLAZA, 452601-452602 , 452502)</t>
    </r>
    <r>
      <rPr>
        <sz val="10"/>
        <rFont val="Calibri Light"/>
        <family val="2"/>
        <scheme val="major"/>
      </rPr>
      <t xml:space="preserve">
3- Modulo de gestión: variable pestaña biopsia: Fecha resultado biopsia colon</t>
    </r>
  </si>
  <si>
    <t>12 meses atrás incluyendo el mes a evaluar y no se toman los últimos 2 meses al corte del mes evaluado</t>
  </si>
  <si>
    <t>Se Excluyen usuarios con diagnostico de cancer de colon y recto que esten cargadas en fuentes adicionales denominada "Patologia_DD/MM/AAAA", para cancer de colon y recto es EC03 del subgrupo 03. Que la fecha de diagnostico sea inferior a la fecha de tamizaje
Se excluyen CIE 10
C182 TUMOR MALIGNO DEL COLON ASCENDENTE
C184 TUMOR MALIGNO DEL COLON TRANSVERSO
C186 TUMOR MALIGNO DEL COLON DESCENDENTE
C187 TUMOR MALIGNO DEL COLON SIGMOIDE
C189 TUMOR MALIGNO DEL COLON, PARTE NO ESPECIFICADA
C19X TUMOR MALIGNO DE LA UNION RECTOSIGMOIDEA
C20X TUMOR MALIGNO DEL RECTO
C785 TUMOR MALIGNO SECUNDARIO DEL INTESTINO GRUESO Y DEL RECTO</t>
  </si>
  <si>
    <t>Para hallar el numerador se debe restar la fecha de toma de biopsia con resultado positivo menos la fecha del tamizaje de SOMFI o Colonoscopia mas reciente sin que sea el tamizaje superior a la fecha de la biopsia y se toman los de 0 a 45 dias en la resta
de la fecha de toma de la biopsia se toman 12 meses a tras incluyendo el mes a evaluar</t>
  </si>
  <si>
    <t>Para hallar el denominador se debe descargar el Dt colorrectal y se toma de la variable fecha de toma de biopsia colorrectal las fechas validas de 12 meses a tras y no se toman los dos ultimos meses con variable de resultado positiva</t>
  </si>
  <si>
    <t>33.71%</t>
  </si>
  <si>
    <t>15/12/2025 Ajuste meta especiales.  EYAV  //09/12/2024: Se excluyen los CIE 10 de pacientes confirmados con cancer colorectal; se pasa a informativo</t>
  </si>
  <si>
    <t>RPYMS141X</t>
  </si>
  <si>
    <r>
      <t xml:space="preserve">Proporción de hombres de 50 a 75 años </t>
    </r>
    <r>
      <rPr>
        <sz val="10"/>
        <color rgb="FFFF0000"/>
        <rFont val="Calibri Light"/>
        <family val="2"/>
        <scheme val="major"/>
      </rPr>
      <t>y afros a partir de los 40 años</t>
    </r>
    <r>
      <rPr>
        <sz val="10"/>
        <color theme="1"/>
        <rFont val="Calibri Light"/>
        <family val="2"/>
        <scheme val="major"/>
      </rPr>
      <t xml:space="preserve"> que registran Tamizaje de próstata tacto rectal según esquema (Últimos 5 años)</t>
    </r>
  </si>
  <si>
    <t>Número de hombres entre 50 y 75 años
Registro prueba de tamización DT de cáncer de próstata (tacto Rectal)
Últimos 5 años incluyendo mes evaluado
Edad calculada al corte y  la prueba: 50 a 75 años</t>
  </si>
  <si>
    <r>
      <t xml:space="preserve">Total de hombres entre 50 y 75 años 
</t>
    </r>
    <r>
      <rPr>
        <strike/>
        <sz val="10"/>
        <color theme="1"/>
        <rFont val="Calibri Light"/>
        <family val="2"/>
        <scheme val="major"/>
      </rPr>
      <t>Activos al corte del mes evaluado</t>
    </r>
  </si>
  <si>
    <t>Registró Tacto Rectal en los últimos 5 años
Edad al corte entre 50 - 75 años
tacto rectal entre 50 - 75 años</t>
  </si>
  <si>
    <t>Población actual al mes a evaluar activos y nuevos
Hombres entre 50 y 75 años
activos al corte del mes evaluado</t>
  </si>
  <si>
    <t>De la cohorte general de prostata para el numerador se deben tener en cuenta los siguientes filtros:
1. Sexo: Masculino
2. Edad entre 50 y 75 años
3. Estado de afiliación: Activo
4.Fecha mas reciente de tacto rectal de los ultimos 5 años
5. Vigencia: S
Se deben excluir los pacientes con diagnostico de cáncer</t>
  </si>
  <si>
    <t>Para el denominador se debe descargar la base de poblacion actual nueva con los siguientes filtros:
1. Sexo:Masculino
2. Edad: Etre 50 y 75 años
3. Estado afiliación: Activo</t>
  </si>
  <si>
    <t>15%</t>
  </si>
  <si>
    <t>15.24%</t>
  </si>
  <si>
    <t>RPYMS388X</t>
  </si>
  <si>
    <r>
      <t xml:space="preserve">Proporción de hombres con reporte de anormalidad en las 2 pruebas de tamizaje, (tacto rectal y PSA), </t>
    </r>
    <r>
      <rPr>
        <sz val="10"/>
        <color rgb="FFFF0000"/>
        <rFont val="Calibri Light"/>
        <family val="2"/>
        <scheme val="major"/>
      </rPr>
      <t>tomadas 12 meses atrás incluyendo el mes evaluado</t>
    </r>
    <r>
      <rPr>
        <sz val="10"/>
        <color theme="1"/>
        <rFont val="Calibri Light"/>
        <family val="2"/>
        <scheme val="major"/>
      </rPr>
      <t>, que cumplen con la valoracion por urologia</t>
    </r>
  </si>
  <si>
    <t>Valoración Urologia</t>
  </si>
  <si>
    <t>Usuarios del denominador
Total de tacto rectal anormal y PSA alterado
Fecha de valoración por urologia valida: igual o posterior a las 2 pruebas positivas o anormales.</t>
  </si>
  <si>
    <t>Usuarios de 50 a 75 años con resultado de PSA y tacto rectal
* Periodo: 12 meses atrás incluyendo el mes evaluado y sin tomar los últimos 2 meses al corte del mes evaluado (a la tamización mas reciente)
* PSA O TACTO RECTAL más reciente - posterior o igual Fecha del corte del mes evaluado
* Prueba Tamizaje tacto rectal (variable 22)= 4* Resultado Tamizaje (variable 109):  Los rangos de anormalidad del antígeno prostático acorde con la edad según Osterling y colaboradores son:
50 a 59 años (&gt;3,5 ng/ml)
60 a 69 años (&gt;4,5 ng/ml) 
70 a 75 años (&gt;6,5 ng/ml).</t>
  </si>
  <si>
    <t>1- RIPS AP:
CUPS 890294 - 890394</t>
  </si>
  <si>
    <t>1- Res 202: 
* Tacto rectal: Variable 64 y Variable 22 - "4 -Próstata anormal"
* PSA: Variable 73 y Variable 109 - "Resultado de PSA": Los rangos de anormalidad del antígeno prostático acorde con la edad según Osterling y colaboradores son: de 40 a 49 años (&gt;2,5 ng/ml), de 50 a 59 años (&gt;3,5 ng/ml), de 60 a 69 años (&gt;4,5 ng/ml) y de 70 a 79 años (&gt;6,5 ng/ml).</t>
  </si>
  <si>
    <t>Población denominador
Fecha valida de valoracion por urologia valida</t>
  </si>
  <si>
    <t>Variable: 
Población actual al mes a evaluar activos y nuevos 
hombres de 50 a 75 años con tamizaje PSA  y tacto rectal anormal
Fecha de tamizacion mas reciente: 12 meses atrás incluyendo el mes a evaluar y no se toman los últimos 2 meses
tamizaje posterior o igual a Fecha de afiliación</t>
  </si>
  <si>
    <t>Excluir usuarios con diagnostico de Ca de prostata</t>
  </si>
  <si>
    <t>Se Excluyen usuarios con diagnostico de cancer de próstata que esten cargados en fuentes adicionales denominada "Patologia_DD/MM/AAAA"</t>
  </si>
  <si>
    <t>Con el filtro del denominador en la cohorte general de prostata, identificar las siguientes variables:
1. Total de tacto rectal anormal (4) y PSA alterado (Positivo)
2. Fecha de valoración por urologia valida: igual o posterior a las 2 pruebas positivas o anormales.</t>
  </si>
  <si>
    <t>Para el denominador de la cohorte general de prostata, tener en cuenta los siguientes filtros:
Usuarios de 50 a 75 años con resultado de PSA y tacto rectal
1. Sexo masculino
2. Edad: entre 50 y 75 años
3. Estado afiliacion: Activos
4. Fecha tamizaje PSA:12 meses atras  incluyendo el mes evaluado y sin tomar los últimos 2 meses al corte del mes evaluado (a la tamización mas reciente)
5. Resultado Tamizaje PSA: Positivo
6. FechaTamizaje tacto rectal: 12 meses atras  incluyendo el mes evaluado y sin tomar los últimos 2 meses al corte del mes evaluado (a la tamización mas reciente)
7. Resultado Tamizaje tacto rectal: 4
* PSA O TACTO RECTAL más reciente - posterior o igual Fecha del corte del mes evaluado</t>
  </si>
  <si>
    <t>45.69%</t>
  </si>
  <si>
    <t>34.81%</t>
  </si>
  <si>
    <t>15/12/2025: Se ajusta nombre del indicador, definición operacional, (no cambia la forma de emisión) eyav // 04/12/2024: Se agregan exlcusiones en el denominador. Gabriel//
06/03/2024: Se realiza ajuste de CUPS por error en digitación, los cups que estaban hacian referencia a consulta primera vez (890274)y control de neurología (890374), se ajusta por primera vez (890294) y control de Urología (890394).</t>
  </si>
  <si>
    <t>RPYMS55X</t>
  </si>
  <si>
    <t>Proporción de hombres  con pruebas de tamizaje anormal a quienes se les realizó biopsia de próstata.</t>
  </si>
  <si>
    <r>
      <t>Proporción de hombres con anormalidad en</t>
    </r>
    <r>
      <rPr>
        <b/>
        <sz val="10"/>
        <color rgb="FFC00000"/>
        <rFont val="Calibri Light"/>
        <family val="2"/>
        <scheme val="major"/>
      </rPr>
      <t xml:space="preserve"> </t>
    </r>
    <r>
      <rPr>
        <sz val="10"/>
        <color theme="1"/>
        <rFont val="Calibri Light"/>
        <family val="2"/>
        <scheme val="major"/>
      </rPr>
      <t xml:space="preserve">las 2 pruebas de tamizaje, (tacto rectal y PSA), que cumplen con la toma Biopsia de próstata, </t>
    </r>
    <r>
      <rPr>
        <sz val="10"/>
        <color rgb="FFFF0000"/>
        <rFont val="Calibri Light"/>
        <family val="2"/>
        <scheme val="major"/>
      </rPr>
      <t>posterior o igual al tamizaje</t>
    </r>
  </si>
  <si>
    <t>Población del denominador con fecha de toma de Biopsia de Próstata valida: igual o posterior a las 2 pruebas positivas o anormales.</t>
  </si>
  <si>
    <r>
      <t xml:space="preserve">Usuarios con resultado de </t>
    </r>
    <r>
      <rPr>
        <b/>
        <sz val="10"/>
        <color theme="1"/>
        <rFont val="Calibri Light"/>
        <family val="2"/>
        <scheme val="major"/>
      </rPr>
      <t>PSA y tacto rectal alterado</t>
    </r>
    <r>
      <rPr>
        <sz val="10"/>
        <color theme="1"/>
        <rFont val="Calibri Light"/>
        <family val="2"/>
        <scheme val="major"/>
      </rPr>
      <t xml:space="preserve">
* Periodo: 12 meses atrás incluyendo el mes evaluado y sin tomar los últimos 2 meses (a la tamización mas reciente):
* PSA y TACTO RECTAL mas reciente 
* Prueba Tamizaje tacto rectal (variable 22)= 4
* Resultado Tamizaje (variable 109):  Los rangos de anormalidad del antígeno prostático acorde con la edad (edad a la fecha de tamizaje) según Osterling y colaboradores son:
40 a 49 años (&gt;2,5 ng/ml)
50 a 59 años (&gt;3,5 ng/ml)
60 a 69 años (&gt;4,5 ng/ml) 
70 a 75 años (&gt;6,5 ng/ml).
</t>
    </r>
  </si>
  <si>
    <t>1- RIPS AP:
CUPS 601101 - 601102 - 601103 - 601104 - 601201 - 601301 - 601501 - 601502
2- DATOS ADICIONALES
Biopsia de próstata</t>
  </si>
  <si>
    <t>1- Res 202: 
* Tacto rectal: Variable 64 "fecha válida" y Variable 22 - "4 -Próstata anormal"
* PSA: Variable 73 y Variable 109 - "Resultado de PSA": Los rangos de anormalidad del antígeno prostático acorde con la edad según Osterling y colaboradores son: de 40 a 49 años (&gt;2,5 ng/ml), de 50 a 59 años (&gt;3,5 ng/ml), de 60 a 69 años (&gt;4,5 ng/ml) y de 70 a 79 años (&gt;6,5 ng/ml).</t>
  </si>
  <si>
    <t>Población denominador
Fecha valida de toma de  Biopsia de próstata</t>
  </si>
  <si>
    <t xml:space="preserve">Variable: 
Población actual al mes a evaluar activos y nuevos 
hombres con tamizaje PSA  y tacto rectal anormal
Fecha de tamizacion mas reciente: 12 meses atrás incluyendo el mes a evaluar y no se toman los últimos 2 meses
</t>
  </si>
  <si>
    <t>Usuarios con justificacion de no realización; 1805,1810, 1825, 1830, 1835, 1840</t>
  </si>
  <si>
    <t>Con el filtro del denominador en la cohorte general de prostata, identificar las siguientes variables:
1. Total de tacto rectal anormal (4) y PSA alterado (Positivo)
2. Fecha de toma de Biopsia de Próstata valida: igual o posterior a las 2 pruebas positivas o anormales.</t>
  </si>
  <si>
    <t>Para el denominador de la cohorte general de prostata, tener en cuenta los siguientes filtros:
Usuarios de 40 a 75 años con resultado de PSA y tacto rectal
1. Sexo masculino
2. Edad: entre 40 y 75 años
3. Estado afiliacion: Activos
4. Fecha tamizaje PSA:12 meses atras  incluyendo el mes evaluado y sin tomar los últimos 2 meses al corte del mes evaluado (a la tamización mas reciente)
5. Resultado Tamizaje PSA: Positivo
6. FechaTamizaje tacto rectal: 12 meses atras  incluyendo el mes evaluado y sin tomar los últimos 2 meses al corte del mes evaluado (a la tamización mas reciente)
7. Resultado Tamizaje tacto rectal: 4
* PSA O TACTO RECTAL más reciente - posterior o igual Fecha del corte del mes evaluado</t>
  </si>
  <si>
    <t>38.73%</t>
  </si>
  <si>
    <t>RPYMS204X</t>
  </si>
  <si>
    <t>Proporción de Hombres que cumplen la oportunidad entre toma y reporte de la biopsia de próstata</t>
  </si>
  <si>
    <r>
      <t xml:space="preserve">Proporción de hombres que cumplen con la oportunidad de 15 días entre la toma y reporte de la Biopsia de Próstata </t>
    </r>
    <r>
      <rPr>
        <sz val="10"/>
        <color rgb="FFFF0000"/>
        <rFont val="Calibri Light"/>
        <family val="2"/>
        <scheme val="major"/>
      </rPr>
      <t>posterior o igual al tamizaje</t>
    </r>
  </si>
  <si>
    <t>Hombres con registro de fecha de toma de biopsia de próstata y que el resultado sea menor o igual a 15 dias
Diferencia con la fecha de reporte de biopsia. (Fecha de reporte menos (-) fecha de toma)</t>
  </si>
  <si>
    <t>Para resultado  de la biopsia se puede obtener de:
1- RIPS 601101  BIOPSIA CERRADA (PERCUTÁNEA) (AGUJA) DE PRÓSTATA POR ABORDAJE TRANSRECTAL.
2- Res 202
Variables: Fecha Tamizaje (PSA o Tacto Rectal)</t>
  </si>
  <si>
    <t>población con registro de reporte de biopsia 15 días o menos</t>
  </si>
  <si>
    <t>población con reporte de Biopsia Próstata</t>
  </si>
  <si>
    <t>De la cohorte general con el filtro del denominador, se deben tener en cuenta los siguientes filtros para el numerador:
1. Sexo: Masculino
2. Fecha de toma de biopsia de próstata: Posterior a la fecha de tamizaje
3. Resultado fecha de biopsia de próstata: Promedio en dias entre 1 y 15 dias
Diferencia con la fecha de reporte de biopsia. (Fecha de reporte menos (-) fecha de toma)</t>
  </si>
  <si>
    <t>Para el denominador se debe tomar de la cohorte general de Prostata, los siguientes filtros:
1. Sexo: Masculino
2. Fecha mas recientes de PSA o Tacto Rectal: Ultimos 12 meses sin incluir ultimos 2 meses al corte del mes evaluado
3. Fecha de toma de biopsia de próstata: (más reciente) que tenga fecha posterior a los tamizajes
Toma de biopsia posterior o igual a fecha del tamizaje</t>
  </si>
  <si>
    <t>0.67%</t>
  </si>
  <si>
    <t>51.12%</t>
  </si>
  <si>
    <t>RPYMS63X</t>
  </si>
  <si>
    <t>Cobertura de tamizaje Cáncer de Cuello Uterino</t>
  </si>
  <si>
    <t>Proporción de mujeres de 25 a 65 años que cumplen con toma de alguna prueba de tamizaje para cáncer de cuello uterino  según esquema</t>
  </si>
  <si>
    <t>CCU
Pruebas via villi
Prueba ADN-VPH</t>
  </si>
  <si>
    <r>
      <t xml:space="preserve">Número total de mujeres entre 25 y 65 años tamizadas para cáncer de cuello uterino  tamizadas con cualquier prueba de tamización (Prueba ADN -VPH, Citología, Técnicas de Inspección visual); que este dentro de la frecuencia indicada de la prueba
Nota:
Fecha válida para las pruebas:
ADN-VPH (908436): 5 años atrás incluyendo el mes evaluado.
citología cérvico uterina: 3 años atrás incluyendo el mes evaluado
Técnicas de inspección visual (892904): 3 años atrás incluyendo el mes evaluado
Resultado válido para las pruebas:
</t>
    </r>
    <r>
      <rPr>
        <strike/>
        <sz val="10"/>
        <color theme="1"/>
        <rFont val="Calibri Light"/>
        <family val="2"/>
        <scheme val="major"/>
      </rPr>
      <t xml:space="preserve">EDAD AL PROCEDIMIENTO 25 - 65 AÑOS </t>
    </r>
    <r>
      <rPr>
        <sz val="10"/>
        <color theme="1"/>
        <rFont val="Calibri Light"/>
        <family val="2"/>
        <scheme val="major"/>
      </rPr>
      <t>Se retira esta condición toda vez que la usuaria puede estar en el grupo poblacional del programa pero tener tamizaje previo que puede aplicar para la cobertura, ejemplo usuaria que tiene 25 años y se realizó procedimiento a los 23 años con citologia que aun está vigente (3 años)</t>
    </r>
  </si>
  <si>
    <t>Total de mujeres de 25 a 65 años
Activos al corte del mes evaluado</t>
  </si>
  <si>
    <r>
      <t xml:space="preserve">1- RIPS: CUPS 892904 </t>
    </r>
    <r>
      <rPr>
        <b/>
        <sz val="10"/>
        <color theme="1"/>
        <rFont val="Calibri Light"/>
        <family val="2"/>
        <scheme val="major"/>
      </rPr>
      <t xml:space="preserve">(hace referencia a la técnica de inspección visual ver y tratar)
</t>
    </r>
    <r>
      <rPr>
        <sz val="10"/>
        <color theme="1"/>
        <rFont val="Calibri Light"/>
        <family val="2"/>
        <scheme val="major"/>
      </rPr>
      <t>2- Modulo de gestión: Pestaña tamizaje- Citología cérvico uterina, prueba ADN-VPH, Técnica de inspección visual; Fecha valida
3- Cargue información adicional cérvix
4- Res 202: Prueba Tamizaje 
   * Variable 86= 1 o 3 o 4,  Fecha tamizaje (Variable 87): Últimos 3 años
   * Variable 86 = 2   Fecha tamizaje(Variable 87): Últimos 5 años
5- Res 202: Resultado tamizaje cáncer de cuello uterino
     * Variable 88= 
      Resultado citología cérvico uterina
     Escamosas:
      1  - ASC-US (células escamosas atípicas de significado indeterminado)
      2  - ASC-H (células escamosas atípicas, de significado indeterminado sugestivo de LEI de alto grado)
      3  - Lesión intraepitelial escamosa (LEI) de bajo grado- HPV (NIC I) (LEI BG)
      4  - Lesión intraepitelial escamosa (LEI) de alto grado (NIC II-III CA INSITU) (LEI AG)
      5  - Lesión intraepitelial escamosa de alto grado sospechosa de infiltración
      6  - Carcinoma de células escamosas (Escamocelular)
      Glandulares:
      7  - Células endocervicales atípicas sin ningún otro significado
      8  - Células endometriales atípicas sin ningún otro significado
      9  - Células glandulares atípicas sin ningún otro significado
      10 - Células endocervicales atípicas sospechosas de neoplasia
      11 - Células endometriales atípicas sospechosas de neoplasia
      12 - Células glandulares atípicas sospechosas de neoplasia
      13 - Adenocarcinoma endocervical in situ
      14 - Adenocarcinoma endocervical
      15 - Adenocarcinoma endometrial
      16 - Otras neoplasias
      17 - Negativa para lesión intraepitelial o neoplasia
      18 - Inadecuada para lectura
      Resultado para prueba AND-VPH ó inspección visual
      19 - Positivo 
      20 - Negativo
Edad al procedimiento 25 - 65 años</t>
    </r>
  </si>
  <si>
    <t>Mujeres de 25 a 65 años
Que registran realización de prueba de tamizaje según frecuencia</t>
  </si>
  <si>
    <t>Población actual al mes a evaluar activos y nuevos
Mujeres de 25 a 65 años</t>
  </si>
  <si>
    <t>Res 202  
Variable 86: opciones
 0- no aplica
16-No se realiza por una tradición
17-No se realiza por una condición de salud 
18-No se realiza por negación de la usuaria 
21- riesgo no evaluado</t>
  </si>
  <si>
    <t>Se cambió medición frente a propuesta del MSPS; se plantea que al menos las usuarias sean tamizadas con alguna prueba, sin importar la que sea; solo se tiene en cuenta que este dentro de la frecuencia de la tamización, mientras se estabiliza las pruebas de tamización a contratar con las IPS</t>
  </si>
  <si>
    <t>Línea de base NEPS</t>
  </si>
  <si>
    <t>Con la cohorte general de cervix identificar los siguientes filtros:
1. Sexo: Femenino
2. Edad:Entre 25 y 65 años
3. Estado de afiliación: Activas
4. Tamizaje: 1,2,3,o 4
5. Fecha tamizaje: Ulitmos 5 años incluyendo el periodo a evaluar</t>
  </si>
  <si>
    <t>Descargar la base de población actual nueva, con los siguientes filtros:
1. Zona/Zona de influencia/IPS
2. Sexo: Femenino
3. Edad: 25 a 35 años</t>
  </si>
  <si>
    <t>52.45%</t>
  </si>
  <si>
    <t>12/12/2025 Sin modificación  14/01/2025 Se ajusta en fuente el numerador. 17/12/2024 Se ajustan exclusiones en el numerador. //05/12/2024 INDICADORES MSPS: Se inlcuyen el CUPS 892904 (Técnicas de inspección visual con ácido acético y lugol). Se ajustan metas a Fenix, general pasa de 60 a 85% y especial de 45 a 60% //
17/07/2024. Se realiza aclaración para que en el numerador se revise que sea un  resultado valido de la prueba de tamización y que no se lleven resultados 0- no aplica o 21 riesgo no evaluado</t>
  </si>
  <si>
    <t>RPYMS96X</t>
  </si>
  <si>
    <t>Cumplimiento en el tamizaje para cáncer de cérvix  en el año</t>
  </si>
  <si>
    <t>Mujeres de 25 a 65 años tamizadas para cáncer de cuello uterino en el año con alguna prueba</t>
  </si>
  <si>
    <t>Número de usuarias con edad a la toma de la prueba de tamización de 25 a 65 años afiliadas a Nueva EPS
Registro de prueba de cualquier prueba tamización para detección de cáncer de cérvix  
Año vigente</t>
  </si>
  <si>
    <t>Total de mujeres de 25 a 65 años
Población activa al mes evaluado, sin tamizaje en los últimos 3 años con CCU, en los últimos 5 con con ADN-VPH o 3 años con Via Villi
Dividido en 12 y multiplicado por mes a evaluar</t>
  </si>
  <si>
    <t>1- Resolución 202:
     * variable 86: 1 o 2 o 3 o 4 
     * Variable 87:  Año vigente 
     * Variable 88: Resultado de 1 -17  y  19 - 20
2- Modulo de gestión: Pestaña tamizaje- Citología cérvico uterina, prueba ADN-VPH, Técnica de inspección visual; Fecha valida
Edad: 25 - 65 años</t>
  </si>
  <si>
    <t>1-BASE DE DATOS DE AFILIACIONES (CIERRE MES)
2-Cohorte DT citologia
varible: Fecha toma citologia
Nota: Teniendo en cuenta que en el denominador no se incluyen usuarias con tamizaje vigente, éste se deberá cruzar con la cohorte DT Cérvix.</t>
  </si>
  <si>
    <t>Que no tenga vigencia el tamizaje o la que la pierdan en el año vigente, segun el tipo de tamizaje:
CCU y  Via Villi - 36 meses atrás
 y VPH - 60 meses atrás</t>
  </si>
  <si>
    <t>Población del denominador, fecha válida de tamizajes
Año vigente</t>
  </si>
  <si>
    <t xml:space="preserve">Población al mes a evaluar activos y nuevos
Población activo al mes evaluado
Mujeres de 25 a 65 años con registro de prueba de tamización para Ca Cérvix
</t>
  </si>
  <si>
    <t>Mujeres que NO tengan vigencia de su tamizaje o la que la pierdan en el año vigente, según la frecuenta de toma de cada uno:
Tamizaje de CCU en los ultimos 3 años , ADN-VPH en los ultimos 5 años, VIAVILLI en los ultimos 3 años.
Para la exclusión hacer retrospectivo desde el 31 de Dic 2025</t>
  </si>
  <si>
    <t>De la cohorte general de cervix para el numerador se identifican las variables 
(K Sexo) Femenino, (L Edad) entre 25 y 65 años, 
(R Estado afiliación) Activas
Se identifica la vigencia de los tamizajes en una columna adicional, teniendo en cuenta 
1- Citología cervico uterina, 3- Técnica de inspección Visual, 4- Prueba ADN-VPH y citología cérvico uterina: cada tres años por lo cual se excluyen 2024 y 2023, 
2-ADN-VPH cada 5 años por lo cual se excluyen los tamizajes de 2024, 2023, 2022 y 2021</t>
  </si>
  <si>
    <t>De la base de población actual nueva se descargan las mujeres entre 25 y 65 años, se toman los filtros de variables ( Q Sexo) Femenino, (AB ESTADO) Activas, (BH CITOLOGIA) excluyendo años 2024 y 2023, (BI PRUEBA ADN-VPH) excluyendo años 2024, 2023, 2022, 2021; se filtran las usuarias que no tengan tamizaje vigente a la fecha</t>
  </si>
  <si>
    <t>26.93%</t>
  </si>
  <si>
    <t>21.96%</t>
  </si>
  <si>
    <t>15/12/2025: se deja misma meta de 60%, ya que haciendo los calculos, con el 40% de cumplimiento año, se alcanza la cobertura fenix, eyav //. 11/03/2025 Se ajusta en periodo el denominador con ajuste de regla, se ajusta la meta al 60 % para ambos según lo planteado con la jefe Elsa, porque se hace con base en las mujeres no tamizadas.  05/03/2025 Se ajusta nombre del indicador, definición operacional, definición de variables del denominador, Fuente del numerador y denominador, periodo del denominador, población del numerador y denominador y exclusiones del denominador.  07/02/2025 Se ajusta definición del denominar y se incluyen exclusiones en el denominador. 6/02/2025 Se modifica meta tanto en general como especial. 5/12/2024 se ajsuta puntaje.</t>
  </si>
  <si>
    <t>RPYMS483X</t>
  </si>
  <si>
    <t>Proporción de  pruebas ADN-VPH positivas</t>
  </si>
  <si>
    <t>Proporción de mde pruebas ADN-VPH que registran resultado positivo</t>
  </si>
  <si>
    <t>Numero de pruebas ADN-VPH realizadas en el periodo a evaluar, cuyo resultado sea positivo</t>
  </si>
  <si>
    <t xml:space="preserve">Numero de pruebas ADN-VPH realizadas en el periodo a evaluar
</t>
  </si>
  <si>
    <t>1- Res 202: 
Variable 86: 2. 4
variable 87: Fecha valida Año vigente
variable 88: 19 
2- Modulo de gestión: Pestaña tamizaje- prueba ADN-VPH - Fecha valida Año vigente
Resultado. Positivo</t>
  </si>
  <si>
    <t>1- Res 202: 
Variable 86: 2, 4 (se deben tener en cuenta las opciones 2 y 4 dado que la opcion 4 da por hecho que la prueba de ADN VPH es positiva y la IPS registra la citologia)
variable 87: Fecha valida Año vigente
variable 88: 19 o 20
2- Modulo de gestión: Pestaña tamizaje- prueba ADN-VPH - Fecha valida Año vigente
Edad al procedimiento de 30 - 65 años</t>
  </si>
  <si>
    <t>Pruebas adn-vph positivas, (independientemente de la edad)</t>
  </si>
  <si>
    <t>Pruebas adn-vph tomadas a afiliadas de Nueva EPS, (independientemente de la edad)</t>
  </si>
  <si>
    <t>En la cohorte general, con el filtro del denominador identificar la variable:
Resultado ADN-VPH: Positivo</t>
  </si>
  <si>
    <t>De la cohorte general de cervix se deben indentificar las siguientes variables:
Sexo:Femenino
Fecha de toma de ADN-VPH: Año vigente</t>
  </si>
  <si>
    <t>12.49%</t>
  </si>
  <si>
    <t>12/12/2025 Sin modificación  14/01/2025 Se ajusta denominador de fuente. Indicador nuevo para medir positividad de las pruebas y no usuarias; hijo del indicador RPYMS252X, donde solo cambia población objeto</t>
  </si>
  <si>
    <t>RPYMS484X</t>
  </si>
  <si>
    <t>Proporción de mujeres a quienes se les toma de  CCU de triage</t>
  </si>
  <si>
    <t xml:space="preserve">Proporción de mujeres de 30 a 65 años con resultados de la prueba ADN-VPH positiva a quienes se les realizó citología de triage </t>
  </si>
  <si>
    <r>
      <t>Número de mujeres de 30 a 65 años con resultados de la prueba ADN-VPH positiva a qu</t>
    </r>
    <r>
      <rPr>
        <b/>
        <sz val="10"/>
        <color theme="1"/>
        <rFont val="Calibri Light"/>
        <family val="2"/>
        <scheme val="major"/>
      </rPr>
      <t>ienes se les realizó CCU de triage posterior o igual</t>
    </r>
  </si>
  <si>
    <t xml:space="preserve">Mujeres de 30 a 65 años con resultados de la prueba ADN-VPH positiva 
</t>
  </si>
  <si>
    <t>2- Res 202: Prueba Tamizaje 
   * Variable 86= 2, 4  Fecha tamizaje (Variable 87): posterio o igual a Prueba ADN - VPH</t>
  </si>
  <si>
    <t>1- Res 202: 
Variable 86: 2, 4
variable 87: Fecha valida ultimos 12 meses
variable 88: 19 
2- Modulo de gestión: Pestaña tamizaje- prueba ADN-VPH - Fecha valida Año vigente
Resultado. Positivo</t>
  </si>
  <si>
    <t>Misma población del denominador</t>
  </si>
  <si>
    <t>En la cohorte general, con el filtro del denominador identificar la variable:
Tamizaje Cáncer de Cuello Uterino: 1 o 4</t>
  </si>
  <si>
    <t>De la cohorte general de cervix se deben identificar las sigguientes variables: 
Sexo: Femenino
Edad: Entre 30 y 65 años
Estado de afiliacion: Activas
Fecha de toma de ADN-VPH: Toda la vida
Resultado ADN-VPH: Positivo</t>
  </si>
  <si>
    <t>59.12%</t>
  </si>
  <si>
    <t>15/1272025: se ajusta nombre del indicador// 12/12/2025 Se ajusta meta  5/12/2024: Indicador nuevo. EYAV</t>
  </si>
  <si>
    <t>RPYMS58X</t>
  </si>
  <si>
    <t>Proporción de mujeres con citología anormal, (superior a AS-CUS), a quienes se realizó colposcopia</t>
  </si>
  <si>
    <t>Proporción de mujeres con prueba de tamización para cáncer de cuello uterino CCU tomada en los ultimos 12 meses, con reporte de  anormalidad, (superior a ASCUS),  que cumplen con la toma de colposcopia</t>
  </si>
  <si>
    <t>Citologias con resultado superior a ASCUS en los ultimos 12 meses, que registran toma de colposcopia posterior a prueba de tamización</t>
  </si>
  <si>
    <t>Citologias con resultado superior a ASCUS en los ultimos 12 meses</t>
  </si>
  <si>
    <t>1- Res 202:
Variable 86: 1 o 4 
Variable 88:  2 a 15
2- Modulo de gestión: 
  Pestaña tamización: 2 a 15</t>
  </si>
  <si>
    <r>
      <t xml:space="preserve">12 meses atrás </t>
    </r>
    <r>
      <rPr>
        <strike/>
        <sz val="10"/>
        <color theme="1"/>
        <rFont val="Calibri Light"/>
        <family val="2"/>
        <scheme val="major"/>
      </rPr>
      <t>r</t>
    </r>
    <r>
      <rPr>
        <sz val="10"/>
        <color theme="1"/>
        <rFont val="Calibri Light"/>
        <family val="2"/>
        <scheme val="major"/>
      </rPr>
      <t xml:space="preserve"> sin incluir mes evaluado</t>
    </r>
  </si>
  <si>
    <t>Variable: 
Población al mes a evaluar activos y nuevos 
Mujeres con citología cervicouterina positiva (Superior a ASCUS) 
Fecha de CCU: 12 meses atrás incluyendo el mes a evaluar
CCU posterior o igual a Fecha de afiliación</t>
  </si>
  <si>
    <t>De la cohorte general con  fltro del de nominador, se identifica la variable:
(Fecha de Colposcopia) Que tenga fecha valida, posterior al tamizaje</t>
  </si>
  <si>
    <t>En la cohorte general de cervix, se traen las usuarias con diagnostico de cancer de la base de alto impacto. Y se procede a identificar las variables para el denominador. Las variables: 
(Sexo) Femenino, 
(Estado afiliación) Activas, 
(Tamizaje Cáncer de Cuello Uterino) 1 0 4
(Fecha de tamizaje) Ultimos 12 meses sin incluir el mes a evaluar
(Resultado del tamizaje) Del 2 al 15
(AI) Usuarias con Diagnostico de Cáncer de Cuello Uterino</t>
  </si>
  <si>
    <t>82.06%</t>
  </si>
  <si>
    <t>79.92%</t>
  </si>
  <si>
    <t>12/12/2025 se cambia a informativo, dado que ya se da puntos en la toma de colposcopia -eyav  05/03/2025 Se ajusta nombre del indicador, definición operacional, clasificación de medición, fuente del denominador, periodo numerador y denominador y población del denominador.  05/12/2024. Se deja indicador como de cumplimiento y evaluativo; y se incrementa meta por linea base.</t>
  </si>
  <si>
    <t>RPYMS485X</t>
  </si>
  <si>
    <t>Proporción de mujeres con citología cervicouterina anormal, citología de triage anormal o técnicas de inspección visual positiva, que cumplen el estándar de 30 días para la toma de colposcopia</t>
  </si>
  <si>
    <t>Proporción de mujeres con prueba de tamización para cáncer de cuello uterino CCU con reporte de  anormalidad superior a ASCUS o Inspección Visual positiva  sin tratamiento inmediato, tomada en el ultimo año, que cumplen con la oportunidad menor a 30 días para la realización de la colposcopia</t>
  </si>
  <si>
    <r>
      <t>Mujeres que tienen prueba de tamización para cáncer de cuello uterino con reporte de: "anormalidad superior a ASCUS o Inspección Visual positiva  sin tratamiento inmediato"</t>
    </r>
    <r>
      <rPr>
        <u/>
        <sz val="10"/>
        <color theme="1"/>
        <rFont val="Calibri Light"/>
        <family val="2"/>
        <scheme val="major"/>
      </rPr>
      <t>, q</t>
    </r>
    <r>
      <rPr>
        <b/>
        <u/>
        <sz val="10"/>
        <color theme="1"/>
        <rFont val="Calibri Light"/>
        <family val="2"/>
        <scheme val="major"/>
      </rPr>
      <t>ue cumplen con la oportunidad menor a 30 días para la realización de la colposcopia</t>
    </r>
    <r>
      <rPr>
        <u/>
        <sz val="10"/>
        <color theme="1"/>
        <rFont val="Calibri Light"/>
        <family val="2"/>
        <scheme val="major"/>
      </rPr>
      <t>:</t>
    </r>
    <r>
      <rPr>
        <sz val="10"/>
        <color theme="1"/>
        <rFont val="Calibri Light"/>
        <family val="2"/>
        <scheme val="major"/>
      </rPr>
      <t xml:space="preserve">
*Total de citologías anormales, (superior a ASCUS): 
*Toma de colposcopia y que cumplen el estándar de oportunidad menor a 30 días en la realización de la colposcopia
* Fecha de colposcopia "menos" fecha toma de CCU = Resultados menores a 30 días para cargar al numerador.
</t>
    </r>
  </si>
  <si>
    <t>Mujeres que en los últimos 12 meses tienen prueba de tamización para cáncer de cuello uterino con reporte de: "anormalidad superior a ASCUS o Inspección Visual positiva  sin tratamiento inmediato"</t>
  </si>
  <si>
    <t>1- Res 202:
 Variable 88:  2 a 15 o  19
2- Modulo de gestión: 
  Pestaña tamización: 2 a 15 o positiva</t>
  </si>
  <si>
    <t>La fecha de colposcopia debe ser posterior a la fecha de tamizaje</t>
  </si>
  <si>
    <t>Tamizajes alterados de los últimos 12 meses a evaluar, incluyendo el mes a evaluar.</t>
  </si>
  <si>
    <t>Población denominador
Fecha valida de colposcopia
diferencia entre CCU y Colposcopia &lt;=30 días</t>
  </si>
  <si>
    <r>
      <t xml:space="preserve">Mujeres con tamizaje alterado, (CCU- via villi):
Variable: 
Población actual al mes a evaluar activos y nuevos 
Mujeres con citología cervicouterina (Superior a ASCUS) o Técnica de inspección Visual Positiva
Fecha de CCU: 12 meses atrás incluyendo el mes a evaluar y no se toman los últimos 2 meses
Fecha De VIA-VILI o TIV: 12 meses atrás incluyendo el mes a </t>
    </r>
    <r>
      <rPr>
        <strike/>
        <sz val="10"/>
        <color theme="1"/>
        <rFont val="Calibri Light"/>
        <family val="2"/>
        <scheme val="major"/>
      </rPr>
      <t xml:space="preserve">evaluar y no se toman los últimos 2 meses
</t>
    </r>
    <r>
      <rPr>
        <sz val="10"/>
        <color theme="1"/>
        <rFont val="Calibri Light"/>
        <family val="2"/>
        <scheme val="major"/>
      </rPr>
      <t>CCU y TIV posterior o igual a Fecha de afiliación</t>
    </r>
  </si>
  <si>
    <t>Se deben excluir del numerador los resultados "0" dias entre el tamizaje y la colposcopia</t>
  </si>
  <si>
    <t>Se Excluyen usuarios con diagnostico de cancer de cuello uterino que esten cargados en fuentes adicionales denominado "Patologia_DD/MM/AAAA"
Se excluye de los resultados:
1- ASC-US (células escamosas atípicas de significado indeterminado) 
16- Otras neoplasias
Usuarias VIA VILI con tratamiento Ablativo
Usarias con justificacion de no realizacion COLPOSCOPIA
1805,1810, 1825, 1830, 1835, 1840</t>
  </si>
  <si>
    <t>En la cohorte general con el filtro del denoinador, identificar la variable: 
Fecha de Colposcopia: Fecha valida que sea posterior al tamizaje
Se realiza la validación de la oportunidad:
Se resta Fecha de Colposcopia - Fecha de tamizaje, se toma la proporcion en dias entre 1 y 30 dìas</t>
  </si>
  <si>
    <t>De la cohorte general de cervix, se deben tener en cuenta los siguientes filtros: 
Sexo: Femenino
Estado de afiliaciòn: Activas
Tamizaje  Cáncer de Cuello Uterino: 1,3 (sin tratamiento inmediato) o 4
Resultado del tamizaje: 2 al 15 o 19
Se deben excluir las pacientes con Diagnostico de cáncer</t>
  </si>
  <si>
    <t>44.73%</t>
  </si>
  <si>
    <t>12/12/2025 Sin modificación  31/03/2025 Se ajusta nombre del indicador.  14/01/2025 Ajuste en definición de variable el denominador y en Periodo tanto numerador como denominador. 05/12/2024. Indicador nuevo que permite revisar todas las CCU alteradas de toda la vida</t>
  </si>
  <si>
    <t>RPYMS23X</t>
  </si>
  <si>
    <t>Valoración Salud bucal Primera Infancia</t>
  </si>
  <si>
    <t>Proporción de personas de 6 meses a 5 años que registran valoración de salud bucal según esquema definido</t>
  </si>
  <si>
    <t>Consulta de odontología (Primera vez)
Edad Corte: 6 meses a 5 años
Edad al Consulta: 6 meses a 5 años
Validez Consulta: últimos 12 meses incluyendo mes evaluado</t>
  </si>
  <si>
    <t>Total de población de 6 meses a 5 años.
Activos al mes evaluado.</t>
  </si>
  <si>
    <r>
      <t>1- RIPS: CUPS:</t>
    </r>
    <r>
      <rPr>
        <b/>
        <sz val="10"/>
        <color theme="1"/>
        <rFont val="Calibri Light"/>
        <family val="2"/>
        <scheme val="major"/>
      </rPr>
      <t xml:space="preserve"> 890203 
</t>
    </r>
    <r>
      <rPr>
        <sz val="10"/>
        <color theme="1"/>
        <rFont val="Calibri Light"/>
        <family val="2"/>
        <scheme val="major"/>
      </rPr>
      <t xml:space="preserve">
2- Res 202 Variable 76: Fecha Valida</t>
    </r>
  </si>
  <si>
    <t>50.44%</t>
  </si>
  <si>
    <t>52.57%</t>
  </si>
  <si>
    <t>11/02/2025 Se realiza eliminación de los 3 meses de afiliación. 14/01/2025 Se ajusta el numerador y denominador en definción de indicador.31/12/2024 De acuerdo al anexo 3 de la Resolucion 02717 del 2024 Ajuste UPC - la meta para ese indicador es del 34% y NEPS esta en el 35%.    09/12/2024: Se ajusta nombre del indicador; meta de acuerdo a Res 2364 de 2023 (primera infancia que dice 34%). Se retira cups de control 890303</t>
  </si>
  <si>
    <t>RPYMS24X</t>
  </si>
  <si>
    <t>Valoración Salud bucal Infancia</t>
  </si>
  <si>
    <t>Proporción de personas de 6  a 11 años que registran valoración de salud bucal según esquema definido</t>
  </si>
  <si>
    <t>Consulta de odontología (Primera vez )
Edad Corte: 6 a 11 años
Edad al Consulta: 6 a 11 años
Validez Consulta: últimos 12 meses incluyendo mes evaluado</t>
  </si>
  <si>
    <t>Total de población de 6 a 11 años.
 activos al mes evaluado.</t>
  </si>
  <si>
    <r>
      <t>1- RIPS: CUPS:</t>
    </r>
    <r>
      <rPr>
        <b/>
        <sz val="10"/>
        <color theme="1"/>
        <rFont val="Calibri Light"/>
        <family val="2"/>
        <scheme val="major"/>
      </rPr>
      <t xml:space="preserve"> 890203 </t>
    </r>
    <r>
      <rPr>
        <sz val="10"/>
        <color theme="1"/>
        <rFont val="Calibri Light"/>
        <family val="2"/>
        <scheme val="major"/>
      </rPr>
      <t xml:space="preserve">
2- Res 202 Variable 76: Fecha Valida</t>
    </r>
  </si>
  <si>
    <t>39.52%</t>
  </si>
  <si>
    <t>40.84%</t>
  </si>
  <si>
    <t>14/01/2025 Se rerita control de la definicion del numerador y se retiran los 3 meses de afiliación.  31/12/2024 De acuerdo al anexo 3 de la Resolucion 02717 del 2024 Ajuste UPC - la meta para ese indicador es del 39% y NEPS esta en el 40%.  09/12/2024: Se ajusta nombre del indicador de MSPS,  meta de acuerdo a Res 2364 de 2023 (primera infancia que dice 39%). Se retira cups de control 890303</t>
  </si>
  <si>
    <t>RPYMS25X</t>
  </si>
  <si>
    <t>Valoración Salud bucal Adolescencia</t>
  </si>
  <si>
    <t>Proporción de personas de 12  a 17 años que registran valoración de salud bucal según esquema definido</t>
  </si>
  <si>
    <t>Consulta de odontología (Primera vez )
Edad Corte: 12 a 17 años
Edad al Consulta: 12 a 17 años
Validez Consulta: últimos 12 meses incluyendo mes evaluado</t>
  </si>
  <si>
    <t>Total de población de 12 a 17 años.
Activos al mes evaluado.</t>
  </si>
  <si>
    <t>Consulta de odontología 
Edad a la consulta en el mismo rango de edad
Validez 12 meses incluido el mes a evaluar</t>
  </si>
  <si>
    <t>34.56%</t>
  </si>
  <si>
    <t>36.15%</t>
  </si>
  <si>
    <t>14/01/2025 Se realiza eliminación de los 3 meses de afiliación. 31/12/2024 De acuerdo al anexo 3 de la Resolucion 02717 del 2024 Ajuste UPC - la meta para ese indicador es del 30% y NEPS esta en el 30%.  09/12/2024: Se ajusta meta de acuerdo a Res 2364 de 2023 (primera infancia que dice 39%). Se retira cups de control 890303; se deja como equivalencia al indicador definido por  MSPS-ACEMI</t>
  </si>
  <si>
    <t>RPYMS27X</t>
  </si>
  <si>
    <t>Valoración Salud bucal Juventud</t>
  </si>
  <si>
    <t>Proporción de personas de 18 a 28 años que registran valoración de salud bucal según esquema definido</t>
  </si>
  <si>
    <t>Consulta de odontología (Primera vez )
Edad Corte: 18 a 28 años
Edad al Consulta: 18 a 28 años
Validez Consulta: últimos 24 meses incluyendo mes evaluado</t>
  </si>
  <si>
    <t>Total de población de 18 a 28 años.
 activos al mes evaluado.</t>
  </si>
  <si>
    <t xml:space="preserve">
Consulta de odontología 
Edad a la consulta en el mismo rango de edad
Validez 24 meses incluido el mes a evaluar</t>
  </si>
  <si>
    <t>34.36%</t>
  </si>
  <si>
    <t>35.05%</t>
  </si>
  <si>
    <t>12/12/2025 Sin modificación  14/01/2025 Se realiza eliminación de los 3 meses de afiliación. 31/12/2024 De acuerdo al anexo 3 de la Resolucion 02717 del 2024 Ajuste UPC - la meta para ese indicador es del 45% y NEPS esta en el 45%.  09/12/2024: Se ajusta meta de acuerdo a Res 2364 de 2023 (45%; se deja meta diferencial para territorios especiales). Se retira cups de control 890303;</t>
  </si>
  <si>
    <t>RPYMS28X</t>
  </si>
  <si>
    <t>Valoración Salud bucal adultez</t>
  </si>
  <si>
    <t>Proporción de personas de 29 a 59 años que registran valoración de salud bucal según esquema definido</t>
  </si>
  <si>
    <t>Consulta de odontología (Primera vez o control)
Edad Corte: 29 a 59 años
Edad al Consulta: 29 a 59 años
Validez Consulta: últimos 24 meses incluyendo mes evaluado</t>
  </si>
  <si>
    <t>Total de población de 29 a 59 años.
Activos al mes evaluado.</t>
  </si>
  <si>
    <t>Total de población de 29 a 59 años.
 activos a mes evaluado.</t>
  </si>
  <si>
    <t>32.95%</t>
  </si>
  <si>
    <t>33.55%</t>
  </si>
  <si>
    <t>12/12/2025 Sin modificación  14/01/2025 Se realiza eliminación de los 3 meses de afiliación. 31/12/2024 De acuerdo al anexo 3 de la Resolucion 02717 del 2024 Ajuste UPC - la meta para ese indicador es del 36% y NEPS esta en el 36%.  09/12/2024: Se ajusta meta de acuerdo a Res 2364 de 2023 (36%; se deja meta diferencial para territorios especiales). Se retira cups de control 890303.</t>
  </si>
  <si>
    <t>RPYMS29X</t>
  </si>
  <si>
    <t>Valoración Salud bucal vejez</t>
  </si>
  <si>
    <t>Proporción de personas mayores de 60 años que registran valoración de salud bucal según esquema definido</t>
  </si>
  <si>
    <t>Consulta de odontología (Primera vez)
Edad Corte: 60 años y más
Edad al Consulta: 60 años y más
Validez Consulta: últimos 24 meses incluyendo mes evaluado</t>
  </si>
  <si>
    <t>Total de población de 60 años y más.
 activos al mes evaluado.</t>
  </si>
  <si>
    <t>29.14%</t>
  </si>
  <si>
    <t>30.53%</t>
  </si>
  <si>
    <t>14/01/2025 Se realiza eliminación de los 3 meses de afiliación. //31/12/2024 De acuerdo al anexo 3 de la Resolucion 02717 del 2024 Ajuste UPC - la meta para ese indicador es del 28% y NEPS esta en el 30%.  //09/12/2024: Se ajusta meta de acuerdo a Res 2364 de 2023 (20%; se deja meta diferencial para territorios especiales). Se retira cups de control 890303.</t>
  </si>
  <si>
    <t>RPYMS493X</t>
  </si>
  <si>
    <t>Cumplimiento de tamizaje para la deteccion temprana de cancer de colon y recto en el año</t>
  </si>
  <si>
    <t>Proporción de personas entre 50 y 75 años que registra cualquiera de las pruebas de tamizaje tomadas en el año (SOMFI o colonoscopia) según la frecuencia de cada prueba</t>
  </si>
  <si>
    <t>SOMFI / Colonoscopia</t>
  </si>
  <si>
    <t>Número total de personas entre 50 y 75 años, afiliadas a Nueva EPS
Activos al corte del mes evaluado
Dividido en 12 multiplicado por mes a evaluar</t>
  </si>
  <si>
    <t>1- Res 202
variable 24 Resultado valido SOMFI
variable 36 Resultado valido (Colonoscopia)
variable 67 fecha valida (SOMFI)
variable 66 fecha valida (Colonsocopia)
2- Módulo de casos</t>
  </si>
  <si>
    <r>
      <t xml:space="preserve">toma colonoscopia </t>
    </r>
    <r>
      <rPr>
        <sz val="10"/>
        <color rgb="FFFF0000"/>
        <rFont val="Calibri Light"/>
        <family val="2"/>
        <scheme val="major"/>
      </rPr>
      <t>o SOMFI</t>
    </r>
    <r>
      <rPr>
        <sz val="10"/>
        <color theme="1"/>
        <rFont val="Calibri Light"/>
        <family val="2"/>
        <scheme val="major"/>
      </rPr>
      <t xml:space="preserve"> año Vigente</t>
    </r>
  </si>
  <si>
    <t>Para halalr el numerador se debe descargar la cohorte del DT de colorrectal y se toma el  total de personas con edad a la  toma de colonoscopia entre 50 y 75 años,  en el año vigente</t>
  </si>
  <si>
    <t>Para hallar el denominador se debe tomar el número total de personas entre 50 y 75 años, afiliadas a Nueva EPS de la base de población actual y nuevos
Activos al corte del mes evaluado
se debe dividir en 12 y se multiplica por el mes a evaluar</t>
  </si>
  <si>
    <t>8/01/2026  Se ajusta definición del numerador y numerador de la fuente y se modifica puntaje de 40 puntos a 20 puntos para dejar el 135X con 20 puntos jxar  //15/12/2025: se pasa a evaluativo y se ajusta puntaje, eyav// 5/12/2024 Se crea indicador teniendo en cuenta que la Res 3280 de 2018 menciona que la tamización se puede realizar con uno o con otro. Se deja meta de cobertura de tamizaje al 10% porque se incrementa de acuerdo con la frecuencia del tamizaje. Debe primar la colonoscopia sobre la SOMFI.</t>
  </si>
  <si>
    <t>RPYMS494X</t>
  </si>
  <si>
    <t>Cobertura de tamizaje para cancer colorrectal</t>
  </si>
  <si>
    <t>Proporción de personas entre 50 y 75 años que registra cualquiera de las pruebas de tamizaje (SOMFI o colonoscopia) según la frecuencia de cada prueba</t>
  </si>
  <si>
    <t>Número total de personas entre 50 y 75 años, 
Edad calculada a la toma del tamizaje (SOMF o Colonoscopia) entre 50 y 75 años, 
afiliadas a Nueva EPS a quienes se le ha realizado SOMF en los ultimos 2 años y colonoscopia en los últimos 10 años</t>
  </si>
  <si>
    <t>Dependiento del tipo de tamizaje utilizado sería:
10 años atrás incluyendo mes evaluado (Colonoscopia)
2 años atrás incluyendo mes evaluado (SOMFI)</t>
  </si>
  <si>
    <t>Población del denominador con:
toma colonoscopia 10 años
toma SOMFI 2 años</t>
  </si>
  <si>
    <t>Activos y nuevos: hombres y mujeres de 50 a 75 años
Mas de 3 meses afiliados a la aseguradora al mes evaluado</t>
  </si>
  <si>
    <t>Estan relacionados los indicadores: RPYMS88X, RPYMS69X, ya que los 2 miden cobertura de tamizaje</t>
  </si>
  <si>
    <t>Para hallar el numerador se descarga la cohorte del Dt colorreectal  del total de personas entre 50 y 75 años, 
Edad calculada a la toma del tamizaje (SOMF o Colonoscopia) entre 50 y 75 años, 
afiliadas a Nueva EPS a quienes se le ha realizado SOMF en los ultimos 2 años y colonoscopia en los últimos 10 años
Dependiento del tipo de tamizaje utilizado sería:
10 años atrás incluyendo mes evaluado (Colonoscopia)
2 años atrás incluyendo mes evaluado (SOMFI)</t>
  </si>
  <si>
    <t xml:space="preserve">Para hallar el denominador se debe tomar el número total de personas entre 50 y 75 años, afiliadas a Nueva EPS de la base de población actual y nuevos
que lleven mas de tres meses afiliados a nueva EPS
</t>
  </si>
  <si>
    <t>30.79%</t>
  </si>
  <si>
    <t>15/12/2025: se ajusta nombre del indicador, se pasa a evaluativo, para tener en cuenta las colonoscopias que se hagan, se disminuye meta...eyav //31/12/2024 De acuerdo al anexo 3 de la Resolucion 02717 del 2024 Ajuste UPC - la meta para ese indicador es del 1,8% y NEPS esta en el 70% por plan de intervención. //18/12/2024 Se complementa en definicion Variable  numerador y se ajusta denominador, complementa fuente numerador, se ajusta en periodo numerador y se complementa en población numerador.// 05/12/2024Se crea indicador teniendo en cuenta que la Res 3280 de 2018 menciona que la tamización se puede realizar con uno o con otro. Y se ajusta la meta al 70%. Debe primar la colonoscopia sobre la SOMFI</t>
  </si>
  <si>
    <t>RPYMS139X</t>
  </si>
  <si>
    <t>Detección Temprana de Cáncer Colorrectal</t>
  </si>
  <si>
    <t>Para hallar el numerador se debe de tomar de los usuarios del denominador las personas  clasificadas diagnosticadas en el periodo a evaluar, y que tienen estadio in situ o temprano se bebe desmarcar d ela variable motivo de egreso las fallecidas o descartados</t>
  </si>
  <si>
    <t>Para hallar el denominador se toma la base de alto impacto de cancer del año vigente se toman las personas diagnosticadas con cancer en el periodo a evaluar
Se debe desmarcar del denominador los usuarios que en la variable motivo de egreso esten como fallecidos o descartados</t>
  </si>
  <si>
    <t>RPYMS30X</t>
  </si>
  <si>
    <t>Cobertura de aplicación semestral de flúor (barniz)</t>
  </si>
  <si>
    <t>Proporción de personas de 1 a 17 años que registran aplicación de flúor en barniz en los últimos 6 meses</t>
  </si>
  <si>
    <t>Aplicación de Flúor en Barniz:
edad corte: 1 a 17 años
edad a la fecha del procedimiento: 1 a 17 años
Validez procedimiento anterior: 6 meses atrás incluyendo mes evaluado</t>
  </si>
  <si>
    <t>Total de población de 1 a 17 años.
afiliación al mes evaluado.</t>
  </si>
  <si>
    <r>
      <t xml:space="preserve">1- RIPS: CUPS </t>
    </r>
    <r>
      <rPr>
        <b/>
        <sz val="10"/>
        <color theme="1"/>
        <rFont val="Calibri Light"/>
        <family val="2"/>
        <scheme val="major"/>
      </rPr>
      <t>997106</t>
    </r>
    <r>
      <rPr>
        <sz val="10"/>
        <color theme="1"/>
        <rFont val="Calibri Light"/>
        <family val="2"/>
        <scheme val="major"/>
      </rPr>
      <t xml:space="preserve"> (Tipificación de flúor en barniz)</t>
    </r>
  </si>
  <si>
    <t xml:space="preserve">
Aplicación de flúor en barniz 
1 vez cada semestre
personas de 1 a 17 años</t>
  </si>
  <si>
    <t>Se retira por no ser normativo y queda como  evaluativo el indicador 30ax</t>
  </si>
  <si>
    <t>28.52%</t>
  </si>
  <si>
    <t xml:space="preserve">12/12/2025 Sin modificación  31/03/2025 Se actualiza cohorte para validar.  07/02/2025 Se elimina los 3 meses de afiliación. 09/12/2024: Se ajusta meta; se pasa a informativo; y se ajusta puntaje; EYAV. 
</t>
  </si>
  <si>
    <t>RPYMS559X</t>
  </si>
  <si>
    <t>Proporción de mujeres con diagnóstico de Lupus con uso de un método anticonceptivo</t>
  </si>
  <si>
    <t>Proporción de mujeres de 13 a 49 años con Lupus con reporte de suministro de método anticonceptivo vigente al periodo</t>
  </si>
  <si>
    <t>Numero de mujeres en edad fértil de 13 a 49 años con marcación de patología: Lupus
Registro uso de método anticonceptivo
*Validez método:
Opciones 1-2: 10 años atrás (dispositivo intrauterino)
Opciones 3-4: 5 años atrás (implante subdérmico)
Opciones 5-6-7-8-9-10: 12 meses atrás (inyectables y orales)
Opciones 13-14: Toda la vida (esterilización femenina)</t>
  </si>
  <si>
    <t xml:space="preserve">Total de mujeres de 13 a 49 años con comorbilidad: Lupus
 </t>
  </si>
  <si>
    <t>Población activa. Patologias Ruta Preconcepcional. La fuente para denominador "usuarias con diagnostico de lupus" del archivo de patologias que se carga por adicionales</t>
  </si>
  <si>
    <t xml:space="preserve">Mujeres de 13 a 49 años
Comorbilidad Lupus asociada
Registro de uso de método anticonceptivo </t>
  </si>
  <si>
    <t xml:space="preserve">Variable:
Población actual al mes a evaluar activos y nuevos
Mujeres de 13 a 49 años 
Con comorbilidad: Lupus
 </t>
  </si>
  <si>
    <t>09/12/2024. 
2023. No son validos el método de Barrera o Emergencia</t>
  </si>
  <si>
    <t xml:space="preserve">Cohorte MEF con Comorbilidades
1. Calcular edad a corte del periodo evaluar. Formula: =sifecha(FechaNacimiento;FechaCorte;"y")
2. Filtrar edad de 13 a 49 años
3. En la columna "Lupus" filtrar las usuarias con registro "1"
3. En la columna "Histerectomia" filtrar las usuarias con registro "0"
4. En la columna "Infertilidad" filtrar las usuarias con registro "0"
5. En la columna "Suministro de Método Anticonceptivo" filtrar los metodos con codigo valido (1,2,3,4,5,6,7,8,9,10,13,14)
6. En la columna "Fecha Suministro de Método Anticonceptivo" filtrar según vigencia de método
</t>
  </si>
  <si>
    <t xml:space="preserve">Cohorte MEF con Comorbilidades
1. Calcular edad a corte del periodo evaluar. Formula: =sifecha(FechaNacimiento;FechaCorte;"y")
2. Filtrar edad de 13 a 49 años
3. En la columna "Lupus" filtrar las usuarias con registro "1"
4. En la columna "Histerectomia" filtrar las usuarias con registro "0"
5. En la columna "Infertilidad" filtrar las usuarias con registro "0"
6. En la columna "Método planificación" excluir los comodines 16,17,18 y 20
</t>
  </si>
  <si>
    <t>MEF CON COMORBILIDAD</t>
  </si>
  <si>
    <t xml:space="preserve">12/12/2025 Sin modificación  9/12/2024: Indicador nuevo, hijo del indicador 95X; por favor Procex generar codificación en la cohorte. Lesly. </t>
  </si>
  <si>
    <t>RPYMS560X</t>
  </si>
  <si>
    <t>Proporción de mujeres con diagnóstico de Enf. Tiroidea con uso de un método anticonceptivo</t>
  </si>
  <si>
    <t>Proporción de mujeres de 13 a 49 años con Enf. Tiroidea con reporte de suministro de método anticonceptivo vigente al periodo</t>
  </si>
  <si>
    <t>Numero de mujeres en edad fértil de 13 a 49 años con marcación de patología: Enf. Tiroidea
Registro uso de método anticonceptivo
*Validez método:
Opciones 1-2: 10 años atrás (dispositivo intrauterino)
Opciones 3-4: 5 años atrás (implante subdérmico)
Opciones 5-6-7-8-9-10: 12 meses atrás (inyectables y orales)
Opciones 13-14: Toda la vida (esterilización femenina)</t>
  </si>
  <si>
    <t xml:space="preserve">Total de mujeres de 13 a 49 años con comorbilidad: Enf. Tiroidea
 </t>
  </si>
  <si>
    <t xml:space="preserve">Mujeres de 13 a 49 años
Comorbilidad Enf. Tiroidea asociada
Registro de uso de método anticonceptivo </t>
  </si>
  <si>
    <t xml:space="preserve">Variable:
Población actual al mes a evaluar activos y nuevos
Mujeres de 13 a 49 años 
Con comorbilidad: Enf. Tiroidea
 </t>
  </si>
  <si>
    <t>09/12/2024. En Colombia, la prevalencia del hipotiroidismo es considerablemente más elevada que la evidenciada en otras publicaciones. Se estima que 5,9 % de la población tiene hipotiroidismo subclínico.
2023. No son validos el método de Barrera o Emergencia</t>
  </si>
  <si>
    <t xml:space="preserve">Cohorte MEF con Comorbilidades
1. Calcular edad a corte del periodo evaluar. Formula: =sifecha(FechaNacimiento;FechaCorte;"y")
2. Filtrar edad de 13 a 49 años
3. En la columna " Enf. Tiroidea" filtrar las usuarias con registro "1"
3. En la columna "Histerectomia" filtrar las usuarias con registro "0"
4. En la columna "Infertilidad" filtrar las usuarias con registro "0"
5. En la columna "Suministro de Método Anticonceptivo" filtrar los metodos con codigo valido (1,2,3,4,5,6,7,8,9,10,13,14)
6. En la columna "Fecha Suministro de Método Anticonceptivo" filtrar según vigencia de método
</t>
  </si>
  <si>
    <t xml:space="preserve">Cohorte MEF con Comorbilidades
1. Calcular edad a corte del periodo evaluar. Formula: =sifecha(FechaNacimiento;FechaCorte;"y")
2. Filtrar edad de 13 a 49 años
3. En la columna " Enf. Tiroidea" filtrar las usuarias con registro "1"
4. En la columna "Histerectomia" filtrar las usuarias con registro "0"
5. En la columna "Infertilidad" filtrar las usuarias con registro "0"
6. En la columna "Método planificación" excluir los comodines 16,17,18 y 20
</t>
  </si>
  <si>
    <t>RPYMS561X</t>
  </si>
  <si>
    <t>Proporción de mujeres con diagnóstico de Epilepsia con uso de un método anticonceptivo</t>
  </si>
  <si>
    <t>Proporción de mujeres de 13 a 49 años con Epilepsia con reporte de suministro de método anticonceptivo vigente al periodo</t>
  </si>
  <si>
    <t>Numero de mujeres en edad fértil de 13 a 49 años con marcación de patología: Epilepsia
Registro uso de método anticonceptivo
*Validez método:
Opciones 1-2: 10 años atrás (dispositivo intrauterino)
Opciones 3-4: 5 años atrás (implante subdérmico)
Opciones 5-6-7-8-9-10: 12 meses atrás (inyectables y orales)
Opciones 13-14: Toda la vida (esterilización femenina)</t>
  </si>
  <si>
    <t xml:space="preserve">Total de mujeres de 13 a 49 años con comorbilidad: Epilepsia
 </t>
  </si>
  <si>
    <t xml:space="preserve">Mujeres de 13 a 49 años
Comorbilidad Epilepsia asociada
Registro de uso de método anticonceptivo </t>
  </si>
  <si>
    <t xml:space="preserve">Variable:
Población actual al mes a evaluar activos y nuevos
Mujeres de 13 a 49 años 
Con comorbilidad: Epilepsia
 </t>
  </si>
  <si>
    <t xml:space="preserve">Cohorte MEF con Comorbilidades
1. Calcular edad a corte del periodo evaluar. Formula: =sifecha(FechaNacimiento;FechaCorte;"y")
2. Filtrar edad de 13 a 49 años
3. En la columna "Epilepsia" filtrar las usuarias con registro "1"
3. En la columna "Histerectomia" filtrar las usuarias con registro "0"
4. En la columna "Infertilidad" filtrar las usuarias con registro "0"
5. En la columna "Suministro de Método Anticonceptivo" filtrar los metodos con codigo valido (1,2,3,4,5,6,7,8,9,10,13,14)
6. En la columna "Fecha Suministro de Método Anticonceptivo" filtrar según vigencia de método
</t>
  </si>
  <si>
    <t xml:space="preserve">Cohorte MEF con Comorbilidades
1. Calcular edad a corte del periodo evaluar. Formula: =sifecha(FechaNacimiento;FechaCorte;"y")
2. Filtrar edad de 13 a 49 años
3. En la columna "Epilepsia" filtrar las usuarias con registro "1"
4. En la columna "Histerectomia" filtrar las usuarias con registro "0"
5. En la columna "Infertilidad" filtrar las usuarias con registro "0"
6. En la columna "Método planificación" excluir los comodines 16,17,18 y 20
</t>
  </si>
  <si>
    <t>54.59%</t>
  </si>
  <si>
    <t>RPYMS562X</t>
  </si>
  <si>
    <t>Proporción de mujeres con diagnóstico de Enf. Cardiovascular con uso de un método anticonceptivo</t>
  </si>
  <si>
    <t>Proporción de mujeres de 13 a 49 años con Enf. Cardiovascular con reporte de suministro de método anticonceptivo vigente al periodo</t>
  </si>
  <si>
    <t>Numero de mujeres en edad fértil de 13 a 49 años con marcación de patología: Enf. Cardiovascular
Registro uso de método anticonceptivo
*Validez método:
Opciones 1-2: 10 años atrás (dispositivo intrauterino)
Opciones 3-4: 5 años atrás (implante subdérmico)
Opciones 5-6-7-8-9-10: 12 meses atrás (inyectables y orales)
Opciones 13-14: Toda la vida (esterilización femenina)</t>
  </si>
  <si>
    <t xml:space="preserve">Total de mujeres de 13 a 49 años con comorbilidad: Enf. Cardiovascular
 </t>
  </si>
  <si>
    <t xml:space="preserve">Mujeres de 13 a 49 años
Comorbilidad Enf. Cardiovascular asociada
Registro de uso de método anticonceptivo </t>
  </si>
  <si>
    <t xml:space="preserve">Variable:
Población actual al mes a evaluar activos y nuevos
Mujeres de 13 a 49 años 
Con comorbilidad: Enf. Cardiovascular
 </t>
  </si>
  <si>
    <t xml:space="preserve">Cohorte MEF con Comorbilidades
1. Calcular edad a corte del periodo evaluar. Formula: =sifecha(FechaNacimiento;FechaCorte;"y")
2. Filtrar edad de 13 a 49 años
3. En la columna "Enf. Cardiovascular" filtrar las usuarias con registro "1"
3. En la columna "Histerectomia" filtrar las usuarias con registro "0"
4. En la columna "Infertilidad" filtrar las usuarias con registro "0"
5. En la columna "Suministro de Método Anticonceptivo" filtrar los metodos con codigo valido (1,2,3,4,5,6,7,8,9,10,13,14)
6. En la columna "Fecha Suministro de Método Anticonceptivo" filtrar según vigencia de método
</t>
  </si>
  <si>
    <t xml:space="preserve">Cohorte MEF con Comorbilidades
1. Calcular edad a corte del periodo evaluar. Formula: =sifecha(FechaNacimiento;FechaCorte;"y")
2. Filtrar edad de 13 a 49 años
3. En la columna "Enf. Cardiovascular" filtrar las usuarias con registro "1"
4. En la columna "Histerectomia" filtrar las usuarias con registro "0"
5. En la columna "Infertilidad" filtrar las usuarias con registro "0"
6. En la columna "Método planificación" excluir los comodines 16,17,18 y 20
</t>
  </si>
  <si>
    <t>RPYMS547X</t>
  </si>
  <si>
    <t>Profilaxis Placa Bacteriana Primera Infancia</t>
  </si>
  <si>
    <t>Es la proporción de personas de primera infancia a las que se les ha realizado profilaxis y remoción de placa bacteriana</t>
  </si>
  <si>
    <t>Realización de placa Bacteriana
Edad Corte: 1 a 5 años
Edad al procedimiento: 1 a 5 años
Validez procedimiento: últimos 6 meses incluyendo mes evaluado</t>
  </si>
  <si>
    <t>Total de población de 1 a 5  años</t>
  </si>
  <si>
    <t>Realización de placa bacteriana
Edad a fecha de corte: 1 a 5 años
Edad a fecha de procedimiento: 1 a 5  años</t>
  </si>
  <si>
    <t>se debe atender al 100% de la poblacion cada 6 meses</t>
  </si>
  <si>
    <t>33.46%</t>
  </si>
  <si>
    <t>RPYMS548X</t>
  </si>
  <si>
    <t>Profilaxis Placa Bacteriana Infancia</t>
  </si>
  <si>
    <t>Es la proporción de personas de infancia a las que se les ha realizado profilaxis y remoción de placa bacteriana</t>
  </si>
  <si>
    <t>Realización de placa Bacteriana
Edad Corte: 6 A 11 años 
Edad al procedimiento: 6 A 11 años
Validez procedimiento: últimos 6 meses incluyendo mes evaluado</t>
  </si>
  <si>
    <t>Total de población de 6 a11 años</t>
  </si>
  <si>
    <t>Realización de placa Bacteriana
Edad Corte: 6 A 11 años 
Edad al procedimiento: 6 A 11 años</t>
  </si>
  <si>
    <t>Total población activa afiliada de 6 a11 años</t>
  </si>
  <si>
    <t>26.7%</t>
  </si>
  <si>
    <t>12/12/2025 Sin modificación  18/12/2024 Se adiciona definicion de variables, fuente, periodo, población  y se complementa meta (indicador madre un cumplimiento del 27,4% y al ser nuevo se deja igual meta) . //9/12/2024: Indicador nuevo MSPS-ACEMI</t>
  </si>
  <si>
    <t>RPYMS549X</t>
  </si>
  <si>
    <t>Profilaxis Placa Bacteriana Adolescencia</t>
  </si>
  <si>
    <t>Es la proporción de personas de adolescencia a las que se les ha realizado profilaxis y remoción de placa bacteriana</t>
  </si>
  <si>
    <t>Realización de placa Bacteriana
Edad Corte: 12 A 17 años 12 A 17 años
Validez procedimiento: últimos 6 meses incluyendo mes evaluado</t>
  </si>
  <si>
    <t xml:space="preserve">Realización de placa Bacteriana
Edad Corte: 12 A 17 años 
Edad a fecha de procedimiento: 12 A 17 años
</t>
  </si>
  <si>
    <t xml:space="preserve">Total población activa afiliada de 12 a 17 años
</t>
  </si>
  <si>
    <t>RPYMS550X</t>
  </si>
  <si>
    <t>Profilaxis Placa Bacteriana Juventud</t>
  </si>
  <si>
    <t>Es la proporción de personas jóvenes a las que se les ha realizado c profilaxis y remoción de placa bacteriana</t>
  </si>
  <si>
    <t xml:space="preserve">Realización de placa Bacteriana
Edad Corte: 18 a 28 años
Edad al procedimiento: 18 a 28 años
</t>
  </si>
  <si>
    <t xml:space="preserve">Total población activa afiliada de 18 a 28 años
</t>
  </si>
  <si>
    <t>se debe atender al 100% de la poblacion cada año</t>
  </si>
  <si>
    <t>19.06%</t>
  </si>
  <si>
    <t>RPYMS551X</t>
  </si>
  <si>
    <t>Profilaxis Placa Bacteriana Adultez</t>
  </si>
  <si>
    <t>Es la proporción de personas en adultez a las que se les ha realizado c profilaxis y remoción de placa bacteriana</t>
  </si>
  <si>
    <t>Realización de placa Bacteriana
Edad Corte: 29 años y  59 años
Edad al procedimiento: 29 años y 59 años
Validez procedimiento: últimos 24 meses incluyendo mes evaluado</t>
  </si>
  <si>
    <t xml:space="preserve">Total de población de 29 años y  59 años
</t>
  </si>
  <si>
    <t xml:space="preserve">Realización de placa Bacteriana
Edad Corte: 29 años y  59 años
Edad al procedimiento: 29 años y 59 años
</t>
  </si>
  <si>
    <t xml:space="preserve">Total población activa afiliada de 29 años y  59 años
</t>
  </si>
  <si>
    <t>se debe atender al 50% de la poblacion cada año, para lograr cobertura del 100% en 2 años</t>
  </si>
  <si>
    <t>28.71%</t>
  </si>
  <si>
    <t>RPYMS552X</t>
  </si>
  <si>
    <t>Profilaxis Placa Bacteriana Vejez</t>
  </si>
  <si>
    <t>Es la proporción de personas en vejez a las que se les ha realizado  profilaxis y remoción de placa bacteriana</t>
  </si>
  <si>
    <t>Realización de placa Bacteriana
Edad Corte:  60 años y más
Edad al procedimiento: 60 años y más
Validez procedimiento: últimos 24 meses incluyendo mes evaluado</t>
  </si>
  <si>
    <t xml:space="preserve">Realización de placa Bacteriana
Edad Corte:  60 años y más
Edad al procedimiento: 60 años y más
</t>
  </si>
  <si>
    <t xml:space="preserve">Total población activa afiliada de 60 años y más
</t>
  </si>
  <si>
    <t>25.01%</t>
  </si>
  <si>
    <t>RPYMS621X</t>
  </si>
  <si>
    <r>
      <t xml:space="preserve">Cobertura de Vacunación de Fiebre amarilla </t>
    </r>
    <r>
      <rPr>
        <sz val="10"/>
        <color rgb="FFFF0000"/>
        <rFont val="Calibri Light"/>
        <family val="2"/>
        <scheme val="major"/>
      </rPr>
      <t>en población general</t>
    </r>
  </si>
  <si>
    <r>
      <rPr>
        <sz val="10"/>
        <color rgb="FF000000"/>
        <rFont val="Calibri Light"/>
        <family val="2"/>
        <scheme val="major"/>
      </rPr>
      <t xml:space="preserve">Proporción de  usuarios de </t>
    </r>
    <r>
      <rPr>
        <sz val="10"/>
        <color rgb="FFFF0000"/>
        <rFont val="Calibri Light"/>
        <family val="2"/>
        <scheme val="major"/>
      </rPr>
      <t>9 meses en adelante</t>
    </r>
    <r>
      <rPr>
        <strike/>
        <sz val="10"/>
        <color rgb="FF000000"/>
        <rFont val="Calibri Light"/>
        <family val="2"/>
        <scheme val="major"/>
      </rPr>
      <t xml:space="preserve"> </t>
    </r>
    <r>
      <rPr>
        <sz val="10"/>
        <color rgb="FF000000"/>
        <rFont val="Calibri Light"/>
        <family val="2"/>
        <scheme val="major"/>
      </rPr>
      <t>con registro de aplicación de Fiebre amarilla</t>
    </r>
  </si>
  <si>
    <r>
      <rPr>
        <sz val="10"/>
        <color rgb="FF000000"/>
        <rFont val="Calibri Light"/>
        <family val="2"/>
        <scheme val="major"/>
      </rPr>
      <t xml:space="preserve">Afiliados de </t>
    </r>
    <r>
      <rPr>
        <sz val="10"/>
        <color rgb="FFFF0000"/>
        <rFont val="Calibri Light"/>
        <family val="2"/>
        <scheme val="major"/>
      </rPr>
      <t xml:space="preserve">9 meses en adelante
</t>
    </r>
    <r>
      <rPr>
        <sz val="10"/>
        <color rgb="FF000000"/>
        <rFont val="Calibri Light"/>
        <family val="2"/>
        <scheme val="major"/>
      </rPr>
      <t xml:space="preserve">Registran aplicación de Fiebre Amarilla
edad a la fecha de aplicación &gt;= </t>
    </r>
    <r>
      <rPr>
        <sz val="10"/>
        <color rgb="FFFF0000"/>
        <rFont val="Calibri Light"/>
        <family val="2"/>
        <scheme val="major"/>
      </rPr>
      <t>9</t>
    </r>
    <r>
      <rPr>
        <sz val="10"/>
        <color rgb="FF000000"/>
        <rFont val="Calibri Light"/>
        <family val="2"/>
        <scheme val="major"/>
      </rPr>
      <t xml:space="preserve"> meses</t>
    </r>
  </si>
  <si>
    <r>
      <rPr>
        <sz val="10"/>
        <color rgb="FF000000"/>
        <rFont val="Calibri Light"/>
        <family val="2"/>
        <scheme val="major"/>
      </rPr>
      <t xml:space="preserve">Total de población de </t>
    </r>
    <r>
      <rPr>
        <sz val="10"/>
        <color rgb="FFFF0000"/>
        <rFont val="Calibri Light"/>
        <family val="2"/>
        <scheme val="major"/>
      </rPr>
      <t>9 meses y mas</t>
    </r>
  </si>
  <si>
    <t>1- Modulo de gestión de vacunación menores
2- Modulo de gestión de vacunación general
 * PAIWEB - PAI DISTRITAL
 * Plantilla EPS menores
 * RIPS (Dosis únicas): 993504</t>
  </si>
  <si>
    <t>Población actual al mes a evaluar activos y nuevos
&gt;= a 9 meses</t>
  </si>
  <si>
    <t>Vacunación menores
Vacunación general</t>
  </si>
  <si>
    <t>35.21%</t>
  </si>
  <si>
    <t>12/12/2025 Se ajusta el nombre del indicador, así como la definición operacional, se modifica la definición de variables para el numerador y denominador, y en la variable población se modifica el rango de edad en el numerador y denominador.  //15/10/2025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//09/12/2024. Se crea nuevo indicador hijo del 295. En el momento tenemos un indicador que mide la cobertura de 1 a 10 años, pero no hay un indicador para realizar seguimiento a la vacunación de los usuarios de 1 a 59 años.</t>
  </si>
  <si>
    <t>RPYMS486X</t>
  </si>
  <si>
    <t>Oportunidad en toma de colposcopia</t>
  </si>
  <si>
    <t>Número de días entre la fecha de realización de tamización positiva y la toma de colposcopia</t>
  </si>
  <si>
    <t>Días</t>
  </si>
  <si>
    <t xml:space="preserve">Sumatoria de días entre la toma de tamizaje positivo y la fecha de toma de colposcopia </t>
  </si>
  <si>
    <t>Total de citologías alteradas año vigente
Fecha de toma de tamizaje con citologia cervico uterina posterior a la fecha de afiliación</t>
  </si>
  <si>
    <t xml:space="preserve">Mujeres tamizadadas con citologia cervico uterina cuyo resultado de citologia esté alterado
1- Resolucion 202
Variable 86: opcion 1 y 4
Variable 87: Fecha valida 12 meses atrás incluyendo el mes evaluado 
 Variable 88:  2 a 15
2- Modulo de gestión: 
  Pestaña tamización: 2 a 15 </t>
  </si>
  <si>
    <t>Población denominador
Fecha valida de colposcopia
diferencia en dias entre CCU y Colposcopia &lt;=30 días
Fecha de colposcopia superior a la fecha de tamizaje CCU</t>
  </si>
  <si>
    <t>Variable: 
Población actual al mes a evaluar activos y nuevos 
Mujeres con citología cervicouterina (Superior a ASCUS)
Fecha de CCU: 12 meses atrás incluyendo el mes a evaluar 
CCU posterior o igual a Fecha de afiliación</t>
  </si>
  <si>
    <t>Es un indicador con unidada de medida es en dias</t>
  </si>
  <si>
    <t>30 dias por normatividad y plan de intervención forzosa administrativa</t>
  </si>
  <si>
    <t>En la cohorte general con el filtro del denominador, se debe identificar la variable: 
Fecha de Colposcopia: Fecha valida posterior al tamizaje 
Se debe calcular la diferencia entre la realización del colposcopia - la fecha del tamizaje promedio en dias entre 1 y 30</t>
  </si>
  <si>
    <t>En la cohorte general de cervix, se deben identificar las siguientes variables para el denominador:
Sexo:Femenino
Estado de afiliación: Activo
Tamizaje Cáncer de Cuello Uterino: 1 o 4
Fecha de tamizaje: 12 meses atrás incluyendo el mes a evaluar
Resultado del tamizaje: 2 al 15
Se deben excluir las usuarias con Diagnostico de cáncer</t>
  </si>
  <si>
    <t>DT cervix positivas</t>
  </si>
  <si>
    <t>48.06%</t>
  </si>
  <si>
    <t>RPYMS487X</t>
  </si>
  <si>
    <t>Proporción de mujeres entre 25 y 29 años tamizadas para cáncer de cuello uterino con citología, según esquema</t>
  </si>
  <si>
    <t>Proporción de mujeres de 25 a 29 años que cumplen con toma de  prueba de tamizaje para cáncer de cuello uterino citología  según esquema</t>
  </si>
  <si>
    <t>Citologias</t>
  </si>
  <si>
    <t>Número total de  mujeres entre 25 y 29 años 
tamizadas con prueba citologia  (Toma y resultado)
Fecha de tamizaje vigente (últimos 3 años) independiente de la fecha de afiliacion a Nueva EPS
últimos 3 años incluyendo mes evaluado</t>
  </si>
  <si>
    <t xml:space="preserve">Total de mujeres entre 25 y 29 años
Activas y nuevas
</t>
  </si>
  <si>
    <t xml:space="preserve">1- Res 202: 
Variable 86: 1
variable 87: Fecha valida
2- Modulo de gestión: Pestaña tamizaje- prueba citologia - Fecha valida y resultado valido
</t>
  </si>
  <si>
    <t>Mujeres de 25 a 29 años
Toma de citología en los últimos 3 años al mes a evaluar
Resultado valido</t>
  </si>
  <si>
    <t xml:space="preserve">Variable:
Población actual al mes a evaluar activos y nuevos
Mujeres de 25 a 29 años </t>
  </si>
  <si>
    <t>Para el numerador, se tiene en cuenta de la cohorte general de cervix las siguientes variables:
Sexo:Femenino
Edad:Entre 25 y 29 años
Estado de afiliación: Activo
Tamizaje Cáncer de Cuello Uterino
Fecha de tamizaje: 3 años atrás incluyendo el mes a evaluar</t>
  </si>
  <si>
    <t>Se debe descargar  la base de población actual nueva con los siguientes filtros:
1. Sexo: Femenino
2. Edad entre 25 y 29 años
3. Estado de afiliación: Activas</t>
  </si>
  <si>
    <t>43.99%</t>
  </si>
  <si>
    <t>12/12/2025 Se ajusta meta 5/12/2024: Indicador nuevo. EYAV</t>
  </si>
  <si>
    <t>RPYMS553X</t>
  </si>
  <si>
    <t>Tamizaje Agudeza Visual Primera Infancia</t>
  </si>
  <si>
    <t>Es la proporción de personas en primera infancia a quienes se les realizó tamizaje de agudeza visual</t>
  </si>
  <si>
    <t>Número de personas con tamizaje de agudeza visual (fecha valida), con la siguiente frecuencia en cada uno de los rangos de edad:
Edad corte: 3 a 5 años - Vigencia consulta: últimos 15 meses</t>
  </si>
  <si>
    <r>
      <t xml:space="preserve">Total de personas entre </t>
    </r>
    <r>
      <rPr>
        <strike/>
        <sz val="10"/>
        <color theme="1"/>
        <rFont val="Calibri Light"/>
        <family val="2"/>
        <scheme val="major"/>
      </rPr>
      <t>4 y 6</t>
    </r>
    <r>
      <rPr>
        <sz val="10"/>
        <color theme="1"/>
        <rFont val="Calibri Light"/>
        <family val="2"/>
        <scheme val="major"/>
      </rPr>
      <t xml:space="preserve"> 3  y 5 años cumplidos a la fecha de corte y afiliados al SGSSS</t>
    </r>
  </si>
  <si>
    <t>1- RIPS: 
* CUPS con Finalidad 12 Detección temprana de enfermedad general (anterior Finalidad 8) o CIE-10 Z010
950601 MEDICION DE AGUDEZA VISUAL
2- RES 202. Variable 62 fecha válida</t>
  </si>
  <si>
    <t>Población objetivo con registro de consultas según esquema</t>
  </si>
  <si>
    <r>
      <t>Población actual al mes a evaluar activos y nuevos
3 años</t>
    </r>
    <r>
      <rPr>
        <strike/>
        <sz val="10"/>
        <color theme="1"/>
        <rFont val="Calibri Light"/>
        <family val="2"/>
        <scheme val="major"/>
      </rPr>
      <t xml:space="preserve"> y 6</t>
    </r>
    <r>
      <rPr>
        <sz val="10"/>
        <color theme="1"/>
        <rFont val="Calibri Light"/>
        <family val="2"/>
        <scheme val="major"/>
      </rPr>
      <t xml:space="preserve"> a 5 años</t>
    </r>
  </si>
  <si>
    <t xml:space="preserve">1. Calcular edad a la fecha de corte. 
2.Calcular edad a la fecha  del tamizaje de agudeza visual. 
3. Filtrar edad al corte y edad a la fecha del tamizaje visual  mas reciente.  
4.  Se validan fechas de tamizajes visuales con resultados  y que la vigencia del tamizaje sea en los últimos quince meses incluido el mes a  evaluar </t>
  </si>
  <si>
    <t xml:space="preserve">1. Calcular edad a la fecha de corte. 
2. Filtrar población de  3 a 5  años activos y nuevos. </t>
  </si>
  <si>
    <t>Cohorte Salud Visual 
Primera Infancia</t>
  </si>
  <si>
    <t>56.85%</t>
  </si>
  <si>
    <t>14/01/2025 Se ajusta en definición de variables el denominador. 9/12/2024: Indicador nuevo, Lesly /Xymena</t>
  </si>
  <si>
    <t>RPYMS554X</t>
  </si>
  <si>
    <t>Tamizaje Agudeza Visual Infancia</t>
  </si>
  <si>
    <t>Es la proporción de personas en infancia a las que se les realizó tamizaje de agudeza visual</t>
  </si>
  <si>
    <t>Número de personas con tamizaje de agudeza visual (fecha valida), con la siguiente frecuencia en cada uno de los rangos de edad:
Edad corte: 6 a 11 años - Vigencia consulta: últimos  2 años</t>
  </si>
  <si>
    <r>
      <t xml:space="preserve">Total de personas entre </t>
    </r>
    <r>
      <rPr>
        <strike/>
        <sz val="10"/>
        <color theme="1"/>
        <rFont val="Calibri Light"/>
        <family val="2"/>
        <scheme val="major"/>
      </rPr>
      <t>7 y 12</t>
    </r>
    <r>
      <rPr>
        <sz val="10"/>
        <color theme="1"/>
        <rFont val="Calibri Light"/>
        <family val="2"/>
        <scheme val="major"/>
      </rPr>
      <t xml:space="preserve"> 6 y 11 años cumplidos a la fecha de corte y afiliados al SGSSS
</t>
    </r>
  </si>
  <si>
    <r>
      <t xml:space="preserve">Población actual al mes a evaluar activos y nuevos
</t>
    </r>
    <r>
      <rPr>
        <strike/>
        <sz val="10"/>
        <color theme="1"/>
        <rFont val="Calibri Light"/>
        <family val="2"/>
        <scheme val="major"/>
      </rPr>
      <t>6 años y 12 años entre</t>
    </r>
    <r>
      <rPr>
        <sz val="10"/>
        <color theme="1"/>
        <rFont val="Calibri Light"/>
        <family val="2"/>
        <scheme val="major"/>
      </rPr>
      <t xml:space="preserve">  6 y 11 años</t>
    </r>
  </si>
  <si>
    <t xml:space="preserve">1. Calcular edad a la fecha de corte. 
2.Calcular edad a la fecha  del tamizaje de agudeza visual. 
3. Filtrar edad al corte y edad a la fecha del tamizaje visual  mas reciente.  
4.  Se validan fechas de tamizajes visuales con resultados  y que la vigencia del tamizaje sea en los últimos dos años  incluido el mes a  evaluar </t>
  </si>
  <si>
    <t xml:space="preserve">1. Calcular edad a la fecha de corte. 
2. Filtrar población de  6 a 11  años activos y nuevos. </t>
  </si>
  <si>
    <t>Cohorte Salud Visual 
Infancia</t>
  </si>
  <si>
    <t>52.5%</t>
  </si>
  <si>
    <t>14/01/2025 se modifica edades en denominador de la defincion del indicador. 9/12/2024: Indicador nuevo, Lesly /Xymena</t>
  </si>
  <si>
    <t>RPYMS555X</t>
  </si>
  <si>
    <t>Tamizaje Agudeza Visual Adolescencia</t>
  </si>
  <si>
    <t>Es la proporción de personas en adolescencia a las que se les realizó tamizaje de agudeza visual</t>
  </si>
  <si>
    <t>Número de personas con tamizaje de agudeza visual (fecha valida), con la siguiente frecuencia en cada uno de los rangos de edad:
Edad corte: 12 a 17 años - Vigencia consulta: últimos 2 años</t>
  </si>
  <si>
    <t xml:space="preserve">1. Calcular edad a la fecha de corte. 
2. Filtrar población de  12 a 17  años activos y nuevos. </t>
  </si>
  <si>
    <t>Cohorte Salud Visual 
Adolescencia</t>
  </si>
  <si>
    <t>52.8%</t>
  </si>
  <si>
    <t>14/01/2025 Se ajusta en definición de variables el denominador. 19/12/2024  Se ajusta fuente numerador. //9/12/2024: Indicador nuevo, Lesly /Xymena</t>
  </si>
  <si>
    <t>RPYMS556X</t>
  </si>
  <si>
    <t>Tamizaje Agudeza Visual juventud</t>
  </si>
  <si>
    <t>Es la proporción de personas en la juventud a las que se les realizó tamizaje de agudeza visual</t>
  </si>
  <si>
    <t>Número de personas con tamizaje de agudeza visual (fecha valida), con la siguiente frecuencia en cada uno de los rangos de edad:
Edad corte: 18 a 23 años - Edad AV: 18 a 23 años
Edad corte: 24 a 28 años - Edad AV: 24 a 28 años</t>
  </si>
  <si>
    <t xml:space="preserve">1. Calcular edad a la fecha de corte. 
2.Calcular edad a la fecha  del tamizaje de agudeza visual. 
3. Filtrar edad al corte y edad a la fecha del tamizaje visual  mas reciente.  
4.  Se validan fechas de tamizajes visuales con resultados según esquema descrito en la definición de variables del numerador 
</t>
  </si>
  <si>
    <t xml:space="preserve">1. Calcular edad a la fecha de corte. 
2. Filtrar población de  18 a 28  años activos y nuevos. </t>
  </si>
  <si>
    <t>Cohorte Salud Visual 
juventud</t>
  </si>
  <si>
    <t>39.01%</t>
  </si>
  <si>
    <t>RPYMS557X</t>
  </si>
  <si>
    <t>Tamizaje Agudeza Visual Adultez</t>
  </si>
  <si>
    <t>Es la proporción de personas en la adultez a las que se les realizó tamizaje de agudeza visual</t>
  </si>
  <si>
    <t>Número de personas con tamizaje de agudeza visual (fecha valida), con la siguiente frecuencia en cada uno de los rangos de edad:
Edad corte: 29 a 44 años - Vigencia consulta: últimos 5 años
Edad corte: 45 a 59 años - Vigencia consulta: últimos 4 años</t>
  </si>
  <si>
    <t xml:space="preserve">1. Calcular edad a la fecha de corte. 
2. Filtrar población de  29  a 59 años activos y nuevos. </t>
  </si>
  <si>
    <t>Cohorte Salud Visual 
 adultez</t>
  </si>
  <si>
    <t>31.82%</t>
  </si>
  <si>
    <t>RPYMS558X</t>
  </si>
  <si>
    <t>Tamizaje Agudeza Visual Vejez</t>
  </si>
  <si>
    <t>Es la proporción de personas en la vejez las que se les realizó tamizaje de agudeza visual</t>
  </si>
  <si>
    <t>Número de personas con tamizaje de agudeza visual (fecha valida), con la siguiente frecuencia en cada uno de los rangos de edad:
Edad corte: 60 años y más - Vigencia consulta: últimos 3 años</t>
  </si>
  <si>
    <t>Población actual al mes a evaluar activos y nuevos
60 años y más</t>
  </si>
  <si>
    <t xml:space="preserve">1. Calcular edad a la fecha de corte. 
2. Filtrar población de  60 y mas   años activos y nuevos. </t>
  </si>
  <si>
    <t>Cohorte Salud Visual 
Vejez</t>
  </si>
  <si>
    <t>60.86%</t>
  </si>
  <si>
    <t>RPYMS535X</t>
  </si>
  <si>
    <t>Cumplimiento en la valoración integral de la primera infancia en el año</t>
  </si>
  <si>
    <t>Proporción de niñas y niños  en primera infancia con atención por enfermería, medicina general o especializada en pediatría o medicina familiar de acuerdo con el esquema definido en la ruta de promoción y mantenimiento de la salud para el último año de vida.</t>
  </si>
  <si>
    <t>Valoración integral Med-Enf</t>
  </si>
  <si>
    <t>Número de personas que reciben atención por profesional en salud de medicina o enfermería definidos en el esquema de la ruta de promoción y mantenimiento de la salud, que cumple el esquema definido en la ruta de promoción y mantenimiento de la salud en los últimos 12 meses de vida, (se debe revisar que atenciones de valoración  integral le corresponde en los ultimos 12 meses y si las tiene cumple para el numerador).</t>
  </si>
  <si>
    <t>Primera Infancia
- Medicina General, Medicina Familiar o Pediatría:
*RIPS: CUPS más la finalidad 4 o (Res 2275 - CUPS con finalidad 11) o CUPS más CIE-10: Z001
89.0.2.01 (consulta de primera vez por medicina general)
89.0.3.01 (Consulta de control o seguimiento por medicina general)
89.0.2.83 (consulta de primera vez por especialista en pediatría)
89.0.3.83 (Consulta de control o seguimiento por especialista en pediatría)
89.0.2.63 (consulta de primera vez por especialista en medicina familiar)
89.0.3.63 (Consulta de control o seguimiento por especialista en medicina familiar)
- Enfermería:
*RIPS: CUPS 
89.0.2.05 (Consulta de primera vez por enfermería)
89.0.3.05 (Consulta de control o de seguimiento por enfermería)
NOTA: Se tiene en cuenta la edad a la fecha de afiliación y edad a entrada en vigencia de la RPYMS (01/02/2019)</t>
  </si>
  <si>
    <t>Ultimos 12 meses al mes evaluado</t>
  </si>
  <si>
    <t>Población afiliada  mes a evaluar activos y nuevos 
Total de población afiliada</t>
  </si>
  <si>
    <t>Para esta evaluación se deben tomar en el numerador las atenciones de acuerdo a la edad del usuario y del momento del curso de vida, así:
- Primera Infancia: 
* Atención en salud por medicina general o especialista en pediatría , medicina familiar o profesional de enfermería: 12 veces en el momento (1 m,2-3m, 4-5m, 6-8m,  9-11m, 12-18m, 18-23m, 24-29m, 30-35m, 3a, 4a, 5a) ( por lo menos una vez en el momento)
NOTA: Se tiene en cuenta la edad a la fecha de afiliación y edad a entrada en vigencia de la RPYMS (01/02/2019)</t>
  </si>
  <si>
    <t>67.79%</t>
  </si>
  <si>
    <t>RPYMS520X</t>
  </si>
  <si>
    <t>Cumplimiento de la valoración integral de la infancia en el ultimo año</t>
  </si>
  <si>
    <t>Niñas y niños  en infancia con atención por enfermería, medicina general o especializada en pediatría o medicina familiar de acuerdo con el esquema definido en la ruta de promoción y mantenimiento de la salud para el último año de vida.</t>
  </si>
  <si>
    <t xml:space="preserve">Número de niñas y niños  en infancia con atención por enfermería, medicina general o especializada en pediatría o medicina familiar  que cumple el esquema definido en la ruta de promoción y mantenimiento de la salud en los últimos 12 meses de vida, (se debe revisar que atenciones de valoración  integral le corresponde en los ultimos 12 meses y si las tiene cumple para el numerador). </t>
  </si>
  <si>
    <t xml:space="preserve">Total de población Objetivo
</t>
  </si>
  <si>
    <t>Infancia
- Medicina General, Medicina Familiar, Pediatría, enfermeria:
*RIPS: CUPS más la finalidad 4 o (Res 2275 - CUPS con finalidad 11) o CUPS más CIE-10: Z001 o Z002
89.0.2.01 (consulta de primera vez por medicina general)
89.0.3.01 (Consulta de control o seguimiento por medicina general)
89.0.2.83 (consulta de primera vez por especialista en pediatría)
89.0.3.83 (Consulta de control o seguimiento por especialista en pediatría)
89.0.2.63 (consulta de primera vez por especialista en medicina familiar)
89.0.3.63 (Consulta de control o seguimiento por especialista en medicina familiar)
- Enfermería:
*RIPS: CUPS 
89.0.2.05 (Consulta de primera vez por enfermería)
89.0.3.05 (Consulta de control o de seguimiento por enfermería)
NOTA: Se tiene en cuenta la edad a la fecha de afiliación y edad a entrada en vigencia de la RPYMS (01/02/2019)</t>
  </si>
  <si>
    <t xml:space="preserve">Población de 6, 8 y 10 con atencion por medicina gral y especializada, y población de 7, 9 y 11 con atención por enfermeria. </t>
  </si>
  <si>
    <t>Para esta evaluación se deben tomar en el numerador las atenciones de acuerdo a la edad del usuario y del momento del curso de vida, así:
- Infancia: 
* Atención en salud por medicina general o especialista en pediatría, medicina familiar o profesional de enfermería: 6 veces en el momento 6,7, 8,9, 10 y 11 años ( por lo menos una vez en el momento)
NOTA: Se tiene en cuenta la edad a la fecha de afiliación y edad a entrada en vigencia de la RPYMS (01/02/2019)</t>
  </si>
  <si>
    <t>25.52%</t>
  </si>
  <si>
    <t>12/12/2025 Se modifica meta - nombre del indicador.  //31/03/2025 Se actualiza a ultima Resolución de Cups 2275/2023 en variable fuente.  12/02/2025 Se ajusta en la variable población el numerador. 17/12/2024 se adiciona CIE Z002 en la Fuente. //9/12/2024: Indicador nuevo MSPS-ACEMI; se deja este año informativo y el año entrante pasara a evaluativo, para retirar los de cumplimiento año. Lesly- Xymena</t>
  </si>
  <si>
    <t>RPYMS461X</t>
  </si>
  <si>
    <t>Cumplimiento de valoración integral en la Adolescencia</t>
  </si>
  <si>
    <t>Adolescentes con atención por enfermería, medicina general o medicina familiar de acuerdo con el esquema definido en la ruta de promoción y mantenimiento de la salud para el último año de vida.</t>
  </si>
  <si>
    <t>Número de personas que reciben atención por medicina general o medicina familiar o enfermería,  que cumple el esquema definido en la ruta de promoción y mantenimiento de la salud en los últimos 12 meses de vida, (se debe revisar que atenciones de valoración  integral le corresponde en los ultimos 12 meses y si las tiene cumple para el numerador).</t>
  </si>
  <si>
    <t>Adolescencia:
- Medicina General o Medicina Familiar:
*RIPS: CUPS más finalidad 5 o (Res 2275 - CUPS con finalidad 11)  o CUPS más CIE-10: Z003
89.0.2.01 (consulta de primera vez por medicina general)
89.0.3.01 (Consulta de control o seguimiento por medicina general)
89.0.2.63 (consulta de primera vez por especialista en medicina familiar)
89.0.3.63 (Consulta de control o seguimiento por especialista en medicina familiar)
- Enfermería:
*RIPS: CUPS más finalidad 4 o 5 o (Res 2275 - CUPS con finalidad 11)  o CUPS más CIE-10: Z003
89.0.2.05 (Consulta de primera vez por enfermería)
89.0.3.05 (Consulta de control o de seguimiento por enfermería)
NOTA: Se tiene en cuenta la edad a la fecha de afiliación y edad a entrada en vigencia de la RPYMS (01/02/2019)</t>
  </si>
  <si>
    <t>Población afiliada  mes a evaluar activos y nuevos 
De 13 a 17 años</t>
  </si>
  <si>
    <t>Para esta evaluación se deben tomar en el numerador las atenciones de acuerdo a la edad del usuario y del momento del curso de vida, así:
- Adolescencia:
* Atención en salud por medicina general, medicina familiar o profesional de enfermería: 6 veces en el momento: 12, 13, 14,15, 16 y 17 años (por lo menos una vez en el momento) 
NOTA: Se tiene en cuenta la edad a la fecha de afiliación y edad a entrada en vigencia de la RPYMS (01/02/2019)</t>
  </si>
  <si>
    <t xml:space="preserve">1. Calcular edad a corte del periodo evaluar. Formula: =sifecha(FechaNacimiento;FechaCorte;"y")
2. Filtrar población de 13 a 17 años
3. En la columna "Fecha Última Valoración integral" filtrar las atenciones 12 meses atrás incluyendo el mes a evaluar
</t>
  </si>
  <si>
    <t xml:space="preserve">1. Calcular edad a corte del periodo evaluar. Formula: =sifecha(FechaNacimiento;FechaCorte;"y")
2. Filtrar población de 13 a 17 años
</t>
  </si>
  <si>
    <t>34.29%</t>
  </si>
  <si>
    <t>12/12/2025 Se modifica meta del indicador.  //31/03/2025 Se actualiza a ultima Resolución de Cups 2275/2023 en variable fuente.  17/12/2024 Se modifica definición del numerador, se ajusta descripción de numerador y denominador de la población y se incluyen las estimaciones //9/12/2024: Indicador nuevo MSPS-ACEMI; se deja este año informativo y el año entrante pasara a evaluativo, para retirar los de cumplimiento año. Lesly- Xymena</t>
  </si>
  <si>
    <t>RPYMS521X</t>
  </si>
  <si>
    <t>Cumplimiento de valoración integral en la juventud</t>
  </si>
  <si>
    <t>Es la proporción de jóvenes con atención por medicina general o medicina familiar de acuerdo con el esquema definido en la ruta de promoción y mantenimiento de la salud para el último rango de edad</t>
  </si>
  <si>
    <r>
      <rPr>
        <sz val="10"/>
        <color rgb="FF000000"/>
        <rFont val="Calibri Light"/>
        <family val="2"/>
        <scheme val="major"/>
      </rPr>
      <t xml:space="preserve">Numero de jovenes </t>
    </r>
    <r>
      <rPr>
        <sz val="10"/>
        <color rgb="FFFF0000"/>
        <rFont val="Calibri Light"/>
        <family val="2"/>
        <scheme val="major"/>
      </rPr>
      <t>que cumplen la valoración integral en el ultimo rango de edad en que se encuentren para el mes evaluado, de acuerdo a los siguientes subgrupos:
Edad corte: 24 años  - Edad consulta: 18 a 23 años
Edad corte: 29 años  - Edad consulta: 24 a 28 años</t>
    </r>
  </si>
  <si>
    <t xml:space="preserve">Población objeto 
</t>
  </si>
  <si>
    <t>Juventud:
- Medicina General o Medicina Familiar:
*CUPS más finalidad 5  o (Res 2275 - CUPS con finalidad 11) o CUPS más CIE-10: Z003
89.0.2.01 (consulta de primera vez por medicina general)
89.0.3.01 (Consulta de control o seguimiento por medicina general)
89.0.2.63 (consulta de primera vez por especialista en medicina familiar)
89.0.3.63 (Consulta de control o seguimiento por especialista en medicina familiar)
*RES 202: Variable 52 - Fecha Valida
NOTA: Se tiene en cuenta la edad a la fecha de afiliación y edad a entrada en vigencia de la RPYMS (01/02/2019)</t>
  </si>
  <si>
    <r>
      <rPr>
        <sz val="10"/>
        <color rgb="FF000000"/>
        <rFont val="Calibri Light"/>
        <family val="2"/>
      </rPr>
      <t xml:space="preserve">Población al mes a evaluar activos y nuevos 
</t>
    </r>
    <r>
      <rPr>
        <sz val="10"/>
        <color rgb="FFFF0000"/>
        <rFont val="Calibri Light"/>
        <family val="2"/>
      </rPr>
      <t>18 a 29 años</t>
    </r>
  </si>
  <si>
    <t>22/01/2026 Indicador Monitor RIAS, en caso se auditoria en zonales, tener en cuenta que desde Nueva EPS No se esta de acuerdo con la poblacion definida para numerador, pero se evalua tal cual como se describe en FT del MSPS.
09/12/2024: El MSPS emitió proyecto de indicadores en nov del 2024, los cuales se parametrizan de acuerdo a propuesta de Nueva EPS, debido a que las fichas tecnicas de MSPS tienen inconsistencias técncias</t>
  </si>
  <si>
    <t>09/12/2024: Se deja meta de Resolución UPC que rige para 2024;</t>
  </si>
  <si>
    <t>1. Calcular edad a corte del periodo evaluar. Formula: =sifecha(FechaNacimiento;FechaCorte;"y")
2. Filtrar población de 18 a 28 años
3. En la columna "Fecha Última Valoración integral" filtrar las consultas 5 años atrás incluyendo el mes a evaluar</t>
  </si>
  <si>
    <t>1. Calcular edad a corte del periodo evaluar. Formula: =sifecha(FechaNacimiento;FechaCorte;"y")
2. Filtrar población de 18 a 28 años</t>
  </si>
  <si>
    <t>58.02%</t>
  </si>
  <si>
    <t>29/12/2025: Se ajuste definición numerador - denominador, periodo numerador, población numerador y denominador y exclusiones denominador. jxar  - Se ajusta meta especiales.  31/03/2025 Se actualiza a ultima Resolución de Cups 2275/2023 en variable fuente.  31/12/2024 De acuerdo al anexo 3 de la Resolucion 02717 del 2024 Ajuste UPC - la meta para ese indicador es del 31% y NEPS esta en el 31%.  //17/12/2024 Se ajusta descripción de numerador y denominador de la población</t>
  </si>
  <si>
    <t>RPYMS465X</t>
  </si>
  <si>
    <t>Cumplimiento de valoración integral en la Adultez</t>
  </si>
  <si>
    <t>Es la proporción de adultos con atención por medicina general o medicina familiar de acuerdo con el esquema definido en la ruta de promoción y mantenimiento de la salud para el último rango de edad</t>
  </si>
  <si>
    <r>
      <rPr>
        <sz val="10"/>
        <color rgb="FF000000"/>
        <rFont val="Calibri Light"/>
        <family val="2"/>
        <scheme val="major"/>
      </rPr>
      <t>Numero de adultos</t>
    </r>
    <r>
      <rPr>
        <sz val="10"/>
        <color rgb="FFFF0000"/>
        <rFont val="Calibri Light"/>
        <family val="2"/>
        <scheme val="major"/>
      </rPr>
      <t xml:space="preserve"> </t>
    </r>
    <r>
      <rPr>
        <sz val="10"/>
        <color rgb="FF000000"/>
        <rFont val="Calibri Light"/>
        <family val="2"/>
        <scheme val="major"/>
      </rPr>
      <t>que cumplen la valoración integral en el ultimo rango de edad en que se encuentren para el mes evaluado, de acuerdo a los siguientes subgrupos:
Edad corte: 35 años  - Edad consulta:29 a 34 años
Edad corte: 40 años  - Edad consulta: 35 a 39 años
Edad corte: 45 años  - Edad consulta: 40 a 44 años
Edad corte: 50 años  - Edad consulta: 45 a 49 años
Edad corte: 53 años  - Edad consulta:50 a 52 años
Edad corte: 56 años  - Edad consulta: 53 a 55 años
Edad corte: 60 años  - Edad consulta: 56 a 59  años</t>
    </r>
  </si>
  <si>
    <t>Adultez
- Medicina General o Medicina Familiar:
*RIPS:  CUPS más finalidad 7 o (Res 2275 - CUPS con finalidad 11):
89.0.2.01 (consulta de primera vez por medicina general)
89.0.3.01 (Consulta de control o seguimiento por medicina general)
89.0.2.63 (consulta de primera vez por especialista en medicina familiar)
89.0.3.63 (Consulta de control o seguimiento por especialista en medicina familiar)
*RES 202: Variable 52 - Fecha Valida
NOTA: Se tiene en cuenta la edad a la fecha de afiliación y edad a entrada en vigencia de la RPYMS (01/02/2019)</t>
  </si>
  <si>
    <t xml:space="preserve">Población al mes a evaluar activos y nuevos 
29 a 60 años  ( de este ultimo que cumplan con edad a la consulta de 59 años). </t>
  </si>
  <si>
    <t xml:space="preserve">22/01/2026 Indicador Monitor RIAS, en caso se auditoria en zonales, tener en cuenta que desde Nueva EPS No se esta de acuerdo con la poblacion definida para numerador y  en incluir en el denominador usuarios con DX de Hipertensión y Diabetes, pero se evalua tal cual como se describe en FT del MSPS.
29/12/2025: Este indicador es homologo del que se genera para gestión de riesgo, (RPYMS50X); tener en cuenta para ajuste de metas, eyav// 09/12/2024: El MSPS emitió proyecto de indicadores en nov del 2024, los cuales se parametrizan de acuerdo a propuesta de Nueva EPS, debido a que las fichas tecnicas de MSPS tienen inconsistencias técncias
</t>
  </si>
  <si>
    <t xml:space="preserve">1. Calcular edad a la fecha de corte. 
2.Calcular edad a la fecha de la Valoración integral 
3. Filtrar edad al corte y edad a la fecha de ultima valoración integral
4.  Se validan las consultas en los últimos cinco años incluyendo mes a evaluar </t>
  </si>
  <si>
    <t>1. Filtrar población de 29 a 59 años activos y nuevos
2. Excluir Hipertensos y Diabéticos</t>
  </si>
  <si>
    <t>63.11%</t>
  </si>
  <si>
    <t>22/01/2026 Se realiza ajuste de metas Gral 31% y Especial 28%  //29/12/2025: Se ajuste definición numerador - denominador, periodo numerador, población numerador y denominador y exclusiones denominador. jxar  - Se ajusta meta con indicador homologo de gestiónn de riesgo RPYMS50X, eyav // 12/12/2025 Se requiere complementar la definición del numerador y la inlcusión de la cohorte para validar.  //31/03/2025 Se actualiza a ultima Resolución de Cups 2275/2023 en variable fuente.  31/12/2024 De acuerdo al anexo 3 de la Resolucion 02717 del 2024 Ajuste UPC - la meta para ese indicador es del 31% y NEPS esta en el 31%.  //17/12/2024 se hizo ajuste de definicion del numerador y numerador de poblacion.</t>
  </si>
  <si>
    <t>RPYMS466X</t>
  </si>
  <si>
    <t>Cumplimiento de valoración integral en la vejez</t>
  </si>
  <si>
    <t>Es la proporción de personas adultas mayores con atención por medicina general o medicina familiar de acuerdo con el esquema definido en la ruta de promoción y mantenimiento de la salud para el último rango de edad</t>
  </si>
  <si>
    <t xml:space="preserve">Numero de personas adultas mayores que cumplen la valoración integral en el ultimo rango de edad en que se encuentren para el mes evaluado, (los subgrupos de la vejez son cada 3 años; entonces será valida la consulta que tenga el afiliado en los ultimos 3 años, asi haya sido hecha en otro curso de vida)
Edad corte: 63 años  - Edad consulta:60 a 62 años
Edad corte: 66 años  - Edad consulta: 63 a 65 años
Edad corte: 69 años  - Edad consulta: 66 a 68 años
Edad corte: 72 años  - Edad consulta: 69 a 71 años
Edad corte: 75 años  - Edad consulta: 72 a 74 años
Edad corte: 80 años  - Edad consulta: 78 a 79 años
Edad corte: 81 años y más  - Edad consulta: 80 años y más. </t>
  </si>
  <si>
    <t xml:space="preserve">Población Objeto
</t>
  </si>
  <si>
    <t xml:space="preserve"> Vejez
- Medicina General o Medicina Familiar:
*RIPS:  CUPS más finalidad 7 o (Res 2275 - CUPS con finalidad 11):
89.0.2.01 (consulta de primera vez por medicina general)
89.0.3.01 (Consulta de control o seguimiento por medicina general)
89.0.2.63 (consulta de primera vez por especialista en medicina familiar)
89.0.3.63 (Consulta de control o seguimiento por especialista en medicina familiar)
*RES 202: Variable 52 - Fecha Valida
NOTA: Se tiene en cuenta la edad a la fecha de afiliación y edad a entrada en vigencia de la RPYMS (01/02/2019)</t>
  </si>
  <si>
    <t>22/01/2026 Indicador Monitor RIAS, en caso se auditoria en zonales, tener en cuenta que desde Nueva EPS No se esta de acuerdo con la poblacion definida para numerador y en incluir en el denominador usuarios con DX de Hipertensión y Diabetes, pero se evalua tal cual como se describe en FT del MSPS.
29/12/2025: Este indicador es homologo del que se genera para gestión de riesgo, (RPYMS51X) 09/12/2024: El MSPS emitió proyecto de indicadores en nov del 2024, los cuales se parametrizan de acuerdo a propuesta de Nueva EPS, debido a que las fichas tecnicas de MSPS tienen inconsistencias técncias</t>
  </si>
  <si>
    <t>09/12/2024: Se deja meta de Resolución UPC que rige para 2024:</t>
  </si>
  <si>
    <t xml:space="preserve">1. Calcular edad a la fecha de corte. 
2.Calcular edad a la fecha de la Valoración integral 
3. Filtrar edad al corte y edad a la fecha de ultima valoración integral
4.  Se validan las consultas en los últimos tres años incluyendo mes a evaluar </t>
  </si>
  <si>
    <t>1. Filtrar población de 60 años y mas  activos y nuevos
2. Excluir Hipertensos y Diabéticos</t>
  </si>
  <si>
    <t>61.08%</t>
  </si>
  <si>
    <t>15/12/2025: Se ajuste definición numerador - denominador, periodo numerador, población numerador y denominador y exclusiones denominador. jxar  - Se ajusta meta en especiales.  //12/12/2025 Se requiere complementar la definición del numerador y la inlcusión de la cohorte para validar.  //31/03/2025 Se actualiza a ultima Resolución de Cups 2275/2023 en variable fuente.  17/12/2024 Se describir distribución de la meta, se ajusta definición del numerador y numerador de poblacion.</t>
  </si>
  <si>
    <t>RPYMS495X</t>
  </si>
  <si>
    <t>Proporcion de personas con SOMFI positivo y colonoscopia negativa que fueron remitidos a Endoscopia de vias digestivas</t>
  </si>
  <si>
    <t>Numero de personas con tamizaje con SOMFI alterado a quienes les realizaron colonoscopia con reporte normal que cuentan con la realizacion de endoscopia de vias digestivas en el año</t>
  </si>
  <si>
    <t>EVDA</t>
  </si>
  <si>
    <t>Afiliados activos que tengan reporte de SOMFI positivo + colonoscopia negativa; y que se le haya realizado endoscopia posterior a estos procedimientos</t>
  </si>
  <si>
    <t>Afiliados activos que tengan reporte de SOMFI positivo + colonoscopia negativa</t>
  </si>
  <si>
    <t>1- RIPS
441302: ESOFAGOGASTRODUODENOSCOPIA [EGD] CON O SIN BIOPSIA</t>
  </si>
  <si>
    <t>1- Res 202:
Variable 67 "SOMF" - Fecha valida
Variable 24 "SOMF" - Resultado: 4
Variable 66 "colonoscopia" - fecha valida
Variable 36 "colonoscopia" - Resultado: 5</t>
  </si>
  <si>
    <t>Afiliados con tamiza descrito y fecha valida de endoscopia posterior a tamziajes</t>
  </si>
  <si>
    <t xml:space="preserve">Afiliados con tamiza descrito </t>
  </si>
  <si>
    <t>Usuarios con diagnostico de cáncer de colon</t>
  </si>
  <si>
    <t>04/12/24 Indicador informativo nace de la guia de practica clinica de DT cancer de colon y recto. Solo aplica para inicio de tamizaje con SOMFI positivo. Si el tamizaje inicial es colonoscopia, no se toma en cuenta para la medicion.</t>
  </si>
  <si>
    <t>Para hallar el numerador de la base del Dt colorrectal se toman los afiliados activos que tengan reporte de SOMFI positivo + colonoscopia negativa; y que se le haya realizado endoscopia posterior a estos procedimientos</t>
  </si>
  <si>
    <t>Para hallar el denominador se debe descargar la base de la cohorte del Dt colorrectal y se deben tomar los afiliados activos que tengan reporte de SOMFI positivo + colonoscopia negativa, Se deben desmarcar posterior al cruce de la cohorte con la base de patologias los usuarios con cancer colorrectal</t>
  </si>
  <si>
    <t>RPYMS496X</t>
  </si>
  <si>
    <t>Cumplimiento en la realización de la consulta de psicologia en mujeres con biopsia de mama positiva</t>
  </si>
  <si>
    <t>12 meses atrás incluido el mes evaluado</t>
  </si>
  <si>
    <t>La poblacion del denominador y que tengan fecha valida de consulta por psicologia</t>
  </si>
  <si>
    <t xml:space="preserve">Para hallar el numerador se debe tomar de las usuarias del denominador aquellas con cita por psicologia posterior a la fecha del resultado de biopsia alterada </t>
  </si>
  <si>
    <t>Para hallar del denominador se debe descargar la cohorte del Dt de mama de la variable fecha de toma de biopsia de mama ultimos 12 meses incluyendo el mes a evaluar y de la variable resultado se toman las que esten marcadas como maligna sospechosa/Probable y Malignas opcion 3 y 4, (independientemente de la edad). Exlcuir las mujeres con cancer previo</t>
  </si>
  <si>
    <t>DT mama positivas</t>
  </si>
  <si>
    <t>10.15%</t>
  </si>
  <si>
    <t>15/12/2025: se ajusta totalmente el indicador; se deja solo biopsia positiva). Eyav // 12/12/2025 Se ajusta meta. 9/12/2024: Indicador nuevo</t>
  </si>
  <si>
    <t>Todo el indicador</t>
  </si>
  <si>
    <t>RPYMS497X</t>
  </si>
  <si>
    <t>Cumplimiento en la realización de econgrafia de control en Birads 3</t>
  </si>
  <si>
    <t>Hace referencia a las usuarias que tienen un resultado de birads 3 en mamografia y que en los siguientes 6 meses reciben toma de ecografia mamaria de control</t>
  </si>
  <si>
    <t>Ecografia mama</t>
  </si>
  <si>
    <t>Mujeres del denominador que cuentan con toma de ecografia mamaria a los 6 meses posteriores a la fecha de toma de mamografia</t>
  </si>
  <si>
    <t xml:space="preserve">Mujeres de 50 a 69 años con mamografia resultado Birads 3 vigente  (ultimos 24 meses atrás, sin incluir el mes a evaluar)  </t>
  </si>
  <si>
    <t>1- datos adicionales
"ECO_MAMA"
2- Modulo gestion de casos: pestaña Ecografia opciones
Fecha valida toma ecografia
Resultado ecografia</t>
  </si>
  <si>
    <t xml:space="preserve">1- Resolución 202:
Variable 96 fecha valida de mamografia
Variable 97 resultado: opcion 4
2- Modulo gestion de casos: pestaña  Tamizaje opciones
Fecha valida toma mamografia
Resultado mamografia Birads 3
</t>
  </si>
  <si>
    <t xml:space="preserve">Fecha de ecografia de mama a los 6 meses posteriores a la fecha de la toma de la mamografia </t>
  </si>
  <si>
    <t xml:space="preserve">24 meses atrás sin incluir el mes a evaluar </t>
  </si>
  <si>
    <t>La poblacion del denominador y que tengan fecha valida de ecografia de mama</t>
  </si>
  <si>
    <t xml:space="preserve">Mujeres activas y nuevas de 50 a 69 años , con resultado de mamografia birads 3.
</t>
  </si>
  <si>
    <t>Usuarias con diagnostico de cancer de mama</t>
  </si>
  <si>
    <t xml:space="preserve">05/12/2024. La meta del indicador se define de acuerdo al tipo de lesión que presente la ecografias, (Microcalcificaciones se toma en 6 meses; por masa, nodulo, asimetria o distorsión se debe solicitar ecografia inmediata). </t>
  </si>
  <si>
    <t xml:space="preserve">1. con las usuarias del denominador se realiza un calculo con la diferencia en meses de las variables fecha de toma de ecografia y la fecha de toma de la mamografia de tal manera que se puedan tomar las que cumplan el periodo solicitado
2. De la columna creada para el calculo se filtran las que cumplan con el tiempo
3. De la variable resultado ecografia se toman las que tienen resultado
3. Por ultimo </t>
  </si>
  <si>
    <t>1. De la cohorte del DT de mama se filtra de la variable Fecha de toma de mamografia las fechas de los ultimos 24 meses no tomando el ultimo mes
2. De la variable edad se filtra la edad de 50 a 69 años 
3. De la variable Resultado del tamizaje se toman las 4 que corresponde a Birads 3
4. Se debe cruzar la base de la cohorte del DT de mama con la Base de patologia y desmarcar del denominador las usuarias que crucen con cáncer de mama</t>
  </si>
  <si>
    <t>DT mama</t>
  </si>
  <si>
    <t>20.36%</t>
  </si>
  <si>
    <t>15/12/2025: cambio en el nombre de indicador, meta y puntaje // 30/04/2025 Se ajusta definición del numerador en cuanto al tiempo, de igual forma de ajusta fuente del numerador y periodo del  numerador "a los 6 meses" se elimina la palabra "HASTA".   31/03/2025 Se modifica la fuente del numerador dejando fuentes adicionales y eliminando Rips. 05/03/2025 Se ajusta nombre del indicador, definición operacional, clasficación de la medición, definición de variables numerador y denominador, periodo el numerador y denomindor y la población de denominador.   18/12/2024 Se complementa fuente para numerador y denominador. //9/12/2024: Indicador nuevo</t>
  </si>
  <si>
    <t>RPYMS498X</t>
  </si>
  <si>
    <t>Proporcion de usuarias con mamografia birads 0 que registran toma de ecografia de mama</t>
  </si>
  <si>
    <t>Mujeres con resultado de mamografia birad 0, a quienes se les realizó ecografia de mama 30 días posteriores a la mamografia</t>
  </si>
  <si>
    <t>ECOGRAFIA DE MAMA</t>
  </si>
  <si>
    <t>Mujeres del denominador que tengan fecha valida de toma de ecografia mamaria posterior a la toma de la mamografia Birads 0</t>
  </si>
  <si>
    <t xml:space="preserve">Mujeres de 50 a 69 años que en los ultimos 24 meses incluyendo el mes evaluado registren resultado valido de mamografia Birads 0
</t>
  </si>
  <si>
    <t>1- datos adicionales
"ECO_MAMA"
2- Modulo gestion de casos: pestaña Ecografia opciones
Fecha valida toma ecografia
Resultado ecografia</t>
  </si>
  <si>
    <t>1-  Resolución 202:
Variable 96 fecha valida de mamografia ultimos 24 meses incluyendo el mes evaluado
Variable 97 resultado: opcion 1
2- Módulo de casos pestaña tamizaje opciones
fecha valida de mamografia
Resultado mamografia Birads0</t>
  </si>
  <si>
    <r>
      <rPr>
        <strike/>
        <sz val="10"/>
        <color theme="1"/>
        <rFont val="Calibri Light"/>
        <family val="2"/>
        <scheme val="major"/>
      </rPr>
      <t xml:space="preserve">
</t>
    </r>
    <r>
      <rPr>
        <sz val="10"/>
        <color theme="1"/>
        <rFont val="Calibri Light"/>
        <family val="2"/>
        <scheme val="major"/>
      </rPr>
      <t xml:space="preserve"> 30 días posterior a la toma de mamografia con resultado de Birads 0</t>
    </r>
  </si>
  <si>
    <t>24 meses atrás incluido el mes evaluado</t>
  </si>
  <si>
    <t xml:space="preserve">La poblacion del denominador y que tengan fecha valida de ecografia mamaria </t>
  </si>
  <si>
    <t>Mujeres de 50 a 69 años activas a la fecha de corte, con resultado de mamografia birads 0.</t>
  </si>
  <si>
    <t>Usuarias con diagnostico de cancer de mama de la base de patologias, evento ev03-13</t>
  </si>
  <si>
    <t>09/12/2024: Con corte a Julio del 2024, Nueva EPS registra un indicador de 5417 ecografias tomadas en 152875 usuarias con birads 0 = 3.5% (historico)</t>
  </si>
  <si>
    <t>09/12/2024: Se toma con base en norma tecnica de conducta del birads 0</t>
  </si>
  <si>
    <t>1.Con las usuarias del denominador se realiza una resta entre la fecha de la ecografia y la fecha de la mamografia para tomar las que tengo de 0 a 30 dias
2. de la variable creada se tomas las usuarias de 0 a 30 dias y se obtiene el dato del numerador</t>
  </si>
  <si>
    <t>1. De la cohorte del DT de mama se filtra de la variable Fecha de toma de mamografia las fechas de los ultimos 24 meses se toma el ultimo mes
2. de la variable fecha de toma de mamografia se toman las fechas validas con resultados Birads 0
3. se filtra la edad de 50 a 69 años en la variable edad, ademas se realiza calculo de la edad al tamizaje y se toman las edades de 50 a 69 años
4. Se debe cruzar la base de la cohorte del DT de mama con la Base de patologia y desmarcar del denominador las usuarias que crucen con cáncer de mama</t>
  </si>
  <si>
    <t>10.79%</t>
  </si>
  <si>
    <t>15/12/2025: se modifica puntaje // 31/03/2025 Se modifica la fuente del numerador dejando fuentes adicionales y eliminando Rips.  05/03/2025 Ajuste en la definción operacional, clasificación de la medición, definición de variables del numerador y denominador, periodo del numerador, pobalción numerador y denominador.  18/12/2024 Se complementa fuente en denominador y se complementa puntaje</t>
  </si>
  <si>
    <t>RPYMS488X</t>
  </si>
  <si>
    <t>Usuarias con resultado citologia AS-CUS que registran toma de prueba de ADN VPH posterior al tamizaje</t>
  </si>
  <si>
    <t>Resolución 202:
- Variable 86: opción 2 
- Variable 87: fecha valida de prueba ADN VPH hasta 8 meses posteriores a la citologia anterior</t>
  </si>
  <si>
    <t xml:space="preserve">Fecha de prueba ADN VPH hasta 8 meses posteriores a la fecha de la citologia </t>
  </si>
  <si>
    <t>La poblacion del denominador y que tengan fecha valida de prueba ADN VPH posterior a citologia  con resultado ASCUS</t>
  </si>
  <si>
    <t>Ante resultado de CCU con ASCUS normativamente debe tener una prueba de ADN VPH Se dan 8 meses para que la IPS primaria pueda canalizar a la usuaria a la prueba de ADN VPH</t>
  </si>
  <si>
    <t xml:space="preserve">Del denominador, tomar la variable 
Fecha mas reciente de Toma de ADN VPH: con fecha valida posterior a la citologia </t>
  </si>
  <si>
    <t>De la cohorte general de cervix, para el denominador se deben identificar las siguientes variables:
Tamizaje Cáncer de Cuello Uterino: opción 1 
Fecha de tamizaje: fecha valida de citologia ultimos 12 meses incluyendo el mes evaluado
Resultado del tamizaje: 1- ASC-US (células escamosas atípicas de significado indeterminado)</t>
  </si>
  <si>
    <t>1.46%</t>
  </si>
  <si>
    <t>12/12/2025 Se realiza ajustes a la definición del numerador y denominador, fuente del denominador, periodo del denominador, población del denominador ya que a pesar de ser un indicador de cumplimiento, se debe tener en cuenta la frecuencia de la prueba del denominador, se adiciona filtros para el numerador para validaciones y se actualiza cohorte para validar indicador.  //14/01/2025 Ajustes en nombre de indicador, definicion operacional, definicion numerador, poblacion. 5/12/2024: Indicador nuevo. EYAV</t>
  </si>
  <si>
    <t xml:space="preserve">definición operacionalnumerador, </t>
  </si>
  <si>
    <t>RPYMS489X</t>
  </si>
  <si>
    <t>Proporción de mujeres que reciben manejo medico en resultado de AS-CUS persistente</t>
  </si>
  <si>
    <t>Mujeres con resultado de AS-CUS persistente en dos (2) CCU mas recientes</t>
  </si>
  <si>
    <t>1- RIPS CUPS
Consulta: 890250, 890350, 890450.</t>
  </si>
  <si>
    <r>
      <rPr>
        <sz val="10"/>
        <color rgb="FF000000"/>
        <rFont val="Calibri Light"/>
        <family val="2"/>
        <scheme val="major"/>
      </rPr>
      <t xml:space="preserve">Resultados ultimos </t>
    </r>
    <r>
      <rPr>
        <sz val="10"/>
        <color rgb="FFFF0000"/>
        <rFont val="Calibri Light"/>
        <family val="2"/>
        <scheme val="major"/>
      </rPr>
      <t>24 meses
Fecha de  valoración, debe ser posterior a la fecha del ultimo tamizaje</t>
    </r>
  </si>
  <si>
    <r>
      <rPr>
        <sz val="10"/>
        <color rgb="FF000000"/>
        <rFont val="Calibri Light"/>
        <family val="2"/>
        <scheme val="major"/>
      </rPr>
      <t xml:space="preserve">Resultados ultimos </t>
    </r>
    <r>
      <rPr>
        <sz val="10"/>
        <color rgb="FFFF0000"/>
        <rFont val="Calibri Light"/>
        <family val="2"/>
        <scheme val="major"/>
      </rPr>
      <t>24 meses sin incluir el mes a evaluar</t>
    </r>
  </si>
  <si>
    <t>Mujeres entre 25 y 65 años, activas</t>
  </si>
  <si>
    <t>La fecha de valoración por especialista, debe ser posterior a la fecha del ultimo tamizaje</t>
  </si>
  <si>
    <t>Del denominador, tomar las usuarias que tengan Fecha mas reciente  de Valoración por Ginecologia: Fecha valida posterior al ultimo tamizaje</t>
  </si>
  <si>
    <t>De la cohorte de cervix tomar las variables:
1- Mujeres
2- Entre 25 y 65 años
3- Activas
4- Tamizaje actual: 1  y 4
5- Fecha de tamizaje: Fecha valida año vigente
6- Resultado de tamizaje. ASCUS
7- Fecha tamizaje anterior: Ultimos 24 meses sin incluir el mes a evaluar
8- Resultado ASCUS</t>
  </si>
  <si>
    <t>12/12/2025 Se realiza ajustes en la definición de numerador y denominador ya que se debe especificar los tamizajes y los resultados a tener en cuenta, como este indicador no contaba con fuente se incluyen las variables de fuente, tambien se realizan ajustes de periodo en numerador y denominador, se especifica la población del denominador, se complementa las variables de observacion del indicador y se registran filtros y actualización de cohorte para validaciones.</t>
  </si>
  <si>
    <t>RPYMS258X</t>
  </si>
  <si>
    <t>Cumplimiento en la realización de Visitas de Asesoría y Asistencia Técnica</t>
  </si>
  <si>
    <t>Asistencia técnica</t>
  </si>
  <si>
    <t>Asistencias tecnicas realizadas que  registran fecha valida de asistencia técnica según programación de acuerdo con la población asignada</t>
  </si>
  <si>
    <r>
      <t>IPS primarias</t>
    </r>
    <r>
      <rPr>
        <sz val="10"/>
        <color rgb="FFFF0000"/>
        <rFont val="Calibri Light"/>
        <family val="2"/>
        <scheme val="major"/>
      </rPr>
      <t xml:space="preserve"> (Capita, PGP, evento)</t>
    </r>
    <r>
      <rPr>
        <sz val="10"/>
        <rFont val="Calibri Light"/>
        <family val="2"/>
        <scheme val="major"/>
      </rPr>
      <t xml:space="preserve"> que prestan servicios de PYMS y que requieren asistencia técnica; debe llevarse a cantidades y tiempo año, según frecuencia de realización de visitas de asistencia técnica. (&lt;500 usuarios; 1 año; frecuencia 1); (501 - 4.999 usuarios; 1 cada semestre; frecuencia 2); (5.0000 - 9.999 usuarios; 1 cada cuatrimestre; frecuencia 3);  (&gt;10,000 usuarios; 1 cada trimestre; frecuencia 4)</t>
    </r>
  </si>
  <si>
    <t xml:space="preserve">
Indicador solo aplica para EPS - Territorio, Zona de influencia, Zonal, Regional y Nacional</t>
  </si>
  <si>
    <t>1. Tomar la base exportable del modulo de seguimiento a la red; 1. "RedPrestadorTipoIntervencionAsistencia tecnica"  y hacer filtro así;  2. tomar Año vigente y 3. Tomar fecha valida de la variable "Fecha ejecución" y 4. Tomar la variable "Tema específico" con el nombre de "Visita anual formato de seguimiento integral IPS" y 5. tomar la variable "Soportes" que contenga soporte marcado como "SI"</t>
  </si>
  <si>
    <t xml:space="preserve">Expórtar -IPS primarias que prestan servicios de PYMS y que requieren asistencia técnica cargadas en el modulo de carga de archivos maestra" cuya variabel "IPS contrato Activo" este marcado como "SI"; y calcular la sumatoria de la poblacion de regimen contributivo y subsidiado segun la poblacion asignada mes a mes empezando por diciembre de 2025 asi:
1- &gt;500 usurios - frecuencia año de *1 año
2- (501 - 4.999 usuarios; calcular frecuencia año de *2 año  
3- (501 - 4.999 usuarios; calcular frecuencia año de *3 año  
4. (&gt;10,000 usuarios; calcular frecuencia año de *4 año </t>
  </si>
  <si>
    <t>88.2%</t>
  </si>
  <si>
    <t>12/12/2025 Se ajusta definición del denominador, se complementa las variables de fuente, se ajusta periodo para numerador y denominador, se eliminan las exclusiones, se incluye observaciones del indicador y se incluyen filtros para validaciones.  //9/12/2024: Se ajusta nombe del indicador, definición operacional, variables definición de numerador y denominador, fuente del denominador, periodo numerador y denominador.</t>
  </si>
  <si>
    <t>RPYMS454X</t>
  </si>
  <si>
    <t>Cumplimiento de Cronograma de Capacitaciones de tematica obligatoria anual</t>
  </si>
  <si>
    <t xml:space="preserve">IPS que cumplen con las capacitaciones en la tematica obligatoria </t>
  </si>
  <si>
    <r>
      <t xml:space="preserve">Número de Capacitaciones de eventos obligatorios  (Virtuales  +  Presenciales) realizadas al corte evaluado (Año Vigente) temas: Violencias, Resolución 2350 de 2020, Dengue, DT cancer colorectal, DT cancer cuello uterino, DT cancer mama, DT cancer próstata, </t>
    </r>
    <r>
      <rPr>
        <sz val="10"/>
        <color rgb="FFFF0000"/>
        <rFont val="Calibri Light"/>
        <family val="2"/>
        <scheme val="major"/>
      </rPr>
      <t>Tuberculosis</t>
    </r>
    <r>
      <rPr>
        <sz val="10"/>
        <rFont val="Calibri Light"/>
        <family val="2"/>
        <scheme val="major"/>
      </rPr>
      <t xml:space="preserve"> se debe seleccionar código de habilitación único</t>
    </r>
  </si>
  <si>
    <r>
      <t xml:space="preserve">Numero total de IPS primarias que prestan servicios de PYMS programadas de evento obligatorios (Virtuales  +  Presenciales) temas: Violencias, Resolución 2350 de 2020, Dengue, DT cancer colorectal, DT cancer cuello uterino, DT cancer mama, DT cancer próstata, </t>
    </r>
    <r>
      <rPr>
        <sz val="10"/>
        <color rgb="FFFF0000"/>
        <rFont val="Calibri Light"/>
        <family val="2"/>
        <scheme val="major"/>
      </rPr>
      <t>Tuberculosis.</t>
    </r>
    <r>
      <rPr>
        <sz val="10"/>
        <rFont val="Calibri Light"/>
        <family val="2"/>
        <scheme val="major"/>
      </rPr>
      <t xml:space="preserve"> se debe seleccionar código de habilitación único. </t>
    </r>
    <r>
      <rPr>
        <sz val="10"/>
        <color rgb="FFFF0000"/>
        <rFont val="Calibri Light"/>
        <family val="2"/>
        <scheme val="major"/>
      </rPr>
      <t>el valor será  Dividido en 12 y multiplicado por mes a evaluar</t>
    </r>
  </si>
  <si>
    <r>
      <t xml:space="preserve">Indicador solo aplica para EPS - Zona de influencia, Zonal, Regional y Nacional, </t>
    </r>
    <r>
      <rPr>
        <sz val="10"/>
        <color rgb="FFFF0000"/>
        <rFont val="Calibri Light"/>
        <family val="2"/>
        <scheme val="major"/>
      </rPr>
      <t>Territorio</t>
    </r>
  </si>
  <si>
    <t>1. Tomar como fuente de la base exportable del modulo de seguimiento a la red 1. "RedPrestadorTipoIntervencion Capacitaciones" y 2. tomar Año vigente y 3. Tomar fecha valida variable "Fecha ejecución" y 4. Tomar la variable "Tema específico" con el nombre de " Dengue, DT cancer colorectal, DT cancer cuello uterino, DT cancer mama, DT cancer próstata, tuberculosis" y 5. tomar la variable "Soportes" que contenga soporte marcado como "SI", en caso de duplicidad de un mismo tema solo tomar uno (1) para evitar porcentajes superiores al 100%</t>
  </si>
  <si>
    <t xml:space="preserve">1-IPS primarias que prestan servicios de PYMS y que requieren capacitacion cargadas en el modulo de carga de archivos maestra" cuya variabel "IPS contrato Activo" este marcado como "SI"; para IPS variable  "Tipo de Contratacion" "cápita yPago Global Prospectivo" se calcula una vez * 8 año)
</t>
  </si>
  <si>
    <t>12/12/2025 Se ajusta fuentes del denominador, se eliminan las exclusiones, se ajusta observación del indicador, se incluyen filtros.  //9/12/2024: Indicador nuevo</t>
  </si>
  <si>
    <t>RPYMS503X</t>
  </si>
  <si>
    <t>THS de la IPS participa en el fortalecimiento de competencias de los procesos de Nueva EPS</t>
  </si>
  <si>
    <t>Talento humano en salud de la IPS que participa en los procesos de formación, indicados por la EPS</t>
  </si>
  <si>
    <t>Fortalecimiento competencias THS</t>
  </si>
  <si>
    <t>Formación</t>
  </si>
  <si>
    <t>Total de inscritos, de las formaciones especificas, que se inscriben en los cursos definidos por Nueva eps</t>
  </si>
  <si>
    <t>Total de inscritos, de las formaciones especificas registrado en el sistema de información</t>
  </si>
  <si>
    <t xml:space="preserve">Modulo de Red IPS (reporte de inscritos a los procesos de formacion) </t>
  </si>
  <si>
    <t>Modulo de Red IPS (censo del THS)</t>
  </si>
  <si>
    <t>año vigente</t>
  </si>
  <si>
    <t xml:space="preserve">Talento humano en salud que se inscribe en los procesos de formacion </t>
  </si>
  <si>
    <t xml:space="preserve">Censo del talento humano en salud de las IPS </t>
  </si>
  <si>
    <t>No tener en cuenta el TH que ingresan en el mes evaluado</t>
  </si>
  <si>
    <t xml:space="preserve">Indicador que se debe medir en todos los niveles </t>
  </si>
  <si>
    <t xml:space="preserve">Cohorte educacion en salud </t>
  </si>
  <si>
    <t>12/12/2025 Sin modificación  9/12/2024: Indicador nuevo, Francy Fagua</t>
  </si>
  <si>
    <t>RPYMS504X</t>
  </si>
  <si>
    <t>THS de la EPS que participa en el fortalecimiento de competencias de los procesos de Nueva EPS</t>
  </si>
  <si>
    <r>
      <t xml:space="preserve">Talento humano en salud de la </t>
    </r>
    <r>
      <rPr>
        <b/>
        <sz val="10"/>
        <color theme="1"/>
        <rFont val="Calibri Light"/>
        <family val="2"/>
        <scheme val="major"/>
      </rPr>
      <t>EPS</t>
    </r>
    <r>
      <rPr>
        <sz val="10"/>
        <color theme="1"/>
        <rFont val="Calibri Light"/>
        <family val="2"/>
        <scheme val="major"/>
      </rPr>
      <t xml:space="preserve"> que participa en los procesos de formación, indicados por la EPS</t>
    </r>
  </si>
  <si>
    <t>Total de colaboradores de Nueva EPS de los cargos priorizados, que  deben desarrollar los cursos definidos por Nueva eps</t>
  </si>
  <si>
    <t xml:space="preserve">Total de colaboradores de los cargos priorizados de Nueva EPS </t>
  </si>
  <si>
    <t xml:space="preserve">Base de planta del TH de Nueva EPS que participa en los procesos de formacion </t>
  </si>
  <si>
    <t xml:space="preserve">Base de planta del TH de Nueva EPS </t>
  </si>
  <si>
    <t xml:space="preserve">Base planta de profesionales de gestion del riesgo, auxiliares de gestion del riesgo, coordinadores de gestion de riesgo primario que se incriben y participan del proceso de formacion </t>
  </si>
  <si>
    <t>Base planta de profesionales de gestion del riesgo, auxiliares de gestion del riesgo, coordinadores de gestion de riesgo primario, con mas de 2 meses de ingreso a la compañía</t>
  </si>
  <si>
    <t xml:space="preserve">No tener en cuenta colaboradores a termino fijo
Colaboradores con novedades de licencias o incapacidades superior a un mes </t>
  </si>
  <si>
    <t>Indicador solo aplica para EPS - Zona de influencia, Zonal, Regional y Nacional</t>
  </si>
  <si>
    <t>RPYMS505X</t>
  </si>
  <si>
    <t>THS de la IPS que culmina en el fortalecimiento de competencias de los procesos de Nueva EPS</t>
  </si>
  <si>
    <t>Talento humano en salud de la IPS que culmina los procesos de formación, indicados por la EPS</t>
  </si>
  <si>
    <t>Total de THS inscritos, de las formaciones especificas, que culiminan los cursos definidos por Nueva eps</t>
  </si>
  <si>
    <t>Total de THS de las formaciones especificas, que se inscriben en los cursos definidos por Nueva eps</t>
  </si>
  <si>
    <t>Base de notas de los procesos de formacion</t>
  </si>
  <si>
    <t>Talento humano en salud de culmina los procesos de formacion</t>
  </si>
  <si>
    <t>No tener en cuenta el TH que ingresan en el mes evaluado
Se excluyen los retiros de acuerdo a las notificaciones de la IPS</t>
  </si>
  <si>
    <t>12/12/2025 Sin modificación  17/12/2024 se completa puntaje, se excluyen en el denominador notificaciones de retiro. . //9/12/2024: Indicador nuevo, Francy Fagua</t>
  </si>
  <si>
    <t>RPYMS506X</t>
  </si>
  <si>
    <t>THS de la EPS que culmina en el fortalecimiento de competencias de los procesos de Nueva EPS</t>
  </si>
  <si>
    <r>
      <t xml:space="preserve">Talento humano en salud de la </t>
    </r>
    <r>
      <rPr>
        <b/>
        <sz val="10"/>
        <color theme="1"/>
        <rFont val="Calibri Light"/>
        <family val="2"/>
        <scheme val="major"/>
      </rPr>
      <t>EPS</t>
    </r>
    <r>
      <rPr>
        <sz val="10"/>
        <color theme="1"/>
        <rFont val="Calibri Light"/>
        <family val="2"/>
        <scheme val="major"/>
      </rPr>
      <t xml:space="preserve"> que culmina los procesos de formación, indicados por la EPS</t>
    </r>
  </si>
  <si>
    <t xml:space="preserve">Total de colaboradores de Nueva EPS  que culiminan los cursos definidos en los procesos de formacion </t>
  </si>
  <si>
    <t>Total de colaboradores de Nueva EPS de los cargos priorizados, que  deben desarrollar  los cursos definidos por Nueva EPS</t>
  </si>
  <si>
    <t>Colaboradores de nueva EPS que culminan los procesos de formacion</t>
  </si>
  <si>
    <t>12/12/2025 Sin modificación  17/12/2024 se complementa puntaje. //9/12/2024: Indicador nuevo, Francy Fagua</t>
  </si>
  <si>
    <t>RPYMS507X</t>
  </si>
  <si>
    <t>Porcentaje de profesionales de medicina que culmina en el fortalecimiento de competencias de los procesos de Nueva EPS</t>
  </si>
  <si>
    <t>Profesionales de medicina de las IPS que culmina los procesos de formación, indicados por la EPS</t>
  </si>
  <si>
    <t>Total de profesionales de medicina inscritos, que culiminan los cursos definidos por Nueva EPS</t>
  </si>
  <si>
    <t>Total profesionales de medicina inscritos en los  procesos de formacion de Nueva EPS</t>
  </si>
  <si>
    <t xml:space="preserve">Modulo de Red IPS (reporte de profesionales de medicina inscritos a los procesos de formacion) </t>
  </si>
  <si>
    <t>Profesionales de medicina inscritos que culminan los procesos de formacion</t>
  </si>
  <si>
    <t xml:space="preserve">Profesionales de medicina inscritos en los procesos de formacion definidos </t>
  </si>
  <si>
    <t>RPYMS508X</t>
  </si>
  <si>
    <t>Porcentaje de profesionales de enfermeria que culmina en el fortalecimiento de competencias de los procesos de Nueva EPS</t>
  </si>
  <si>
    <t>Profesionales de enfermeria de las IPS que culmina los procesos de formación, indicados por la EPS</t>
  </si>
  <si>
    <t>Total de profesionales de enfermeria inscritos, que culiminan los cursos definidos por Nueva EPS</t>
  </si>
  <si>
    <t>Total profesionales de enfermeria inscritos en los  procesos de formacion de Nueva EPS</t>
  </si>
  <si>
    <t xml:space="preserve">Modulo de Red IPS (reporte de profesionales de enfermeriainscritos a los procesos de formacion) </t>
  </si>
  <si>
    <t>Profesionales de enfermeria inscritos que culminan los procesos de formacion</t>
  </si>
  <si>
    <t xml:space="preserve">Profesionales de enfermeriainscritos en los procesos de formacion definidos </t>
  </si>
  <si>
    <t>RPYMS509X</t>
  </si>
  <si>
    <t>Porcentaje de profesionales de odontologia que culmina en el fortalecimiento de competencias de los procesos de Nueva EPS</t>
  </si>
  <si>
    <t>Profesionales de odontologia de las IPS que culmina los procesos de formación, indicados por la EPS</t>
  </si>
  <si>
    <t>Total de profesionales de odontologia inscritos, que culiminan los cursos definidos por Nueva EPS</t>
  </si>
  <si>
    <t>Total profesionales de odontologia inscritos en los  procesos de formacion de Nueva EPS</t>
  </si>
  <si>
    <t xml:space="preserve">Modulo de Red IPS (reporte de profesionales de odontologia  inscritos a los procesos de formacion) </t>
  </si>
  <si>
    <t>Profesionales de odontologia inscritos que culminan los procesos de formacion</t>
  </si>
  <si>
    <t xml:space="preserve">Profesionales de odontologia inscritos en los procesos de formacion definidos </t>
  </si>
  <si>
    <t>RPYMS510X</t>
  </si>
  <si>
    <t>THS de la IPS que participa en procesos de formación sincronica</t>
  </si>
  <si>
    <t>Talento humano en salud de la IPS que participa en fortalecimiento de compentencias del THS a través de formación sincronica</t>
  </si>
  <si>
    <t>Encuentros sincronicos</t>
  </si>
  <si>
    <t xml:space="preserve">talento humano en salud que participa en la formacion sincronica definidos por Nueva EPS </t>
  </si>
  <si>
    <t xml:space="preserve">Total de THS  de las formaciones especificas, inscritos,en los procesos de formacion </t>
  </si>
  <si>
    <t xml:space="preserve">Talento humano en salud que participa en la formacion sincronica definodos por Nueva EPS </t>
  </si>
  <si>
    <t>RPYMS511X</t>
  </si>
  <si>
    <t>THS de la EPS que participa en procesos de formación sincronica</t>
  </si>
  <si>
    <r>
      <t xml:space="preserve">Talento humano en salud de la </t>
    </r>
    <r>
      <rPr>
        <b/>
        <sz val="10"/>
        <color theme="1"/>
        <rFont val="Calibri Light"/>
        <family val="2"/>
        <scheme val="major"/>
      </rPr>
      <t>EPS</t>
    </r>
    <r>
      <rPr>
        <sz val="10"/>
        <color theme="1"/>
        <rFont val="Calibri Light"/>
        <family val="2"/>
        <scheme val="major"/>
      </rPr>
      <t xml:space="preserve"> que participa en fortalecimiento de compentencias del THS a través de formación sincronica</t>
    </r>
  </si>
  <si>
    <t>Colaboradores de Nueva EPS de los cargos definidos que participa en la formacion sincronica</t>
  </si>
  <si>
    <t>Total de colaboradores de Nueva EPS de los cargos priorizados, que  deben desarrollar  los cursos definidos por Nueva EPS, (PGR-AGR-CGT-CRP-PIS-GS)</t>
  </si>
  <si>
    <t xml:space="preserve">Talento humano en salud de la EPS que participa en la formacion sincronica definodos por Nueva EPS </t>
  </si>
  <si>
    <t>RPYMS512X</t>
  </si>
  <si>
    <t>Porcentaje de rotación del talento humano</t>
  </si>
  <si>
    <t>Talento humano en salud de la IPS que finaliza contrato en el año vigente</t>
  </si>
  <si>
    <t>Suficiencia TH</t>
  </si>
  <si>
    <t>Numero de talento humano que se retira de la IPS</t>
  </si>
  <si>
    <t>Total del talento humano reportado por la IPS al inicio del año</t>
  </si>
  <si>
    <t>Reporte de la IPS en el modulo de red IPS</t>
  </si>
  <si>
    <t xml:space="preserve">Censo del talento humano reportado por la IPS al inicio del año </t>
  </si>
  <si>
    <t xml:space="preserve">Talento humano que se retira de trabajar de la IPS </t>
  </si>
  <si>
    <t>Base de talento humano de la IPS reportado a inicio de año</t>
  </si>
  <si>
    <t>Justificacion de retiro de personal jubilado o las personas que hayan fallecido</t>
  </si>
  <si>
    <t>Modulo de red IPS</t>
  </si>
  <si>
    <t>RPYMS513X</t>
  </si>
  <si>
    <t>Tasa del Talento humano en salud por población asignada</t>
  </si>
  <si>
    <t xml:space="preserve">Numero de profesionales de medicina,enfermeria por poblacion asignada </t>
  </si>
  <si>
    <t xml:space="preserve">Numero de profesionales de medicina y enfermeria asignados para la atención </t>
  </si>
  <si>
    <t>Poblacion asignada por nivel de medicion del indicador</t>
  </si>
  <si>
    <t xml:space="preserve">Censo de profesionales de medicina, enfermeria reportados por las IPS </t>
  </si>
  <si>
    <t xml:space="preserve">Base afiliados BDUA y asignacion de IPS </t>
  </si>
  <si>
    <t xml:space="preserve">Talento humano reportado `por las IPS </t>
  </si>
  <si>
    <t>&gt;40</t>
  </si>
  <si>
    <r>
      <rPr>
        <u/>
        <sz val="10"/>
        <rFont val="Calibri Light"/>
        <family val="2"/>
        <scheme val="major"/>
      </rPr>
      <t>&gt;</t>
    </r>
    <r>
      <rPr>
        <sz val="10"/>
        <rFont val="Calibri Light"/>
        <family val="2"/>
        <scheme val="major"/>
      </rPr>
      <t>40</t>
    </r>
  </si>
  <si>
    <t>RPYMS514X</t>
  </si>
  <si>
    <t xml:space="preserve">Tasa de profesionales de medicina por población asignada </t>
  </si>
  <si>
    <t xml:space="preserve">Numero de profesionales de medicina por poblacion asignada </t>
  </si>
  <si>
    <t>Numero de profesionales de medicina  por nivel de medicion del indicador</t>
  </si>
  <si>
    <t xml:space="preserve">Censo profesionales de medicina  reportado por las IPS </t>
  </si>
  <si>
    <t xml:space="preserve">Profesionales de medicina reportados por la IPS </t>
  </si>
  <si>
    <t>12/12/2024. Estado de salud en Colombia según la OCDE. el país cuenta con 2.5 médicos en ejercicio por cada 1.000 habitantes, en comparación con la media que es de 3.7 médicos por cada 1.000 personas.https://consultorsalud.com/ocde-revela-cifras-el-sistema-salud-en-colombia/(referencia 2022)</t>
  </si>
  <si>
    <t>RPYMS515X</t>
  </si>
  <si>
    <t xml:space="preserve">Tasa de profesionales de enfermeria por población asignada </t>
  </si>
  <si>
    <t xml:space="preserve">Numero de profesionales de enfermeria  por poblacion asignada </t>
  </si>
  <si>
    <t>Numero de profesionales de enfermeria  por nivel de medicion del indicador</t>
  </si>
  <si>
    <t xml:space="preserve">Censo profesionales de enfermeria  reportado por las IPS </t>
  </si>
  <si>
    <t xml:space="preserve">Profesionales de enfermeria reportados por la IPS </t>
  </si>
  <si>
    <t>12/12/2024. Estado de salud en Colombia según la OCDE. el país cuenta con 1.49 enfermeras en ejercicio por cada 1.000 habitantes, en comparación con la media que es de 3.7 médicos por cada 1.000 personas.https://consultorsalud.com/ocde-revela-cifras-el-sistema-salud-en-colombia/(referencia 2022)</t>
  </si>
  <si>
    <t>RPYMS516X</t>
  </si>
  <si>
    <t xml:space="preserve">Tasa de profesionales de odontologia por población asignada </t>
  </si>
  <si>
    <t xml:space="preserve">Numero de profesionales de odontologia por poblacion asignada </t>
  </si>
  <si>
    <t>Numero de profesionales de odontologia  por nivel de medicion del indicador</t>
  </si>
  <si>
    <t xml:space="preserve">Censo profesionales de odontologia reportado por las IPS </t>
  </si>
  <si>
    <t xml:space="preserve">Profesionales de odontologia reportados por la IPS </t>
  </si>
  <si>
    <t>12/12/2024. 30 por cada 10 mil habitantes, OMS, 2022.</t>
  </si>
  <si>
    <t>RPYMS517X</t>
  </si>
  <si>
    <t xml:space="preserve">Proporción de medicos </t>
  </si>
  <si>
    <t>Numero de medicos, (medicina general y especializada) en relación al total de profesionales de salud de la IPS</t>
  </si>
  <si>
    <t>Proporcion</t>
  </si>
  <si>
    <t xml:space="preserve">Numero de medicos, (medicina general y especializada) </t>
  </si>
  <si>
    <t>Total de profesionales de salud de la IPS</t>
  </si>
  <si>
    <t xml:space="preserve">Se excluye personal administrativo, tecnico y auxiliar
</t>
  </si>
  <si>
    <t>RPYMS518X</t>
  </si>
  <si>
    <t>Proporción de profesionales de enfermería</t>
  </si>
  <si>
    <t>Numero de profesionales de enfermería en relación al total de profesionales de salud de la IPS</t>
  </si>
  <si>
    <t>Numero de profesionales de enfermería</t>
  </si>
  <si>
    <t>RPYMS455X</t>
  </si>
  <si>
    <t>Porcentaje de IPS de la red primaria de atención con al menos 1 visita de asesoria y asistencia tecnica, (VAAT) en el año</t>
  </si>
  <si>
    <t>IPS de la red primaria de atención con al menos 1 VAAT en el año</t>
  </si>
  <si>
    <t>IPS primarias de la red de Nueva EPS que prestan servicios de PYMS, (independientemente de la modalidad de contratación), que registran VAAT, (integral o especifica en PYMS), en el periodo a evaluar</t>
  </si>
  <si>
    <t>IPS primarias de la red de Nueva EPS que prestan servicios de PYMS, (independientemente de la modalidad de contratación)</t>
  </si>
  <si>
    <t>1-Modulo de Red IPS
2- Fecha valida de visita realizada</t>
  </si>
  <si>
    <t>IPS de la red primaria de atención, (Base de IPS para la indicadores PYMS)</t>
  </si>
  <si>
    <t>VAAT realizada en los ultimos 12 meses</t>
  </si>
  <si>
    <t>22.02%</t>
  </si>
  <si>
    <t>RPYMS456X</t>
  </si>
  <si>
    <t>Porcentaje de IPS de la red primaria de atención con cumplimiento critico y que registran seguimiento en el año vigente</t>
  </si>
  <si>
    <t>IPS de la red primaria de atención con cumplimiento critico, (cumplimiento indicadores de RPYMS menor al 60%, y que registran asistencia técnica en el año vigente</t>
  </si>
  <si>
    <r>
      <t xml:space="preserve">IPS primarias que prestan servicios de PYMS y que registran cumplimiento menor al 60% en el indicador del cumplimiento general de la RPYMS, y que tienen fecha valida de Visita de Asesoria y Asistencia Tecnica en el año vigente, (es valido formato integral </t>
    </r>
    <r>
      <rPr>
        <b/>
        <u/>
        <sz val="10"/>
        <color theme="1"/>
        <rFont val="Calibri Light"/>
        <family val="2"/>
        <scheme val="major"/>
      </rPr>
      <t>o</t>
    </r>
    <r>
      <rPr>
        <sz val="10"/>
        <color theme="1"/>
        <rFont val="Calibri Light"/>
        <family val="2"/>
        <scheme val="major"/>
      </rPr>
      <t xml:space="preserve"> formato especifico de los programas PYMS)</t>
    </r>
  </si>
  <si>
    <t>IPS primarias que prestan servicios de PYMS y que registran cumplimiento menor al 60% en el indicador del cumplimiento general de la RPYMS, al mes anterior del mes evaluado</t>
  </si>
  <si>
    <t>Tablero de cumplimiento de monitoreo de indicadores de la RPYMS</t>
  </si>
  <si>
    <t>mes anterior del mes evaluado</t>
  </si>
  <si>
    <t>12/12/2025 Sin modificación  06/02/2025 Ajuste definicion de variables y periodo denominador y Nivel a medición a EPS. 9/12/2024: Indicador nuevo</t>
  </si>
  <si>
    <t>RPYMS457X</t>
  </si>
  <si>
    <t>Porcentaje de IPS de la red primaria de atención con cumplimiento aceptable o mas</t>
  </si>
  <si>
    <t>IPS de la red primaria de atención con permanencia en aceptable o mas, (cumplimiento indicadores de RPYMS mayor o igual al 60% en los últimos 3 meses evaluados)</t>
  </si>
  <si>
    <t>IPS primarias de la red de Nueva EPS que prestan servicios de PYMS, (independientemente de la modalidad de contratación), y que registran cumplimiento permanente menor al 60% de indicador de evaluación del tablero de la RPYMS, en los 3 meses mas recientes, incluido mes evaluado</t>
  </si>
  <si>
    <t>Tablero de cumplimiento de monitoreo de indicadores de gestión del riesgo de RPYMS / según IPS por enciam del 60% de cumplimientos de lso 3 ultimos meses</t>
  </si>
  <si>
    <t>Últimos 3 meses incluido mes de evaluación</t>
  </si>
  <si>
    <t>12/12/2025 Se ajusta fuentes del denominador y se incluyen filtros.  //06/02/2025 Se aclara fuente de denominador. 9/12/2024: Indicador nuevo.</t>
  </si>
  <si>
    <t>RPYMS458X</t>
  </si>
  <si>
    <t>Porcentaje de IPS de la red primaria de atención con cumplimiento critico permanente, con reporte a entidad territorial</t>
  </si>
  <si>
    <t>IPS de la red primaria de atención con cumplimiento critico, (cumplimiento indicadores de RPYMS menor al 60% en los ultimos 3 meses evaluados, que registran notificación a entidad territorial</t>
  </si>
  <si>
    <t>IPS de la red primaria de atención con cumplimiento critico permanente, (cumplimiento indicadores de RPYMS menor al 60% en los ultimos 3 meses evaluados, incluyendo el mes evaluado),  y que fueron reporortadas a la entidad territorial posterior a la retrolimentación de estos resultados</t>
  </si>
  <si>
    <t>IPS de la red primaria de atención con cumplimiento critico permanente, (cumplimiento indicadores de RPYMS menor al 60% en los ultimos 3 meses evaluados, incluyendo el mes evaluado)</t>
  </si>
  <si>
    <t>Modulo de red prestador / Submodulo de correspondencia / tema; Notificación de incumplimiento  de indicadores IPS"</t>
  </si>
  <si>
    <t>Tablero de cumplimiento de monitoreo de indicadores de gestión del riesgo de RPYMS / según IPS</t>
  </si>
  <si>
    <t>15/12/2025: se pasa a evaluativo; se ajusta puntaje y meta, eyav// 12/202512/12/2025 Sin modificación  9/12/2024: Indicador nuevo</t>
  </si>
  <si>
    <t>RPYMS459X</t>
  </si>
  <si>
    <t>Cumplimiento en la evaluación de adherencia a guías</t>
  </si>
  <si>
    <t>IPS  que preta servicios de PYMS y  reciben evaluación de adherencia de manera mensual en cualquier tema</t>
  </si>
  <si>
    <t>Adherencia a guías</t>
  </si>
  <si>
    <r>
      <t xml:space="preserve">IPS primarias Capita, PGP, evento) que prestan servicios de PYMS y que registran fecha valida en la verificación de adherencia a guías en el mes de evaluación </t>
    </r>
    <r>
      <rPr>
        <sz val="10"/>
        <color rgb="FFFF0000"/>
        <rFont val="Calibri Light"/>
        <family val="2"/>
        <scheme val="major"/>
      </rPr>
      <t>cualquiere tema de la RPMS</t>
    </r>
  </si>
  <si>
    <t>1. Tomar como fuente de la base exportable del modulo de seguimiento a la red 1. "RedPrestadorTipoIntervencion Adherencia a guías" y 2. tomar Año vigente y 3. Tomar fecha valida variable "Fecha ejecución" y 4. Tomar la variable "Tema específico" con el nombre de "Dengue,Resolución 4505 de 2012 / 202 de 2021,  DT cáncer cuello uterino, DT cáncer mama,DT cancer próstata, DT cancer colorrectal,Planificación familiar,Primera infancia (0 a 5 años) e Infancia (6 a 11 años), " y 5. tomar la variable "Soportes" que contenga soporte marcado como "SI", en caso de duplicidad de un mismo tema solo tomar uno (1) para evitar porcentajes superiores al 100%</t>
  </si>
  <si>
    <t>12/12/2025 Se ajustan las definiciones, las fuentes, la observación  y los filtros del indicador.  //9/12/2024: Indicador nuevo</t>
  </si>
  <si>
    <t>RPYMS460X</t>
  </si>
  <si>
    <t>Cumplimiento en la evaluación de adherencia a guias obligatorias</t>
  </si>
  <si>
    <t>IPS que reciben evaluación de adherencia a guías "obligatorias"</t>
  </si>
  <si>
    <t>1. Tomar como fuente de la base exportable del modulo de seguimiento a la red 1. "RedPrestadorTipoIntervencion Adherencia a guías" y 2. tomar Año vigente y 3. Tomar fecha valida variable "Fecha ejecución" y 4. Tomar la variable "Tema específico" con el nombre de "Resolución 4505 de 2012 / 202 de 2021,  DT cáncer cuello uterino, DT cáncer mama,DT cancer próstata, DT cancer colorrectal,,Primera infancia (0 a 5 años) e Infancia (6 a 11 años),salud oral, vacunacion, Ruta Materno perinatal " y 5. tomar la variable "Soportes" que contenga soporte marcado como "SI", en caso de duplicidad de un mismo tema solo tomar uno (1) para evitar porcentajes superiores al 100%</t>
  </si>
  <si>
    <t>12/12/2025 Se ajusta las definiciones y la fuente del numerador y denominador, se deja observación del indicador y se describen los filtros de validaciones.  //9/12/2024: Indicador nuevo</t>
  </si>
  <si>
    <t>RPYMS529X</t>
  </si>
  <si>
    <t>Porcentaje de canalizaciòn efectiva de afiliados identificados con TA elevada en el MGE</t>
  </si>
  <si>
    <r>
      <rPr>
        <sz val="10"/>
        <color rgb="FF000000"/>
        <rFont val="Calibri Light"/>
        <family val="2"/>
        <scheme val="major"/>
      </rPr>
      <t>Afiliados residentes donde hay MGE</t>
    </r>
    <r>
      <rPr>
        <sz val="10"/>
        <color rgb="FFFF0000"/>
        <rFont val="Calibri Light"/>
        <family val="2"/>
        <scheme val="major"/>
      </rPr>
      <t xml:space="preserve">, con edad mayor o igual a 18 años, </t>
    </r>
    <r>
      <rPr>
        <sz val="10"/>
        <color rgb="FF000000"/>
        <rFont val="Calibri Light"/>
        <family val="2"/>
        <scheme val="major"/>
      </rPr>
      <t xml:space="preserve">que fueron identificados con TA elevada durante la VPS, y que fueron valorados en el servicio de salud, (medicina gral, medicina familiar, medicina interna, o enfermería), en los siguientes </t>
    </r>
    <r>
      <rPr>
        <strike/>
        <sz val="10"/>
        <color rgb="FF000000"/>
        <rFont val="Calibri Light"/>
        <family val="2"/>
        <scheme val="major"/>
      </rPr>
      <t xml:space="preserve">3 meses </t>
    </r>
    <r>
      <rPr>
        <sz val="10"/>
        <color rgb="FFFF0000"/>
        <rFont val="Calibri Light"/>
        <family val="2"/>
        <scheme val="major"/>
      </rPr>
      <t>90 días</t>
    </r>
  </si>
  <si>
    <t>Tensiòn arterial elevada</t>
  </si>
  <si>
    <t>1- RIPS: 
* CUPS 
89.0.2.01 (consulta de primera vez por medicina general)
89.0.3.01 (Consulta de control o seguimiento por medicina general)
89.0.2.63 (consulta de primera vez por especialista en medicina familiar)
89.0.3.63 (Consulta de control o seguimiento por especialista en medicina familiar)
89.0.2.05 (Consulta de primera vez por enfermería)
89.0.3.05 (Consulta de control o de seguimiento por enfermería)
89.0 2.66(Consulta de primera vez por especialista en medicina interna)
89 0 3 66 (Consulta de control por espeicalista en medicina interna)</t>
  </si>
  <si>
    <r>
      <rPr>
        <sz val="10"/>
        <color rgb="FF000000"/>
        <rFont val="Calibri Light"/>
        <family val="2"/>
        <scheme val="major"/>
      </rPr>
      <t xml:space="preserve">1- Base de población actual: Igual o mayor a 18 años
2- Archivo de visitas, tipo de visita "Primera vez" Clasificaciòn efectiva
3- FECHA DE VPS: En los ultimos 12 meses y de estas tomar los 11 primeros meses
4- Formato de adicionales procex: variable TENSIÖN ARTERIAL ELEVADA </t>
    </r>
    <r>
      <rPr>
        <strike/>
        <sz val="10"/>
        <color rgb="FF000000"/>
        <rFont val="Calibri Light"/>
        <family val="2"/>
        <scheme val="major"/>
      </rPr>
      <t xml:space="preserve">(&gt;139/89) </t>
    </r>
    <r>
      <rPr>
        <sz val="10"/>
        <color rgb="FFFF0000"/>
        <rFont val="Calibri Light"/>
        <family val="2"/>
        <scheme val="major"/>
      </rPr>
      <t>SISTOLICA &gt;=120</t>
    </r>
  </si>
  <si>
    <t>Misma poblacion del denominador con valoración o consulta</t>
  </si>
  <si>
    <r>
      <rPr>
        <sz val="10"/>
        <color rgb="FF000000"/>
        <rFont val="Calibri Light"/>
        <family val="2"/>
        <scheme val="major"/>
      </rPr>
      <t xml:space="preserve">Población general </t>
    </r>
    <r>
      <rPr>
        <sz val="10"/>
        <color rgb="FFFF0000"/>
        <rFont val="Calibri Light"/>
        <family val="2"/>
        <scheme val="major"/>
      </rPr>
      <t>mayor o igual a 18 años-</t>
    </r>
    <r>
      <rPr>
        <sz val="10"/>
        <color rgb="FF000000"/>
        <rFont val="Calibri Light"/>
        <family val="2"/>
        <scheme val="major"/>
      </rPr>
      <t xml:space="preserve"> activa sin importar regimen, que registran durante VPS Primera vez </t>
    </r>
    <r>
      <rPr>
        <sz val="10"/>
        <color rgb="FFFF0000"/>
        <rFont val="Calibri Light"/>
        <family val="2"/>
        <scheme val="major"/>
      </rPr>
      <t>con</t>
    </r>
    <r>
      <rPr>
        <sz val="10"/>
        <color rgb="FF000000"/>
        <rFont val="Calibri Light"/>
        <family val="2"/>
        <scheme val="major"/>
      </rPr>
      <t xml:space="preserve"> tensión elevada </t>
    </r>
  </si>
  <si>
    <t>1- RIPS (Pacientes con Dx de Hipertensión: codigos CIE10 I10, o del I150 al I159
2- Patologias: Pacientes del programa de alto impacto identificado con HTA, codificación EV06</t>
  </si>
  <si>
    <t xml:space="preserve"> La fecha de VPS debe ser igual a la fecha de tamizaje Tensión arterial
Normativo: Agosto de 2025, la American Heart Association (AHA) y el American
1.  Aplica para Regimen contributivo y régimen subsidiado College of Cardiology (ACC) presentaron su nueva guía para la prevención, detección, evaluación y manejo de la hipertensión en adultos - valores de cifras tensionales.</t>
  </si>
  <si>
    <t>Ir a variable "TA_FECHA_SERVICIO_SALUD_DESPUES_VISITA" y filtrar las fechas</t>
  </si>
  <si>
    <t>Ir a variable "TA_ALTERADA_EN_VISITA" filtrar los SI.
Manteniendo esos filtros, ir a variable "FECHA_ULTIMA_VISITA_EFECTIVA",  Seleccionado las visitas de los ultimos tres meses "</t>
  </si>
  <si>
    <t>Población mayor o igual a 18 años</t>
  </si>
  <si>
    <t>50%</t>
  </si>
  <si>
    <t>RPYMS530X</t>
  </si>
  <si>
    <t>Porcentaje de canalizaciòn efectiva de afiliados identificados con Findrisk alterado en el MGE</t>
  </si>
  <si>
    <r>
      <t xml:space="preserve">Afiliados identificados con Findrisk elevado, que fueron canalizados al servicio de salud, (valoración por medicina, medicina familiar, medicina inerna o enfermería), en los siguientes </t>
    </r>
    <r>
      <rPr>
        <strike/>
        <sz val="10"/>
        <rFont val="Calibri Light"/>
        <family val="2"/>
        <scheme val="major"/>
      </rPr>
      <t>3 meses</t>
    </r>
    <r>
      <rPr>
        <sz val="10"/>
        <rFont val="Calibri Light"/>
        <family val="2"/>
        <scheme val="major"/>
      </rPr>
      <t xml:space="preserve"> </t>
    </r>
    <r>
      <rPr>
        <sz val="10"/>
        <color rgb="FFFF0000"/>
        <rFont val="Calibri Light"/>
        <family val="2"/>
        <scheme val="major"/>
      </rPr>
      <t>90 día</t>
    </r>
    <r>
      <rPr>
        <sz val="10"/>
        <rFont val="Calibri Light"/>
        <family val="2"/>
        <scheme val="major"/>
      </rPr>
      <t>s a la VPS donde se identificó Findrisk elevado</t>
    </r>
  </si>
  <si>
    <t>Findrisk elevado</t>
  </si>
  <si>
    <r>
      <t xml:space="preserve">Población mayor o igual de </t>
    </r>
    <r>
      <rPr>
        <strike/>
        <sz val="10"/>
        <rFont val="Calibri Light"/>
        <family val="2"/>
        <scheme val="major"/>
      </rPr>
      <t>de</t>
    </r>
    <r>
      <rPr>
        <sz val="10"/>
        <rFont val="Calibri Light"/>
        <family val="2"/>
        <scheme val="major"/>
      </rPr>
      <t xml:space="preserve"> 18 años con una visita preventiva de salud de primera vez por PIS que presenta resultado de Fisdrisk elevado, igual o mayor a 15 del archivo de visitas Primera vez</t>
    </r>
  </si>
  <si>
    <t>1- Base de población actual: Igual o mayor a 18 años
2- Archivo de visitas, tipo de visita "Primera vez" Clasificaciòn efectiva
3- FECHA DE VPS: En los ultimos 12 meses y de estas tomar los 11 primeros meses
4- Formato Fuentes de adicionales procex
5- FINDRISK con puntaje igual a 4</t>
  </si>
  <si>
    <t>Valoraciones de medicina, medicina familiar, medicina interna o enfermera durante los siguientes tres meses a la fecha de VPS, (incluye el mismo de la VPS)</t>
  </si>
  <si>
    <r>
      <t xml:space="preserve">Población general de 18 años o más actual - activa sin importar regimen, que registran VPS </t>
    </r>
    <r>
      <rPr>
        <sz val="10"/>
        <color rgb="FFFF0000"/>
        <rFont val="Calibri Light"/>
        <family val="2"/>
        <scheme val="major"/>
      </rPr>
      <t>Primera vez</t>
    </r>
  </si>
  <si>
    <t>1- RIPS (Pacientes con Dx de Diabetes: codigo CIE del E100 al E149, E232. CIE10 del O240 al O249
2- Patologias: Pacientes del programa de alto impacto identificado con DM, codificación EV07</t>
  </si>
  <si>
    <t xml:space="preserve"> La fecha de VPS debe ser igual a la fecha de tamizaje Findrisk</t>
  </si>
  <si>
    <t>Ir a variable "FINDRISK_FECHA_SERVICIO_SALUD_DESPUES_VISITA" y filtrar las fechas</t>
  </si>
  <si>
    <t xml:space="preserve">Ir a variable FINDRIK_ALTERADO_EN_VISITA" 
Manteniendo el filtro, "FECHA_ULTIMA_VISITA_EFECTIVA",  Seleccionado las visitas de los ultimos tres meses </t>
  </si>
  <si>
    <t>56.43%</t>
  </si>
  <si>
    <t>19/11/2025 Se ajusta en la definición operacional del numerador y se incluye regla en el denominador de la población. //30/04/2025 Se ajusta Denominador del período.  31/03/2025 Se ajusta en definicion del denominador, en la fuente el denominador, exclusiones del denominador y se deja observación del indicador.   10/12/2024: Indicador nuevo</t>
  </si>
  <si>
    <t>RPYMS531X</t>
  </si>
  <si>
    <t>Porcentaje de niños con DNT aguda que reciben una visita preventiva de salud (VPS)</t>
  </si>
  <si>
    <t>Menores de 0 a 71 meses con diagnóstivo DNT por SIVIGILA que tengan una VPS efectiva posterior a la fecha de notificación de SIVIGILA</t>
  </si>
  <si>
    <t>Población de 0 a 71 meses que presenta Dx de DNT en SIVIGILA, código de evento 113, que registran VPS por PIS o ACS posterior o igual a la fecha de notificación de SIVIGLA.</t>
  </si>
  <si>
    <t>Menores de 0 a 71 meses con Dx de DNT en Sivigila, código del evento: 113</t>
  </si>
  <si>
    <t>Archivo de visitas PIS - ACS, cualquier tipo de visita con clasificación de visita "Efectiva"</t>
  </si>
  <si>
    <t>Menores de 0 a 71 meses notificados con el evento 113,SIVIGILA, Datos basicos (Variable TIP_CAS, todos los clasificados  con  "3,4,5")  marcados en la base de poblacion actual.</t>
  </si>
  <si>
    <r>
      <rPr>
        <sz val="10"/>
        <color rgb="FF000000"/>
        <rFont val="Calibri Light"/>
        <family val="2"/>
        <scheme val="major"/>
      </rPr>
      <t xml:space="preserve">Niños notificados en SIVIGILA en los ultimos </t>
    </r>
    <r>
      <rPr>
        <strike/>
        <sz val="10"/>
        <color rgb="FF000000"/>
        <rFont val="Calibri Light"/>
        <family val="2"/>
        <scheme val="major"/>
      </rPr>
      <t>3</t>
    </r>
    <r>
      <rPr>
        <sz val="10"/>
        <color rgb="FF000000"/>
        <rFont val="Calibri Light"/>
        <family val="2"/>
        <scheme val="major"/>
      </rPr>
      <t xml:space="preserve"> </t>
    </r>
    <r>
      <rPr>
        <sz val="10"/>
        <color rgb="FFFF0000"/>
        <rFont val="Calibri Light"/>
        <family val="2"/>
        <scheme val="major"/>
      </rPr>
      <t>4</t>
    </r>
    <r>
      <rPr>
        <sz val="10"/>
        <color rgb="FF000000"/>
        <rFont val="Calibri Light"/>
        <family val="2"/>
        <scheme val="major"/>
      </rPr>
      <t xml:space="preserve"> meses sin incluir el mes evaluado</t>
    </r>
  </si>
  <si>
    <t>Misma poblacion del denominador con la realización Visita preventiva en salud posterior a la fecha de Dx de DNT aguda</t>
  </si>
  <si>
    <t>1- Población actual activa en los regimenes Contributivo y Subsidiado: niños entre 0 y 71 meses con diagnostico de DNT aguda notificados por SIVIGILA con evento 113.</t>
  </si>
  <si>
    <t xml:space="preserve">Comparar que  "FECHA_ULTIMA_VISITA_EFECTIVA"  sea mayor o igual a la variable "FEC_NOT" </t>
  </si>
  <si>
    <t>Ir a variable "NIÑO_DNT_AGUDA" filtrar los SI.
Sin soltar el filtro, ir a variable "FECHA_ULTIMA_VISITA_EFECTIVA" filtar los ultimos tres meses</t>
  </si>
  <si>
    <t>Población de 0 a 71 meses</t>
  </si>
  <si>
    <t>31.04%</t>
  </si>
  <si>
    <t>RPYMS532X</t>
  </si>
  <si>
    <t>Porcentaje de canalizaciòn efectiva de afiliados identificados con apgar alterado,  en el MGE</t>
  </si>
  <si>
    <t>Afiliados identificados desde el MGE con apgar alterado, que reciben valoración de su salud mental en los siguientes 3 meses a la VPS donde se identificó el apgar alterado (Depresión severa, menor a 3 puntos)</t>
  </si>
  <si>
    <t>Apgar alterado</t>
  </si>
  <si>
    <r>
      <t>Población mayor o igual a 12 años que registran consulta de psicología en los siguientes 3 meses, (90 días)</t>
    </r>
    <r>
      <rPr>
        <strike/>
        <sz val="10"/>
        <color theme="1"/>
        <rFont val="Calibri Light"/>
        <family val="2"/>
        <scheme val="major"/>
      </rPr>
      <t xml:space="preserve"> </t>
    </r>
    <r>
      <rPr>
        <sz val="10"/>
        <color theme="1"/>
        <rFont val="Calibri Light"/>
        <family val="2"/>
        <scheme val="major"/>
      </rPr>
      <t>posterior o igual a la fecha de VPS</t>
    </r>
  </si>
  <si>
    <t>Población mayor o igual a 12 años que registran VPS con resultado de APGAR alterado (3. Severo)</t>
  </si>
  <si>
    <t>RIPS
CUPS:
Consulta de primera vez por psicología: 890208
Consulta de primera vez por otras espacialidades de psicología: 890297
Consulta de control y seguimiento por psicología: 890308
Interconsulta por psicología: 890408
Asistencia intrahospitalaria por psicología 890608</t>
  </si>
  <si>
    <t>1- Base de población actual: Igual o mayor a 12 años
2- Archivo de visitas, tipo de visita "Primera vez" Clasificaciòn efectiva
3- FECHA DE VPS: En los ultimos 12 meses y de estas tomar los 11 primeros meses
4- Formato de adicionales procex
5- APGAR clasificación 3 "SEVERO)</t>
  </si>
  <si>
    <t>Población general de 12 años o más actual - activa sin importar regimen, que registran VPS</t>
  </si>
  <si>
    <t>Ir a variable "FECHA_SALUD_MENTAL_DESPUES_VISITA" filtrando las fechas</t>
  </si>
  <si>
    <t>Ir a variable "APGAR_ALTERADO_EN_VISITA" filtrar los SI
Manteniendo el filtro, "FECHA_ULTIMA_VISITA_EFECTIVA",  Seleccionado las visitas de los ultimos tres meses.</t>
  </si>
  <si>
    <t>Población igual o mayor a 12 años</t>
  </si>
  <si>
    <t>5.6%</t>
  </si>
  <si>
    <t>RPYMS623X</t>
  </si>
  <si>
    <t>Cobertura en aplicación de Fiebre Amarilla en niños de 12 a 23 meses</t>
  </si>
  <si>
    <t>porporcion de  niños de 12 a 23 meses con aplicación de Fiebre amarilla</t>
  </si>
  <si>
    <t>Total de afiliados que registran aplicación de Fiebre Amarilla
Edad a la fecha de aplicación entre 12-23 meses</t>
  </si>
  <si>
    <t>57.29%</t>
  </si>
  <si>
    <t>12/12/2025 Sin modificación  15/10/2025 Se ajusta en la variable de población - numerador "Población denominador"  quiere decir que los usuarios que estén en el numerador deben estar inmersos en el denominador y se realiza la observación del indicador "Para el numerador en los indicadores de cobertura se toma la misma población del denominador (los del den que cumplan con la actividad)" //19/06/2025 Se realiza ajuste en el numerador de la variable población eliminando la condición "no necesariamente debe estar incluido en el denominador.  19/12/2024: Indicador nuevo, hermano de Ind RPYMS288X</t>
  </si>
  <si>
    <t>RPYMS624X</t>
  </si>
  <si>
    <t xml:space="preserve">Población con EISP relacionados con el componente de salud mental con valoración por psicología </t>
  </si>
  <si>
    <t xml:space="preserve">Proporción de usuarios con reporte de EISP relacionados con el componente de salud mental con valoración por psicología </t>
  </si>
  <si>
    <t>Sumatoria de los numeradores de los indicadores RPYMS213X, RPYMS214X, RPYMS216X y RPYMS217X
Para los casos duplicados por tipo, número y evento (cohorte), dejar única línea (no duplicados), con el evento que cumpla con la valoración por psicología o psiquiatría, si no hay cumplimiento, dejar el evento mas reciente por tipo, numero y evento (cohorte).
Incluye todos los afiliados con estado de afiliación "ACTIVO" en el periodo a evaluar  independiente de la fecha de afiliación.
Los numeradores de los indicadores RPYMS213X, RPYMS214X, RPYMS216X y RPYMS217X toman como validas las consultas con psicología y/o psiquiatría menor o igual a 3 meses posterior a la fecha registrada en la variable "fecha de consulta" reportada en SIVIGILA.
Se tendra en cuenta cualquier consulta por psicología o psiquiatría que cumpla con los terminos definidos para el numerador, es decir, si un usuario cumple con el indicador continuará cumpliendo durante el periodo de medición, independientemente de las consultas que se actualicen en la cohorte.</t>
  </si>
  <si>
    <t>Sumatoria de los denominadores de los indicadores RPYMS213X, RPYMS214X, RPYMS216X y RPYMS217X
Para los casos duplicados por tipo, número y evento (cohorte), dejar única línea (no duplicados), con el evento que cumpla con la valoración por psicología o psiquiatría, si no hay cumplimiento, dejar el evento mas reciente por tipo, numero y evento (cohorte).
Incluye todos los afiliados con estado de afiliación "ACTIVO" en el periodo a evaluar  independiente de la fecha de afiliación.
Para los denominadores de los indicadores RPYMS213X, RPYMS214X, RPYMS216X y RPYMS217X se toma la población con fecha de notificación a SIVIGILA dentro de los últimos 12 meses sin contar los últimos 3 meses.</t>
  </si>
  <si>
    <t>IndicadoresRPYMS213X, RPYMS214X, RPYMS216X y RPYMS217X
1 - RIPS (AC)
CUPS:
890208 consulta de primera vez por psicología
890308 consulta de control o de seguimiento por psicología
890284 consulta de primera vez por especialista en psiquiatría
890285 consulta de primera vez por especialista en psiquiatría pediátrica
890384 consulta de control o de seguimiento por especialista en psiquiatría
890385 consulta de control o de seguimiento por especialista en psiquiatría pediátrica
890484 interconsulta por especialista en psiquiatría
890485 interconsulta por especialista en psiquiatría pediátrica
943101 psicoterapia individual por psiquiatría
941101; DETERMINACION DEL ESTADO MENTAL POR PSIQUIATRIA
941301; OTRA ENTREVISTA Y EVALUACION PSIQUIATRICAS
944001; PSICOTERAPIA DE PAREJA POR PSIQUIATRIA
944101; PSICOTERAPIA FAMILIAR POR PSIQUIATRIA
944201; PSICOTERAPIA DE GRUPO POR PSIQUIATRIA
944902; INTERVENCION EN SALUD MENTAL COMUNITARIA, POR PSIQUIATRIA
E890284; CONSULTA DE PRIMERA VEZ POR ESPECIALISTA EN PSIQUIATRIA POR TELESALUD O TELEMEDICINA
E890384; CONSULTA DE CONTROL O DE SEGUIMIENTO POR ESPECIALISTA EN PSIQUIATRIA POR TELESALUD O TELEMEDICINA
890108; ATENCION [VISITA] DOMICILIARIA. POR PSICOLOGIA
890297; CONSULTA DE PRIMERA VEZ POR OTRAS ESPECIALIDADES DE PSICOLOGIA
890397; CONSULTA DE CONTROL O DE SEGUIMIENTO POR OTRAS ESPECIALIDADES DE PSICOLOGIA
890408; INTERCONSULTA POR PSICOLOGÍA
890608; ASISTENCIA INTRAHOSPITALARIA POR PSICOLOGIA
940901; DETERMINACION DEL ESTADO MENTAL POR PSICOLOGIA
943102; PSICOTERAPIA INDIVIDUAL POR PSICOLOGIA
944002; PSICOTERAPIA DE PAREJA POR PSICOLOGIA
944102; PSICOTERAPIA FAMILIAR POR PSICOLOGIA
944202; PSICOTERAPIA DE GRUPO POR PSICOLOGIA
944904; INTERVENCION EN SALUD MENTAL COMUNITARIA, POR PSICOLOGIA
E890208; CONSULTA DE PRIMERA VEZ POR PSICOLOGIA POR TELESALUD O TELEMEDICINA
E890310; CONSULTA DE CONTROL O DE SEGUIMIENTO POR PSICOLOGIA POR TELESALUD O TELEMEDICINA</t>
  </si>
  <si>
    <t>Indicadores  RPYMS213X, RPYMS214X, RPYMS216X y RPYMS217X
Población de las cohortes de violencia sexual, violencia no sexual, intento de suicidio e intoxicaciones por SPA</t>
  </si>
  <si>
    <t>Se obtiene de acuerdo con los parámetros establecidos en los indicadores fuente.
Los numeradores de los indicadores RPYMS213X, RPYMS214X, RPYMS216X y RPYMS217X toman como validas las consultas con psicología y/o psiquiatría menor o igual a 3 meses posterior a la fecha registrada en la variable "fecha de consulta" reportada en SIVIGILA .</t>
  </si>
  <si>
    <t>Se obtiene de acuerdo con los parámetros establecidos en los indicadores fuente, inlcuye todos los usuarios independiente de la fecha de afiliación.
Para los denominadores de los indicadores RPYMS213X, RPYMS214X, RPYMS216X y RPYMS217X se toma la población con fecha de notificación a SIVIGILA dentro de los últimos 12 meses sin contar los últimos 3 meses.
La población de este indicador se debe gestionar por ubicación de la IPS primaria.</t>
  </si>
  <si>
    <t>Población numeradores indicadores RPYMS213X, RPYMS214X, RPYMS216X y RPYMS217X
La población del denominador que cumple con consulta por psicología y/o psiquiatría según los criterios del indicador:
Menor o igual a 3 meses posterior a la fecha registrada en la variable "fecha de consulta" reportada en SIVIGILA.</t>
  </si>
  <si>
    <t>Población denominadores indicadores RPYMS213X, RPYMS214X, RPYMS216X y RPYMS217X.
Población de las cohortes de violencia sexual, violencia no sexual, intento de suicidio e intoxicaciones por SPA</t>
  </si>
  <si>
    <t>REGLA IMPORTANTE DEL INDICADOR: Se tendra en cuenta cualquier consulta por psicología o psiquiatría que cumpla con los terminos definidos para el numerador, es decir, si un usuario cumple con el indicador continuará cumpliendo durante el periodo de medición, independientemente de las consultas que se actualicen en la cohorte.
Indicador anteriormente medido desde Fenix.</t>
  </si>
  <si>
    <t>NOMINAL_SALUD_MENTAL
1.Variable "NUMERADOR" los que registran "1"</t>
  </si>
  <si>
    <t>NOMINAL_SALUD_MENTAL
1. Usuarios de la base.</t>
  </si>
  <si>
    <t>Archivos informes: NOMINAL SALUD MENTAL</t>
  </si>
  <si>
    <t>12/12/2025 Sin modificación  06/06/2025: Se incluye indicadore Fenix en las fichas tecnicas de Girs, para continuar midiendose desde el tablero de salud pública para el programa de salud mental</t>
  </si>
  <si>
    <t>RPYMS174AX</t>
  </si>
  <si>
    <t>Captación temprana de gestantes al control prenatal, con condición de tiempo de afiliación</t>
  </si>
  <si>
    <t>Proporción de gestantes que registran atención prenatal antes de la semana 10 (Max 9,6 semanas), cuya diferencia entre fecha de afiliación y FPP sea menor o igual a 210 días</t>
  </si>
  <si>
    <t>Número de usuarias gestantes 
Recibieron primera consulta de control prenatal Menor a 10 semanas
Incluye todos los afiliados  independiente de la fecha de afiliación</t>
  </si>
  <si>
    <t>67.3%</t>
  </si>
  <si>
    <t xml:space="preserve">15/12/2025: se pasa a informativo, se modifica nombre del indicador poruqe se llamaba igual que otro, se modifica definición operacional, y se elimina puntaje; eyav //  13/08/2025 Se crea un homologo del indicador RPYMS174X del cual, se ajusta definción de numerador y denominador , se incluye exclusiones para el denominador y se modifica la meta en general y especial.  17/12/2024 Se completa puntaje //9/12/2024: Se pasa a evaluativo, se asigna puntaje, se cambia nombre del indicador.  Se debe crear tablero para RMP, que no suma al de RPYMS, (son evaluaciones diferentes) EYAV. </t>
  </si>
  <si>
    <t>RPYMS625X</t>
  </si>
  <si>
    <t>Cumplimiento en la atención preconcepcional en el año en MEF con comorbilidades con intención reproductiva a corto plazo</t>
  </si>
  <si>
    <t>MEF con comorbilidades de 15 a 49 años con posibilidad de quedar en gestación que reciben consulta preconcepcional</t>
  </si>
  <si>
    <t>Número de MEF con comorbilidades
Recibieron consulta de atención preconcepcional  por medicina general o  medicina familiar o de enfermería o  ginecología
En el año Vigente 
Edad a la consulta mayor o igual 15 años.</t>
  </si>
  <si>
    <t>Total de Mujeres de 15 a 49 años con comorbilidades, 
incluye mujeres con método PNF posterior  a cita preconcepcional
Dividido en 12 multiplicado por mes a evaluar</t>
  </si>
  <si>
    <r>
      <t>Fuente: ADICIONALES- PATOLOGIAS
COHORTE MEF CON COMORBILIDAD</t>
    </r>
    <r>
      <rPr>
        <strike/>
        <sz val="10"/>
        <color theme="1"/>
        <rFont val="Calibri Light"/>
        <family val="2"/>
        <scheme val="major"/>
      </rPr>
      <t xml:space="preserve">
</t>
    </r>
    <r>
      <rPr>
        <sz val="10"/>
        <color theme="1"/>
        <rFont val="Calibri Light"/>
        <family val="2"/>
        <scheme val="major"/>
      </rPr>
      <t>(CIERRE MES)</t>
    </r>
  </si>
  <si>
    <r>
      <t xml:space="preserve">Variable:
Total de Mujeres de 15 a 49 años con comorbilidad, 
Incluye mujeres con método PNF posterior  a cita preconcepcional
</t>
    </r>
    <r>
      <rPr>
        <strike/>
        <sz val="10"/>
        <color theme="1"/>
        <rFont val="Calibri Light"/>
        <family val="2"/>
        <scheme val="major"/>
      </rPr>
      <t xml:space="preserve">
</t>
    </r>
    <r>
      <rPr>
        <sz val="10"/>
        <color theme="1"/>
        <rFont val="Calibri Light"/>
        <family val="2"/>
        <scheme val="major"/>
      </rPr>
      <t>Dividido en 12 multiplicado por mes a evaluar</t>
    </r>
  </si>
  <si>
    <t xml:space="preserve">Cohorte MEF con comorbilidades
1. Calcular edad a corte del periodo evaluar. Formula: =sifecha(FechaNacimiento;FechaCorte;"y")
2. Filtrar edad 15 a 49 años
3. Calcular edad a corte de la consulta mas reciente de  preconcepcional. Formula: =sifecha(FechaNacimiento;FechaConsulta;"y")
4. Filtrar consulta en año vigente
5. Filtrar edad  a la consulta de 15 a 49 años
7. En la columna "Histerectomia" filtrar las usuarias con registro "0"
8. En la columna "Esterilización" filtrar las usuarias con registro "0"
9. En la columna "Infertilidad" filtrar las usuarias con registro "0"
</t>
  </si>
  <si>
    <t>Cohorte MEF con Comorbilidades
1. Calcular edad a corte del periodo evaluar. Formula: =sifecha(FechaNacimiento;FechaCorte;"y")
2. Filtrar edad 15 a 49 años
3. En la columna "Histerectomia" filtrar las usuarias con registro "NO"
4. En la columna "Esterilización" filtrar las usuarias con registro "NO"
5. En la columna "Infertilidad" filtrar las usuarias con registro "NO"
6. Excluir población del numerador RPYMS95X
7. Dividir en 12 y multiplicar por el mes a evaluar</t>
  </si>
  <si>
    <t>22.85%</t>
  </si>
  <si>
    <t>12/09/2025 Indicador nuevo aprobado por la Dirección a solicitud de auditorias ET.</t>
  </si>
  <si>
    <t>RPYMS627X</t>
  </si>
  <si>
    <t>Letalidad por fiebre amarilla</t>
  </si>
  <si>
    <t>Proporción de usuarios con diagnótico de fiebre amarilla que fallecen</t>
  </si>
  <si>
    <t>Numero de personas afiliadas que han sido notificadas en sivigila:
Evento: 310
"fec_not" año vigente 
Fecha defunción "fec_def_": Año Vigente
- Tipo caso "tip_cas_" = 1, 2, 3, 4 o 5,  y  "Ajuste_"0, 3, 4, 5 o 7Excluir:  "Ajuste_" =  6 o D o R</t>
  </si>
  <si>
    <r>
      <t xml:space="preserve">Número de personas afiliadas que han sido notificadas en SIVIGILA:
Evento: 310
"fec_not" año vigente 
</t>
    </r>
    <r>
      <rPr>
        <sz val="10"/>
        <color rgb="FFFF0000"/>
        <rFont val="Calibri Light"/>
        <family val="2"/>
        <scheme val="major"/>
      </rPr>
      <t>- Tipo caso "tip_cas_" = 1, 2, 3, 4 o 5,  y  "Ajuste_"0, 3, 4, 5 o 7</t>
    </r>
    <r>
      <rPr>
        <sz val="10"/>
        <rFont val="Calibri Light"/>
        <family val="2"/>
        <scheme val="major"/>
      </rPr>
      <t xml:space="preserve">
</t>
    </r>
    <r>
      <rPr>
        <sz val="10"/>
        <color rgb="FFFF0000"/>
        <rFont val="Calibri Light"/>
        <family val="2"/>
        <scheme val="major"/>
      </rPr>
      <t>- Excluir:  "Ajuste_" =  6 o D o R</t>
    </r>
    <r>
      <rPr>
        <sz val="10"/>
        <rFont val="Calibri Light"/>
        <family val="2"/>
        <scheme val="major"/>
      </rPr>
      <t xml:space="preserve">
</t>
    </r>
  </si>
  <si>
    <t>Datos oficiales de proceso interno de validación de casos de la fuente SIVIGILA Evento 310 Datos básicos y complementarios "Ajuste_" Excepto: 6 o D o R</t>
  </si>
  <si>
    <t>Datos oficiales de proceso interno de validación de casos de la fuente SIVIGILA Evento 310  Datos básicos y complementarios "Ajuste_" Excepto: 6 o D o R</t>
  </si>
  <si>
    <t>Usuarios notificados SIVIGILA evento 310</t>
  </si>
  <si>
    <t>Fuente adicional Nueva EPS Fiebre Amarilla</t>
  </si>
  <si>
    <t>05/12/2025 Indicador Nuevo Se solicita publicación de datos del indicador a través de PROCEX con la fuente oficial de Nueva EPS</t>
  </si>
  <si>
    <t>RPYMS628X</t>
  </si>
  <si>
    <t>Incidencia de fiebre amarilla</t>
  </si>
  <si>
    <t>Número de casos nuevos probables y confirmados de fiebre amarilla en una población durante un periodo de tiempo determinado</t>
  </si>
  <si>
    <r>
      <t xml:space="preserve">Número de personas afiliadas que han sido notificadas en SIVIGILA:
Evento: 310
"fec_not" año vigente 
</t>
    </r>
    <r>
      <rPr>
        <sz val="10"/>
        <color rgb="FFFF0000"/>
        <rFont val="Calibri Light"/>
        <family val="2"/>
        <scheme val="major"/>
      </rPr>
      <t xml:space="preserve">- Tipo caso "tip_cas_" = 1, 2, 3, 4 o 5,  y  "Ajuste_"0, 3, 4, 5 o 7
- Excluir:  "Ajuste_" =  6 o D o </t>
    </r>
  </si>
  <si>
    <t>Datos oficiales de proceso interno de validación de casos confirmados de la fuente SIVIGILA Evento310  Datos básicos y complementarios "Ajuste_" Excepto: 6 o D o R</t>
  </si>
  <si>
    <t>Tipo caso "tip_cas_" = 2,  incluir ajuste "Ajuste_"  = 3, 4 y 5
Tipo caso "tip_cas_" = 3, 4 y 5, incluir "Ajuste_" 0 y 7</t>
  </si>
  <si>
    <t>RPYMS629X</t>
  </si>
  <si>
    <t>Número de casos confirmados de fiebre amarilla</t>
  </si>
  <si>
    <t>Número de casos nuevos confirmados de fiebre amarilla</t>
  </si>
  <si>
    <t>Número</t>
  </si>
  <si>
    <r>
      <t>Número de personas afiliadas que han sido notificadas en SIVIGILA:
Evento: 310
"fec_not" año vigente 
-</t>
    </r>
    <r>
      <rPr>
        <sz val="10"/>
        <color rgb="FFFF0000"/>
        <rFont val="Calibri Light"/>
        <family val="2"/>
        <scheme val="major"/>
      </rPr>
      <t xml:space="preserve"> Tipo caso "tip_cas_" =1 o 2,  Y ajuste "Ajuste_"  = 3, 4 o 5
- Tipo caso "tip_cas_" = 3, 4 o 5, Y "Ajuste_"0, 3, 4, 5 o 7
</t>
    </r>
    <r>
      <rPr>
        <sz val="10"/>
        <rFont val="Calibri Light"/>
        <family val="2"/>
        <scheme val="major"/>
      </rPr>
      <t xml:space="preserve">Excluir:  "Ajuste_" =  6 o D o R
</t>
    </r>
  </si>
  <si>
    <r>
      <t xml:space="preserve">Número de personas afiliadas que han sido notificadas en SIVIGILA:
Evento: 310
"fec_not" año vigente </t>
    </r>
    <r>
      <rPr>
        <sz val="10"/>
        <color rgb="FFFF0000"/>
        <rFont val="Calibri Light"/>
        <family val="2"/>
        <scheme val="major"/>
      </rPr>
      <t xml:space="preserve">
- Excluir:  "Ajuste_" =  6 o D o </t>
    </r>
  </si>
  <si>
    <t>Cumplimiento en la educación en salud grupal en la Primera Infancia</t>
  </si>
  <si>
    <t>Proporción de población que han recibido educacion en salud Grupal con dos ciclos por año, en el curso de vida de primera infancia</t>
  </si>
  <si>
    <t>Numero de niños de 0 a 5 años con minimo 3 consultas (sesiones educativas)  por año en el siguiente esquema
Edad al corte de la sesion educativa de 0 a 11 meses (minimo 3 sesiones)
Edad al corte de la sesion educativa de 11 a 23 meses (minimo 6 sesiones)
Edad al corte de la sesion educativa de 24 a 35 meses (minimo 9 sesiones)
Edad al corte de la sesion educativa de 36 a 48 meses (minimo  12 sesiones)
Edad al corte de la sesion educativa de 49 a 60 meses (minimo  15 sesiones)</t>
  </si>
  <si>
    <t xml:space="preserve">Sistema Procex- modulo demanda inducida-
RIPS - CUPS 9901*
990101-EDUCACION GRUPAL EN SALUD, POR MEDICINA GENERAL
990102-EDUCACION GRUPAL EN SALUD, POR MEDICINA ESPECIALIZADA
990103-EDUCACION GRUPAL EN SALUD, POR ODONTOLOGIA
990104-EDUCACION GRUPAL EN SALUD, POR ENFERMERIA
990105-EDUCACION GRUPAL EN SALUD, POR NUTRICION Y DIETETICA
990106-EDUCACION GRUPAL EN SALUD, POR PSICOLOGIA
990107-EDUCACION GRUPAL EN SALUD, POR TRABAJO SOCIAL
990108-EDUCACION GRUPAL EN SALUD, POR FISIOTERAPIA
990109-EDUCACION GRUPAL EN SALUD, POR TERAPIA OCUPACIONAL
990110-EDUCACION GRUPAL EN SALUD, POR FONIATRIA Y FONOAUDIOLOGIA
990111-EDUCACION GRUPAL EN SALUD, POR AGENTE EDUCATIVO
990112-EDUCACION GRUPAL EN SALUD, POR HIGIENE ORAL
990113-EDUCACION GRUPAL EN SALUD, POR EQUIPO INTERDISCIPLINARIO
</t>
  </si>
  <si>
    <t>Población de 0 a 5 años</t>
  </si>
  <si>
    <t>Todo lo que cumpla en el numerador debe estar incluido en denominador
Se incluyo en la variable fuente del numerador la relacion de CUPS de educacion grupal por cada curso de vida
Se ajusta rango de edad</t>
  </si>
  <si>
    <t>12/12/2025 Indicador nuevo</t>
  </si>
  <si>
    <t>Cumplimiento en la educación en salud grupal en la Infancia</t>
  </si>
  <si>
    <t>Proporción de población que han recibido educacion en salud Grupal con dos ciclos por año, en el curso de vida de infancia</t>
  </si>
  <si>
    <t>Numero de niños de 6 a 11 años con minimo 3 consultas (sesiones educativas) en cada año de acuerdo al esquema definido  de la siguiente manera
Edad al corte de la sesion educativa de 6 años (minimo 3 sesiones)
Edad al corte de la sesion educativa de 7 años (minimo 6 sesiones)
Edad al corte de la sesion educativa de 8 años (minimo 9 sesiones)
Edad al corte de la sesion educativa de 9 años (minimo 12 sesiones)
Edad al corte de la sesion educativa de 10 años (minimo 15 sesiones)
Edad al corte de la sesion educativa de 11 años (minimo 3 sesiones)</t>
  </si>
  <si>
    <t>Población de 6 a 11 años</t>
  </si>
  <si>
    <t>Todo lo que cumpla en el numerador debe estar incluido en denominador
Se incluyo en la variable fuente del numerador la relacion de CUPS de educacion grupal por cada curso de vida</t>
  </si>
  <si>
    <t>Cumplimiento en la educación en salud grupal en la adolescencia</t>
  </si>
  <si>
    <t>Proporción de población que han recibido educacion en salud Grupal con dos ciclos por año, en el curso de vida de Adolescencia</t>
  </si>
  <si>
    <t>Numero de Adolescentes de 12 a 17 años con minimo 3 consultas (sesiones educativas) en cada año de acuerdo al esquema de la siguiente manera
Edad al corte de la sesion educativa de 12 años (minimo 3 sesiones)
Edad al corte de la sesion educativa de 13 años (minimo 6 sesiones)
Edad al corte de la sesion educativa de 14 años (minimo 9 sesiones)
Edad al corte de la sesion educativa de 15 años (minimo 12 sesiones)
Edad al corte de la sesion educativa de 16 años (minimo 15 sesiones)
Edad al corte de la sesion educativa de 17 años (minimo 3 sesiones)</t>
  </si>
  <si>
    <t>Población de 12 a 17 años</t>
  </si>
  <si>
    <t>Cumplimiento en la educación en salud grupal en la juventud</t>
  </si>
  <si>
    <t>Proporción de población que han recibido educacion en salud Grupal con un ciclo por año, en el curso de vida de Juventud</t>
  </si>
  <si>
    <t xml:space="preserve">Numero de personas entre los 18 a 28 años con minimo 1 consulta (sesiones educativas) en cada año de acuerdo al esquema definido en la de la siguiente manera
Edad al corte de la sesion educativa de 18 - 20 años (minimo 3 sesiones)
Edad al corte de la sesion educativa de 21 - 23 años (minimo 6 sesiones)
Edad al corte de la sesion educativa de 24 - 26 años (minimo 9 sesiones)
Edad al corte de la sesion educativa de 27 -28 años (minimo 12 sesiones)
</t>
  </si>
  <si>
    <t>Cumplimiento en la educación en salud grupal en la adultez</t>
  </si>
  <si>
    <t>Población que ha recibido educación en salud Grupal, (un ciclo), en cada subgrupo del curso de vida de la adultez</t>
  </si>
  <si>
    <t>Numero de personas entre los 29 a 59 años con minimo 1 consulta (sesiones educativas)  en cada año de acuerdo al esquema de la siguiente manera
Edad al corte de la sesion educativa entre 29 a 31 años  (minimo 1 sesiones)
Edad al corte de la sesion educativa entre 32 a 34 años  (minimo 2 sesiones)
Edad al corte de la sesion educativa entre 35 a 37 años  (minimo 3 sesiones)
Edad al corte de la sesion educativa entre 38 a 40 años  (minimo 4 sesiones)
Edad al corte de la sesion educativa entre 41 a 43 años  (minimo 5  sesiones)
Edad al corte de la sesion educativa entre 44 a 46 años  (minimo 6 sesiones)
Edad al corte de la sesion educativa entre 47 a 49 años  (minimo 7 sesiones)
Edad al corte de la sesion educativa entre 50 a 52 años  (minimo 8 sesiones)
Edad al corte de la sesion educativa entre 53 a 55 años  (minimo 9 sesiones)
Edad al corte de la sesion educativa entre 54 a 59 años  (minimo 10 sesiones)</t>
  </si>
  <si>
    <t>Población de 29 a 59 años</t>
  </si>
  <si>
    <t>Cumplimiento en la educación en salud grupal en la vejez</t>
  </si>
  <si>
    <t>Población que ha recibido educación en salud Grupal, (dos ciclos), en cada subgrupo del curso de vida de la vejez</t>
  </si>
  <si>
    <t>Numero de personas mayores de 60 años con minimo 3 sesiones en cada año durante su curso de vida de acuerdo al esquema definido en la ruta de Promocion</t>
  </si>
  <si>
    <t>Población de 60 años y mas</t>
  </si>
  <si>
    <t>Cumplimiento de esquema de sesiones educativas grupales en el año vigente</t>
  </si>
  <si>
    <t>Proporción de población que han recibido educacion en salud grupal en en el esquema definido , (3 actividades por semestre en el año vigente)</t>
  </si>
  <si>
    <t>Población general</t>
  </si>
  <si>
    <r>
      <rPr>
        <sz val="10"/>
        <color rgb="FF000000"/>
        <rFont val="Calibri Light"/>
        <family val="2"/>
      </rPr>
      <t xml:space="preserve">Sistema Procex- modulo demanda inducida-
RIPS - CUPS 9901*
</t>
    </r>
    <r>
      <rPr>
        <sz val="10"/>
        <color rgb="FFFF0000"/>
        <rFont val="Calibri Light"/>
        <family val="2"/>
      </rPr>
      <t xml:space="preserve">Cohorte DI variable "medio de contacto" opcion "Charla educativa"
</t>
    </r>
    <r>
      <rPr>
        <sz val="10"/>
        <color rgb="FF000000"/>
        <rFont val="Calibri Light"/>
        <family val="2"/>
      </rPr>
      <t xml:space="preserve">990101-EDUCACION GRUPAL EN SALUD, POR MEDICINA GENERAL
990102-EDUCACION GRUPAL EN SALUD, POR MEDICINA ESPECIALIZADA
990103-EDUCACION GRUPAL EN SALUD, POR ODONTOLOGIA
990104-EDUCACION GRUPAL EN SALUD, POR ENFERMERIA
990105-EDUCACION GRUPAL EN SALUD, POR NUTRICION Y DIETETICA
990106-EDUCACION GRUPAL EN SALUD, POR PSICOLOGIA
990107-EDUCACION GRUPAL EN SALUD, POR TRABAJO SOCIAL
990108-EDUCACION GRUPAL EN SALUD, POR FISIOTERAPIA
990109-EDUCACION GRUPAL EN SALUD, POR TERAPIA OCUPACIONAL
990110-EDUCACION GRUPAL EN SALUD, POR FONIATRIA Y FONOAUDIOLOGIA
990111-EDUCACION GRUPAL EN SALUD, POR AGENTE EDUCATIVO
990112-EDUCACION GRUPAL EN SALUD, POR HIGIENE ORAL
990113-EDUCACION GRUPAL EN SALUD, POR EQUIPO INTERDISCIPLINARIO
</t>
    </r>
  </si>
  <si>
    <t xml:space="preserve">Todo lo que cumpla en el numerador debe estar incluido en denominador
Se incluyo en la variable fuente del numerador la relacion de CUPS de educacion grupal </t>
  </si>
  <si>
    <t>Cobertura de participación en sesiones educativas en salud Individual</t>
  </si>
  <si>
    <t>Proporción de población que han recibido educacion en salud individual cualquier programa dentro de su curso de vida al menos 1 vez en la vida</t>
  </si>
  <si>
    <t>Educacion individual</t>
  </si>
  <si>
    <t>Población que registra asistencias sesiones de educacion en salud individual en el curso de vida  que cumpla con minimo 1 actividad de educacion 
Población general
Programa de Educacion en salud</t>
  </si>
  <si>
    <r>
      <rPr>
        <sz val="10"/>
        <color rgb="FF000000"/>
        <rFont val="Calibri Light"/>
        <family val="2"/>
      </rPr>
      <t xml:space="preserve">Sistema Procex- modulo demanda inducida-
990201-EDUCACION INDIVIDUAL EN SALUD, POR MEDICINA GENERAL
990202-EDUCACION INDIVIDUAL EN SALUD, POR MEDICINA ESPECIALIZADA
990203-EDUCACION INDIVIDUAL EN SALUD, POR ODONTOLOGIA
990204-EDUCACION INDIVIDUAL EN SALUD, POR ENFERMERIA
990205-EDUCACION INDIVIDUAL EN SALUD, POR NUTRICION Y DIETETICA
990206-EDUCACION INDIVIDUAL EN SALUD, POR PSICOLOGIA
990207-EDUCACION INDIVIDUAL EN SALUD, POR TRABAJO SOCIAL
990208-EDUCACION INDIVIDUAL EN SALUD, POR FISIOTERAPIA
990209-EDUCACION INDIVIDUAL EN SALUD, POR TERAPIA OCUPACIONAL
990210-EDUCACION INDIVIDUAL EN SALUD, POR FONIATRIA Y FONOAUDIOLOGIA
990211-EDUCACION INDIVIDUAL EN SALUD, POR AGENTE EDUCATIVO
990212-EDUCACION INDIVIDUAL EN SALUD, POR HIGIENE ORAL
990213-EDUCACION INDIVIDUAL EN SALUD, POR EQUIPO INTERDISCIPLINARIO
990221-EDUCACION INDIVIDUAL EN SALUD, POR EQUIPO INTERDISCIPLINARIO Y COMUNICACION EN POBLACION INFANTIL Y ADOLESCENTE
990222-EDUCACION INDIVIDUAL EN SALUD, POR EQUIPO INTERDISCIPLINARIO Y COMUNICACION EN POBLACION DE HOMBRES Y MUJERES EN EDAD FERTIL
990223-EDUCACION INDIVIDUAL EN SALUD, POR EQUIPO INTERDISCIPLINARIO Y COMUNICACION EN POBLACION DE MUJERES GESTANTES Y LACTANTES
990224-EDUCACION INDIVIDUAL EN SALUD, POR EQUIPO INTERDISCIPLINARIO Y COMUNICACION EN POBLACION DE ADULTO MAYOR
RIPS - CUPS 9902* (990201 al 990213)
</t>
    </r>
    <r>
      <rPr>
        <sz val="10"/>
        <color rgb="FFFF0000"/>
        <rFont val="Calibri Light"/>
        <family val="2"/>
      </rPr>
      <t xml:space="preserve">Cargue de informacion adicional de las visitas preventivas del MGE (en proceso de organización)
</t>
    </r>
  </si>
  <si>
    <t>Todo lo que cumpla en el numerador debe estar incluido en denominador
Se incluyo en la variable fuente del numerador la relacion de CUPS de educacion individual</t>
  </si>
  <si>
    <t>Cobertura de Vacunación de Fiebre amarilla en población mayor de 60 años</t>
  </si>
  <si>
    <t>porporcion de  personas de 60 años y más con resgitro de aplicación de Fiebre amarilla</t>
  </si>
  <si>
    <r>
      <t xml:space="preserve">Total de población de </t>
    </r>
    <r>
      <rPr>
        <sz val="10"/>
        <color rgb="FFFF0000"/>
        <rFont val="Calibri Light"/>
        <family val="2"/>
        <scheme val="major"/>
      </rPr>
      <t>60 años y más</t>
    </r>
  </si>
  <si>
    <r>
      <t xml:space="preserve">Población denominador
Registró de Vacunación contra Fiebre amarilla
Edad a la fecha aplciacion </t>
    </r>
    <r>
      <rPr>
        <sz val="10"/>
        <color rgb="FFFF0000"/>
        <rFont val="Calibri Light"/>
        <family val="2"/>
        <scheme val="major"/>
      </rPr>
      <t>&gt;=60 años</t>
    </r>
  </si>
  <si>
    <r>
      <t>Población actual al mes a evaluar activos y nuevos</t>
    </r>
    <r>
      <rPr>
        <sz val="10"/>
        <color rgb="FFFF0000"/>
        <rFont val="Calibri Light"/>
        <family val="2"/>
        <scheme val="major"/>
      </rPr>
      <t xml:space="preserve">
60 años y más</t>
    </r>
  </si>
  <si>
    <t>Vacunacion general</t>
  </si>
  <si>
    <t>Cobertura vacunación Virus Sincitial Respiratorio ( VSR) en gestantes</t>
  </si>
  <si>
    <t xml:space="preserve">Proporción de mujeres gestantes de 28 semanas y hasta las 36 semanas quienes registran vacunacion esquema contra el  VSR </t>
  </si>
  <si>
    <t xml:space="preserve">Nuevo </t>
  </si>
  <si>
    <t xml:space="preserve">Total de mujeres Gestantes que tienen entre 28 a 36 semanas de gestación con reporte de dosis de VSR </t>
  </si>
  <si>
    <t xml:space="preserve">Total de mujeres Gestantes que tienen entre 28 y 36 semanas de gestación </t>
  </si>
  <si>
    <t>Gestantes entre semana 28 y 36 de gestación</t>
  </si>
  <si>
    <t>Población denominador
Esquema de vacunación una dosis de VSR</t>
  </si>
  <si>
    <t xml:space="preserve">Población al mes a evaluar activos y nuevos
Gestantes EG:28 semanas y 36 semanas </t>
  </si>
  <si>
    <t>MSPS incluyó a partir de noviembre 2025 la aplicación de vacuna contra VSR a todas las gestantes del país en el rango de edad entre las 28 semanas y 36 semanas de gestacion</t>
  </si>
  <si>
    <t>Luego del plan piloto el PAI define cobertura inicial del 60%. Por tanto queda meta del 60% por lineamiento VSR gestantes del MSPS</t>
  </si>
  <si>
    <t xml:space="preserve">Cohorte Vacunación Adultos
1. Calcular edad gestacional. Formula: =((280-(FPP-Fecha corte info))/7) (Edad gestacional Calculada: Fecha valida - fecha del último día del mes anterior al periodo evaluado para calcular la edad en semanas de gestación.)
2. Filtrar edad gestacional:  entre las 28 semanas y 36 semanas
3. Filtrar fecha de dosis de vacuna contra VSR </t>
  </si>
  <si>
    <t>Cohorte Vacunación Adultos
1. Calcular edad gestacional. Formula: =((280-(FPP-Fecha corte info))/7) (Edad gestacional Calculada: Fecha valida - fecha del último día del mes anterior al periodo evaluado para calcular la edad en semanas de gestación.)
2. Filtrar edad gestacional:  entre 28 semanas y 36 semanas</t>
  </si>
  <si>
    <t>Cobertura en aplicación de Fiebre Amarilla en niños de 09 meses - 11 meses 29 días (menores de 1 año)</t>
  </si>
  <si>
    <t>porporcion de  niños de 09 meses 11 meses 29 días (menores de 1 año)</t>
  </si>
  <si>
    <r>
      <t xml:space="preserve">Total de población de </t>
    </r>
    <r>
      <rPr>
        <sz val="10"/>
        <color rgb="FFFF0000"/>
        <rFont val="Calibri Light"/>
        <family val="2"/>
        <scheme val="major"/>
      </rPr>
      <t>09 meses - 11 meses 29 días (menores de 1 año)</t>
    </r>
  </si>
  <si>
    <r>
      <t xml:space="preserve">Población denominador
Poblacion que registra aplicación de vacuna
Registro de fecha valida de aplicación de fiebre amarilla 
</t>
    </r>
    <r>
      <rPr>
        <strike/>
        <sz val="10"/>
        <rFont val="Calibri Light"/>
        <family val="2"/>
        <scheme val="major"/>
      </rPr>
      <t>Edad a la aplicación entre 09 meses - 11 meses 29 días</t>
    </r>
    <r>
      <rPr>
        <sz val="10"/>
        <color rgb="FFFF0000"/>
        <rFont val="Calibri Light"/>
        <family val="2"/>
        <scheme val="major"/>
      </rPr>
      <t xml:space="preserve">
estado de afiliacion (Activo)</t>
    </r>
    <r>
      <rPr>
        <sz val="10"/>
        <rFont val="Calibri Light"/>
        <family val="2"/>
        <scheme val="major"/>
      </rPr>
      <t xml:space="preserve"> </t>
    </r>
  </si>
  <si>
    <r>
      <t>Población actual al mes a evaluar activos y nuevos</t>
    </r>
    <r>
      <rPr>
        <sz val="10"/>
        <color rgb="FFFF0000"/>
        <rFont val="Calibri Light"/>
        <family val="2"/>
        <scheme val="major"/>
      </rPr>
      <t xml:space="preserve">
09 meses - 11 meses 29 días</t>
    </r>
  </si>
  <si>
    <t xml:space="preserve">Vacunacion general </t>
  </si>
  <si>
    <t>Proporción de usuarios con actividades de Demanda Inducida del Programa de DT Cáncer colorrectal en el año</t>
  </si>
  <si>
    <t>Proporción de hombres y mujeres de 50 a 75 años que han recibido alguna acción de inducción de demanda, (SMS, llamada telefonica, mail, VPS), en el año</t>
  </si>
  <si>
    <t>Ultimo día del mes evaluado </t>
  </si>
  <si>
    <t>Población Hombres y mujeres entre 50 y 75 años, que han recibido alguna acción de inducción de demanda desde el programa DT Colorrectal, (SMS, llamada telefonica, mail, VPS)</t>
  </si>
  <si>
    <t>Población Hombres  y mujeres entre 50 y 75 años, dividido en 12 y multiplicado por mes a evaluar</t>
  </si>
  <si>
    <t>Población Hombres y mujeres entre 50 y 75 años, activos a la fecha de corte</t>
  </si>
  <si>
    <t>05/12/2025 Indicador Nuevo.</t>
  </si>
  <si>
    <t>RPYMS642X</t>
  </si>
  <si>
    <t>Personas no adherentes al tamizaje de tacto rectal</t>
  </si>
  <si>
    <t>Hombres de 50 a 75 años y hombres con grupo poblacional "Afro" de 40 a 49 que se niegan a realizar tacto rectal</t>
  </si>
  <si>
    <t>Usuarios del denominador que se niegan a la realizacion del tacto rectal.</t>
  </si>
  <si>
    <t>Total de hombres de 50 a 75 años y  exclusivamente Hombres "Afro" de 40 a 49 años, que no tienen fecha de tacto rectal en los ultimos 5 años o que no registran fecha válida de tamizaje (no lo tienen)</t>
  </si>
  <si>
    <t>1- Resolucion 202
Variable 64 Fecha tacto rectal
opción 1825-01-01</t>
  </si>
  <si>
    <t>Poblacion BDUA activa de hombre con edad y criterios para el tamizaje 
Y cruzar con cohorte DT Próstata para saber  los usuarios que no tienen tamizaje o esta fuera de la vigencia</t>
  </si>
  <si>
    <t>En los ultimos 5 años al corte del mes evaluado</t>
  </si>
  <si>
    <t>Población del denominador que tengan reporte de no realizacion de tacto rectal  por negativa del usuario.</t>
  </si>
  <si>
    <r>
      <t>Activos y nuevos:  hombres de 50 a 75 años</t>
    </r>
    <r>
      <rPr>
        <b/>
        <sz val="10"/>
        <rFont val="Calibri Light"/>
        <family val="2"/>
        <scheme val="major"/>
      </rPr>
      <t xml:space="preserve"> y  exclusivamente Hombres "Afro" de 40 a 49 años</t>
    </r>
  </si>
  <si>
    <t>Hombres de 40 a 49 años que NO tengan etnia afro.
Que tengan tamizaje vigente
Se Excluyen usuarios con diagnostico de cancer de próstata que esten cargados en fuentes adicionales denominada "Patologia_DD/MM/AAAA"</t>
  </si>
  <si>
    <t>Personas no adherentes  a la toma de colonoscopia</t>
  </si>
  <si>
    <t>Porcentaje de hombres y mujeres de 50 a 75 años que se niegan a realizar colonocopia</t>
  </si>
  <si>
    <t>Numero de hombres y mujeres de 50 a 75 años inmersos en el denominador que se niegan a la realizacion la colonoscopia.</t>
  </si>
  <si>
    <t xml:space="preserve">Total de hombres y mujeres de 50 a 75 años </t>
  </si>
  <si>
    <t>Variable 66
Opción 1825-01-01</t>
  </si>
  <si>
    <t xml:space="preserve">Poblacion BDUA activa de hombre y mujeres con edad para el tamizaje </t>
  </si>
  <si>
    <t>En los ultimos 2 años al corte del mes evaluado</t>
  </si>
  <si>
    <t>Hombres y mujeres de 50 a 75 añosque tengan reporte de no realizacion de colonoscopia por negativa del usuario.</t>
  </si>
  <si>
    <t>Porcentaje de cumplimiento de la UGF</t>
  </si>
  <si>
    <t>Usuarios que son afiliados por medio del proceso de UGF desde el Modelo de Gestión Extramural</t>
  </si>
  <si>
    <t>UGF</t>
  </si>
  <si>
    <t>Unificación de Grupos Familiares</t>
  </si>
  <si>
    <t>Dia 25 de cada mes</t>
  </si>
  <si>
    <t>Archivo de ejecución de presupuesto de UGF 2026 discriminado por Promotor Integral en salud.</t>
  </si>
  <si>
    <t>Base de datos de presupuesto de "UGF- unificación de grupo familiar" 2026 discriminado por Promotor Integral en Salud</t>
  </si>
  <si>
    <r>
      <rPr>
        <sz val="10"/>
        <color rgb="FF000000"/>
        <rFont val="Calibri Light"/>
        <family val="2"/>
        <scheme val="major"/>
      </rPr>
      <t xml:space="preserve">Numeradores del </t>
    </r>
    <r>
      <rPr>
        <sz val="10"/>
        <color rgb="FFFF0000"/>
        <rFont val="Calibri Light"/>
        <family val="2"/>
        <scheme val="major"/>
      </rPr>
      <t>último</t>
    </r>
    <r>
      <rPr>
        <sz val="10"/>
        <color rgb="FF000000"/>
        <rFont val="Calibri Light"/>
        <family val="2"/>
        <scheme val="major"/>
      </rPr>
      <t xml:space="preserve"> archivo cargado en Módulo Carga de Archivos &gt; MGE &gt; PIS &gt; Carga de Archivos UGF</t>
    </r>
  </si>
  <si>
    <r>
      <rPr>
        <sz val="10"/>
        <color rgb="FF000000"/>
        <rFont val="Calibri Light"/>
        <family val="2"/>
        <scheme val="major"/>
      </rPr>
      <t xml:space="preserve">Denominadores del </t>
    </r>
    <r>
      <rPr>
        <sz val="10"/>
        <color rgb="FFFF0000"/>
        <rFont val="Calibri Light"/>
        <family val="2"/>
        <scheme val="major"/>
      </rPr>
      <t>último</t>
    </r>
    <r>
      <rPr>
        <sz val="10"/>
        <color rgb="FF000000"/>
        <rFont val="Calibri Light"/>
        <family val="2"/>
        <scheme val="major"/>
      </rPr>
      <t xml:space="preserve"> archivo cargado en Módulo Carga de Archivos &gt; MGE &gt; PIS &gt; Carga de Archivos UGF</t>
    </r>
  </si>
  <si>
    <t>Población afiliada por el promotor</t>
  </si>
  <si>
    <t xml:space="preserve">Usuarios no afiliado en el período evaluar </t>
  </si>
  <si>
    <t>Afiliado a NEPS</t>
  </si>
  <si>
    <t>Es un indicador estadistico, solo se debe tomar los datos de las bases entregadas para construir numerador y denominador. Indicador acumulado mes</t>
  </si>
  <si>
    <t>Ultimos 12 meses</t>
  </si>
  <si>
    <t>Cumplimiento de actividades extramurales contratadas</t>
  </si>
  <si>
    <t>Actividades extramurales realizadas por la ESE o IPS en el marco del Programa Cuidàndote en Casa.</t>
  </si>
  <si>
    <t>Actividades extramurales</t>
  </si>
  <si>
    <t>Consultas y procedimientos</t>
  </si>
  <si>
    <t>Número de actividades ejecutadas a nivel extramural</t>
  </si>
  <si>
    <t>Numero de actividades contratadas a nivel extramural de acuerdo con nota tecnica</t>
  </si>
  <si>
    <t>1- Informe de productividad
2-  RIPS de GT
3- Resoluciòn 202</t>
  </si>
  <si>
    <t>CUPS definidos para extramural en las Notas Técnicas de ESEs e IPS con actividades extramurales contratadas</t>
  </si>
  <si>
    <t>Población con actividades realizadas a nivel extramural</t>
  </si>
  <si>
    <r>
      <t xml:space="preserve">1. Población actual al mes a evaluar activos y nuevos
2. </t>
    </r>
    <r>
      <rPr>
        <sz val="10"/>
        <color rgb="FFFF0000"/>
        <rFont val="Calibri Light"/>
        <family val="2"/>
        <scheme val="major"/>
      </rPr>
      <t>Población pendiente de actividades de la ruta.</t>
    </r>
  </si>
  <si>
    <t>Población que no corresponda a la misma IPS que tiene las actividades extramurales contratadas</t>
  </si>
  <si>
    <t>Informe de productividad
RIPS de GT</t>
  </si>
  <si>
    <t>Ver anexo</t>
  </si>
  <si>
    <t>15/12/2025: Iniciar medición en Enero 2026</t>
  </si>
  <si>
    <t>RPYMS646X</t>
  </si>
  <si>
    <t>Proporción de hombres con tamizaje combinado para cáncer de próstata (PSA y Tacto Rectal) en el año</t>
  </si>
  <si>
    <t>Hombres de 50 a 75 años y afros a partir de los 40 años años que registran reporte de Tamizaje de próstata combinado PSA y Tacto rectal en el año</t>
  </si>
  <si>
    <r>
      <t>Total de hombres  de 50 a 75 años y afros a partir de los 40 años años
afiliados a la aseguradora al mes evaluado, sin tamizaje de PSA y tacto rectal o la que la pierdan en el año vigente</t>
    </r>
    <r>
      <rPr>
        <strike/>
        <sz val="10"/>
        <color theme="1"/>
        <rFont val="Calibri Light"/>
        <family val="2"/>
        <scheme val="major"/>
      </rPr>
      <t xml:space="preserve">
</t>
    </r>
    <r>
      <rPr>
        <sz val="10"/>
        <color theme="1"/>
        <rFont val="Calibri Light"/>
        <family val="2"/>
        <scheme val="major"/>
      </rPr>
      <t>Dividido en 12 multiplicado por mes a evaluar</t>
    </r>
  </si>
  <si>
    <t>Que no tengan vigencian los tamizajes de PSA y tacto rectal o la que la pierdan en el año vigente</t>
  </si>
  <si>
    <t xml:space="preserve">Población del denominador con Registró PSA y tacto rectal en el año vigente
</t>
  </si>
  <si>
    <r>
      <t xml:space="preserve">Población al mes a evaluar activos y nuevos
Hombres entre 50 y 75 años
</t>
    </r>
    <r>
      <rPr>
        <b/>
        <sz val="10"/>
        <color theme="1"/>
        <rFont val="Calibri Light"/>
        <family val="2"/>
        <scheme val="major"/>
      </rPr>
      <t xml:space="preserve">y exclusivamente Hombres "Afro" de 40 a 49 años
</t>
    </r>
    <r>
      <rPr>
        <sz val="10"/>
        <color theme="1"/>
        <rFont val="Calibri Light"/>
        <family val="2"/>
        <scheme val="major"/>
      </rPr>
      <t xml:space="preserve">
</t>
    </r>
  </si>
  <si>
    <t>RPYMS488AX</t>
  </si>
  <si>
    <r>
      <rPr>
        <sz val="10"/>
        <color rgb="FF000000"/>
        <rFont val="Calibri Light"/>
        <family val="2"/>
        <scheme val="major"/>
      </rPr>
      <t xml:space="preserve">Proporción de mujeres entre 25 y </t>
    </r>
    <r>
      <rPr>
        <b/>
        <sz val="10"/>
        <color rgb="FFFF0000"/>
        <rFont val="Calibri Light"/>
        <family val="2"/>
        <scheme val="major"/>
      </rPr>
      <t>29</t>
    </r>
    <r>
      <rPr>
        <sz val="10"/>
        <color rgb="FF000000"/>
        <rFont val="Calibri Light"/>
        <family val="2"/>
        <scheme val="major"/>
      </rPr>
      <t xml:space="preserve"> años con resultado de citología ASC-US, con toma de prueba de ADN VPH posterior</t>
    </r>
  </si>
  <si>
    <r>
      <rPr>
        <sz val="10"/>
        <color rgb="FFFF0000"/>
        <rFont val="Calibri Light"/>
        <family val="2"/>
        <scheme val="major"/>
      </rPr>
      <t xml:space="preserve">24 </t>
    </r>
    <r>
      <rPr>
        <sz val="10"/>
        <color rgb="FF000000"/>
        <rFont val="Calibri Light"/>
        <family val="2"/>
        <scheme val="major"/>
      </rPr>
      <t xml:space="preserve">meses atrás </t>
    </r>
    <r>
      <rPr>
        <sz val="10"/>
        <color rgb="FFFF0000"/>
        <rFont val="Calibri Light"/>
        <family val="2"/>
        <scheme val="major"/>
      </rPr>
      <t>sin</t>
    </r>
    <r>
      <rPr>
        <sz val="10"/>
        <color rgb="FF000000"/>
        <rFont val="Calibri Light"/>
        <family val="2"/>
        <scheme val="major"/>
      </rPr>
      <t xml:space="preserve"> i</t>
    </r>
    <r>
      <rPr>
        <sz val="10"/>
        <color rgb="FFFF0000"/>
        <rFont val="Calibri Light"/>
        <family val="2"/>
        <scheme val="major"/>
      </rPr>
      <t>ncluir el mes a evaluar</t>
    </r>
  </si>
  <si>
    <r>
      <rPr>
        <sz val="10"/>
        <color rgb="FF000000"/>
        <rFont val="Calibri Light"/>
        <family val="2"/>
        <scheme val="major"/>
      </rPr>
      <t xml:space="preserve">Mujeres de 25 a 29 años activas BDUA, con resultado de citologia ASCUS.
 </t>
    </r>
    <r>
      <rPr>
        <sz val="10"/>
        <color rgb="FFFF0000"/>
        <rFont val="Calibri Light"/>
        <family val="2"/>
        <scheme val="major"/>
      </rPr>
      <t xml:space="preserve">24 </t>
    </r>
    <r>
      <rPr>
        <sz val="10"/>
        <color rgb="FF000000"/>
        <rFont val="Calibri Light"/>
        <family val="2"/>
        <scheme val="major"/>
      </rPr>
      <t xml:space="preserve">meses atrás </t>
    </r>
    <r>
      <rPr>
        <sz val="10"/>
        <color rgb="FFFF0000"/>
        <rFont val="Calibri Light"/>
        <family val="2"/>
        <scheme val="major"/>
      </rPr>
      <t>sin incluir el peridodo a evaluar</t>
    </r>
  </si>
  <si>
    <t>22/01/2026 Indicador nuevo hijo del 488X</t>
  </si>
  <si>
    <t>CODIGO CUPS</t>
  </si>
  <si>
    <t>NOMBRE CUPS</t>
  </si>
  <si>
    <t>EVALUAR EN EAES*-Estrategia de actividades extramurales en salud</t>
  </si>
  <si>
    <t>890201</t>
  </si>
  <si>
    <t>CONSULTA DE PRIMERA VEZ POR MEDICINA GENERAL (5313)</t>
  </si>
  <si>
    <t>Según nota técnica IPS se aplica al valor adicional definido para el extramural</t>
  </si>
  <si>
    <t>890301</t>
  </si>
  <si>
    <t>CONSULTA DE CONTROL O DE SEGUIMIENTO POR MEDICINA GENERAL +(5410)</t>
  </si>
  <si>
    <t>890206</t>
  </si>
  <si>
    <t>CONSULTA DE PRIMERA VEZ POR NUTRICION Y DIETETICA (5319)</t>
  </si>
  <si>
    <t>890208</t>
  </si>
  <si>
    <t>CONSULTA DE PRIMERA VEZ POR PSICOLOGIA (5321)</t>
  </si>
  <si>
    <t>890306</t>
  </si>
  <si>
    <t>CONSULTA DE CONTROL O DE SEGUIMIENTO POR NUTRICION Y DIETETICA +(5415)</t>
  </si>
  <si>
    <t>890308</t>
  </si>
  <si>
    <t>CONSULTA DE CONTROL O DE SEGUIMIENTO POR PSICOLOGIA +(5417)</t>
  </si>
  <si>
    <t>950601</t>
  </si>
  <si>
    <t>MEDICION DE AGUDEZA VISUAL (10034)</t>
  </si>
  <si>
    <t>902211</t>
  </si>
  <si>
    <t>HEMATOCRITO +(5855)</t>
  </si>
  <si>
    <t>902213</t>
  </si>
  <si>
    <t>HEMOGLOBINA +(5857)</t>
  </si>
  <si>
    <t>903815</t>
  </si>
  <si>
    <t>COLESTEROL DE ALTA DENSIDAD [HDL](6037)</t>
  </si>
  <si>
    <t>903816</t>
  </si>
  <si>
    <t>COLESTEROL DE BAJA DENSIDAD SEMIAUTOMATIZADO (6038)</t>
  </si>
  <si>
    <t>903817</t>
  </si>
  <si>
    <t>COLESTEROL DE BAJA DENSIDAD [LDL] AUTOMATIZADO (6039)</t>
  </si>
  <si>
    <t>903818</t>
  </si>
  <si>
    <t>COLESTEROL TOTAL (6040)</t>
  </si>
  <si>
    <t>903841</t>
  </si>
  <si>
    <t>GLUCOSA EN SUERO. LCR U OTRO FLUIDO DIFERENTE A ORINA (6064)</t>
  </si>
  <si>
    <t>903868</t>
  </si>
  <si>
    <t>TRIGLICERIDOS +(6091)</t>
  </si>
  <si>
    <t>903895</t>
  </si>
  <si>
    <t>CREATININA EN SUERO U OTROS FLUIDOS (33474)</t>
  </si>
  <si>
    <t>904508</t>
  </si>
  <si>
    <t>GONADOTROPINA CORIONICA. SUBUNIDAD BETA CUALITATIVA. [BHCG] PRUEBA DE EMBARAZO EN ORINA O SUERO +(6125)</t>
  </si>
  <si>
    <t>906039</t>
  </si>
  <si>
    <t>TREPONEMA PALLIDUM ANTICUERPOS (PRUEBA TREPONEMICA) MANUAL O SEMIAUTOMATIZADA O AUTOMATIZADA (6354)</t>
  </si>
  <si>
    <t>906249</t>
  </si>
  <si>
    <t>VIRUS DE INMUNODEFICIENCIA HUMANA 1 Y 2 ANTICUERPOS (6432)</t>
  </si>
  <si>
    <t>906262</t>
  </si>
  <si>
    <t>HEPATITIS B ANTICUERPOS S [ANTI-HBS] MANUAL</t>
  </si>
  <si>
    <t>TOPICACION DE FLUOR EN BARNIZ (30198)</t>
  </si>
  <si>
    <t>890205</t>
  </si>
  <si>
    <t>CONSULTA DE PRIMERA VEZ POR ENFERMERIA (5318)</t>
  </si>
  <si>
    <t>890305</t>
  </si>
  <si>
    <t>CONSULTA DE CONTROL O DE SEGUIMIENTO POR ENFERMERIA +(5414)</t>
  </si>
  <si>
    <t>990101</t>
  </si>
  <si>
    <t>EDUCACION GRUPAL EN SALUD. POR MEDICINA GENERAL (10991)</t>
  </si>
  <si>
    <t>990104</t>
  </si>
  <si>
    <t>EDUCACION GRUPAL EN SALUD. POR ENFERMERIA (10995)</t>
  </si>
  <si>
    <t>990105</t>
  </si>
  <si>
    <t>EDUCACION GRUPAL EN SALUD. POR NUTRICION Y DIETETICA (10996)</t>
  </si>
  <si>
    <t>990106</t>
  </si>
  <si>
    <t>EDUCACION GRUPAL EN SALUD. POR PSICOLOGIA (10997)</t>
  </si>
  <si>
    <t>990107</t>
  </si>
  <si>
    <t>EDUCACION GRUPAL EN SALUD. POR TRABAJO SOCIAL (10998)</t>
  </si>
  <si>
    <t>990108</t>
  </si>
  <si>
    <t>EDUCACION GRUPAL EN SALUD, POR FISIOTERAPIA (11000)</t>
  </si>
  <si>
    <t>990111</t>
  </si>
  <si>
    <t>EDUCACION GRUPAL EN SALUD, POR AGENTE EDUCATIVO (11004)</t>
  </si>
  <si>
    <t>990112</t>
  </si>
  <si>
    <t>EDUCACION GRUPAL EN SALUD. POR HIGIENE ORA L(11005)</t>
  </si>
  <si>
    <t>990201</t>
  </si>
  <si>
    <t>EDUCACION INDIVIDUAL EN SALUD, POR MEDICINA GENERAL (11123)</t>
  </si>
  <si>
    <t>990204</t>
  </si>
  <si>
    <t>EDUCACION INDIVIDUAL EN SALUD, POR ENFERMERIA (11129)</t>
  </si>
  <si>
    <t>990205</t>
  </si>
  <si>
    <t>EDUCACION INDIVIDUAL EN SALUD, POR NUTRICION Y DIETETICA (11131)</t>
  </si>
  <si>
    <t>990206</t>
  </si>
  <si>
    <t>EDUCACION INDIVIDUAL EN SALUD, POR PSICOLOGIA (11133)</t>
  </si>
  <si>
    <t>990207</t>
  </si>
  <si>
    <t>EDUCACION INDIVIDUAL EN SALUD, POR TRABAJO SOCIAL (11135)</t>
  </si>
  <si>
    <t>990208</t>
  </si>
  <si>
    <t>EDUCACION INDIVIDUAL EN SALUD, POR FISIOTERAPIA (11137)</t>
  </si>
  <si>
    <t>990211</t>
  </si>
  <si>
    <t>EDUCACION INDIVIDUAL EN SALUD. POR AGENTE EDUCATIVO (11142)</t>
  </si>
  <si>
    <t>990212</t>
  </si>
  <si>
    <t>EDUCACION INDIVIDUAL EN SALUD. POR HIGIENE ORAL (11143)</t>
  </si>
  <si>
    <t>993102</t>
  </si>
  <si>
    <t>VACUNACION CONTRA TUBERCULOSIS (BCG)(11176)</t>
  </si>
  <si>
    <t>993103</t>
  </si>
  <si>
    <t>VACUNACION CONTRA MENINGOCOCO (AC O BC) (24869)</t>
  </si>
  <si>
    <t>993104</t>
  </si>
  <si>
    <t>VACUNACION CONTRA HAEMOPHILUS INFLUENZA TIPO B +(11179)</t>
  </si>
  <si>
    <t>993106</t>
  </si>
  <si>
    <t>VACUNACION CONTRA NEUMOCOCO (11182)</t>
  </si>
  <si>
    <t>993120</t>
  </si>
  <si>
    <t>VACUNACION COMBINADA CONTRA TETANOS Y DIFTERIA (TD) +(11185)</t>
  </si>
  <si>
    <t>993121</t>
  </si>
  <si>
    <t>VACUNACION COMBINADA CONTRA FIEBRE TIFOIDEA Y PARATIFOIDEA [TAB] (30044)</t>
  </si>
  <si>
    <t>993122</t>
  </si>
  <si>
    <t>VACUNACION COMBINADA CONTRA DIFTERIA.TETANOS Y TOS FERINA (DPT) (11186)</t>
  </si>
  <si>
    <t>993123</t>
  </si>
  <si>
    <t>VACUNACION COMBINADA CONTRA HAEMOPHILUS INFLUENZA TIPO B, DIFTERIA, TETANOS Y TOS FERINA (TETRAVALENTE) (30045)</t>
  </si>
  <si>
    <t>993124</t>
  </si>
  <si>
    <t>VACUNACION COMBINADA CONTRA DIFTERIA, TETANOS, TOS FERINA Y HEPATITIS B (TETRAVALENTE)(30046)</t>
  </si>
  <si>
    <t>993125</t>
  </si>
  <si>
    <t>VACUNACION COMBINADA CONTRA DIFTERIA, TETANOS, TOS FERINA Y POLIOMELITIS (IVP)(29990)</t>
  </si>
  <si>
    <t>993130</t>
  </si>
  <si>
    <t>VACUNACION COMBINADA CONTRA HAEMOPHILUS INFLUENZA TIPO B, DIFTERIA, TETANOS, TOS FERINA Y HEPATITIS B (PENTAVALENTE)(30047)</t>
  </si>
  <si>
    <t>993131</t>
  </si>
  <si>
    <t>VACUNACION COMBINADA CONTRA HAEMOPHILUS INFLUENZA TIPO B. DIFTERIA. TETANOS. TOS FERINA Y POLIOMELITIS IVP (PENTAVALENTE) +(24870)</t>
  </si>
  <si>
    <t>993501</t>
  </si>
  <si>
    <t>VACUNACION CONTRA POLIOMIELITIS (VOP O IVP) (11188)</t>
  </si>
  <si>
    <t>993502</t>
  </si>
  <si>
    <t>VACUNACION CONTRA HEPATITIS A(11190)</t>
  </si>
  <si>
    <t>993503</t>
  </si>
  <si>
    <t>VACUNACION CONTRA HEPATITIS B (11191)</t>
  </si>
  <si>
    <t>993504</t>
  </si>
  <si>
    <t>VACUNACION CONTRA FIEBRE AMARILLA (11192)</t>
  </si>
  <si>
    <t>993505</t>
  </si>
  <si>
    <t>VACUNACION CONTRA RABIA (11193)</t>
  </si>
  <si>
    <t>993506</t>
  </si>
  <si>
    <t>VACUNACION CONTRA SARAMPION (11195)</t>
  </si>
  <si>
    <t>993507</t>
  </si>
  <si>
    <t>VACUNACION CONTRA PAROTIDITIS (11197)</t>
  </si>
  <si>
    <t>993508</t>
  </si>
  <si>
    <t>VACUNACION CONTRA RUBEOLA (11199)</t>
  </si>
  <si>
    <t>993509</t>
  </si>
  <si>
    <t>VACUNACION CONTRA VARICELA (11201)</t>
  </si>
  <si>
    <t>993510</t>
  </si>
  <si>
    <t>VACUNACION CONTRA INFLUENZA (11203)</t>
  </si>
  <si>
    <t>993512</t>
  </si>
  <si>
    <t>VACUNACION CONTRA ROTAVIRUS(11205)</t>
  </si>
  <si>
    <t>993513</t>
  </si>
  <si>
    <t>VACUNACION CONTRA VIRUS PAPILOMA HUMANO [VPH](42115)</t>
  </si>
  <si>
    <t>993520</t>
  </si>
  <si>
    <t>VACUNACION COMBINADA CONTRA SARAMPION Y RUBEOLA (SR) (DOBLE VIRAL) +(26489)</t>
  </si>
  <si>
    <t>993521</t>
  </si>
  <si>
    <t>VACUNACION COMBINADA CONTRA HEPATITIS A Y HEPATITIS B(29991)</t>
  </si>
  <si>
    <t>993522</t>
  </si>
  <si>
    <t>VACUNACION COMBINADA CONTRA SARAMPION. PAROTIDITIS Y RUBEOLA (SRP) (TRIPLE VIRAL) +(11206)</t>
  </si>
  <si>
    <t>995201</t>
  </si>
  <si>
    <t>OTRA VACUNACIËN DEL PROGRAMA AMPLIADO DE INMUNIZACIONES(43099)</t>
  </si>
  <si>
    <t>995202</t>
  </si>
  <si>
    <t>ADMINISTRACION VACUNA SARS COV 2 COVID 19(59322)</t>
  </si>
  <si>
    <t>997002</t>
  </si>
  <si>
    <t>CONTROL DE PLACA DENTAL(69727)</t>
  </si>
  <si>
    <t>997103</t>
  </si>
  <si>
    <t>TOPICACION DE FLUOR EN GEL(11225)</t>
  </si>
  <si>
    <t>997104</t>
  </si>
  <si>
    <t>TOPICACION DE FLUOR EN SOLUCION (11226)</t>
  </si>
  <si>
    <t>903026</t>
  </si>
  <si>
    <t>MICROALBUMINURIA AUTOMATIZADA EN ORINA PARCIAL (5901)</t>
  </si>
  <si>
    <t>903028</t>
  </si>
  <si>
    <t>MICROALBUMINURIA SEMIAUTOMATIZADA</t>
  </si>
  <si>
    <t>903426</t>
  </si>
  <si>
    <t>HEMOGLOBINA GLICOSILADA AUTOMATIZADA (5979)</t>
  </si>
  <si>
    <t>903801</t>
  </si>
  <si>
    <t>ACIDO URICO EN SUERO U OTROS FLUIDOS (6020)</t>
  </si>
  <si>
    <t>903803</t>
  </si>
  <si>
    <t>ALBUMINA EN SUERO U OTROS FLUIDOS (6022)</t>
  </si>
  <si>
    <t>903856</t>
  </si>
  <si>
    <t>NITROGENO UREICO [BUN] *+(6079)</t>
  </si>
  <si>
    <t>903859</t>
  </si>
  <si>
    <t>POTASIO EN SUERO U OTROS FLUIDOS (6082)</t>
  </si>
  <si>
    <t>903864</t>
  </si>
  <si>
    <t>SODIO EN SUERO U OTROS FLUIDOS (6087)</t>
  </si>
  <si>
    <t>903866</t>
  </si>
  <si>
    <t>TRANSAMINASA GLUTAMICOPIRUVICA O ALANINO AMINOTRANSFERASA [TGP-ALT] *+</t>
  </si>
  <si>
    <t>903883</t>
  </si>
  <si>
    <t>GLUCOSA SEMIAUTOMATIZADA [GLUCOMETRIA] (30051)</t>
  </si>
  <si>
    <t>904902</t>
  </si>
  <si>
    <t>HORMONA ESTIMULANTE DEL TIROIDES [TSH]</t>
  </si>
  <si>
    <t>904921</t>
  </si>
  <si>
    <t>TIROXINA LIBRE</t>
  </si>
  <si>
    <t>904922</t>
  </si>
  <si>
    <t>TIROXINA TOTAL</t>
  </si>
  <si>
    <t>906220</t>
  </si>
  <si>
    <t>HEPATITIS B ANTICUERPOS CENTRAL IG M [ANTI-CORE HBC-M] SEMIAUTOMATIZADO O AUTOMATIZADO (6408)</t>
  </si>
  <si>
    <t>890209</t>
  </si>
  <si>
    <t>CONSULTA DE PRIMERA VEZ POR TRABAJO SOCIAL(5322)</t>
  </si>
  <si>
    <t>901111</t>
  </si>
  <si>
    <t>BACILOSCOPIA COLORACION ACIDO ALCOHOL-RESISTENTE [ZIEHL-NEELSEN](5683)</t>
  </si>
  <si>
    <t>902208</t>
  </si>
  <si>
    <t>HEMOGRAMA II (HEMOGLOBINA HEMATOCRITO RECUENTO DE ERITROCITOS INDICES ERITROCITARIOS LEUCOGRAMA RECUENTO DE PLAQUETAS E INDICES PLAQUETARIOS) SEMIAUTOMATIZADO(5852)</t>
  </si>
  <si>
    <t>906610</t>
  </si>
  <si>
    <t>ANTIGENO ESPECIFICO DE PROSTATA SEMIAUTOMATIZADO O AUTOMATIZADO(6552)</t>
  </si>
  <si>
    <t>907009</t>
  </si>
  <si>
    <t>SANGRE OCULTA EN MATERIA FECAL (DETERMINACION DE HEMOGLOBINA HUMANA ESPECIFICA)(6661)</t>
  </si>
  <si>
    <t>907106</t>
  </si>
  <si>
    <t>UROANALISIS(6671)</t>
  </si>
  <si>
    <t>890309</t>
  </si>
  <si>
    <t>CONSULTA DE CONTROL O DE SEGUIMIENTO POR TRABAJO SOCIAL</t>
  </si>
  <si>
    <t>901101</t>
  </si>
  <si>
    <t>BACILOSCOPIA COLORACION ACIDO ALCOHOL-RESISTENTE [ZIEHL-NEELSEN]</t>
  </si>
  <si>
    <t>906208</t>
  </si>
  <si>
    <t>DENGUE. ANTICUERPOS IG M +</t>
  </si>
  <si>
    <t>906611</t>
  </si>
  <si>
    <t>ANTIGENO ESPECIFICO DE PROSTATA FRACCION LIBRE SEMIAUTOMATIZADO O AUTOMATIZADO</t>
  </si>
  <si>
    <t>890211</t>
  </si>
  <si>
    <t>CONSULTA DE PRIMERA VEZ POR FISIOTERAPIA</t>
  </si>
  <si>
    <t>890311</t>
  </si>
  <si>
    <t>CONSULTA DE CONTROL O DE SEGUIMIENTO POR FISIOTERAPIA</t>
  </si>
  <si>
    <t>IPS</t>
  </si>
  <si>
    <t>Cobertura de niñas y niños con atención por medicina general o especializada en pediatría o medicina familiar de acuerdo al esquema definido para el menor de un año</t>
  </si>
  <si>
    <t>Proporción de niños menores de 1 año que cumplen con la valoración integral por medicina general, familiar o pediatría según el esquema definido</t>
  </si>
  <si>
    <t>Cobertura de niñas y niños con atención en salud por medicina general o especializada en pediatría o medicina familiar de acuerdo al esquema definido para la edad de 1 a 5 años</t>
  </si>
  <si>
    <t>Cobertura de niñas y niños con atención en salud por profesional de enfermería de acuerdo al esquema definido para el menor de un año</t>
  </si>
  <si>
    <t>Proporción de niños menores de 1 año que cumplen con la valoración integral por enfermería según el esquema definido</t>
  </si>
  <si>
    <t>Cobertura de niñas y niños con atención en salud por profesional de enfermería de acuerdo al esquema definido para la edad de 1 a 5 años</t>
  </si>
  <si>
    <t>Cumplimiento en la atención en salud por profesional de medicina general, familiar o pediatria de primera infancia en el año</t>
  </si>
  <si>
    <t>Cumplimiento en la atención en salud por profesional de enfermería de primera infancia en el año</t>
  </si>
  <si>
    <r>
      <t xml:space="preserve">Población al mes a evaluar activos y nuevos </t>
    </r>
    <r>
      <rPr>
        <strike/>
        <sz val="10"/>
        <rFont val="Calibri Light"/>
        <family val="2"/>
        <scheme val="major"/>
      </rPr>
      <t xml:space="preserve">
</t>
    </r>
    <r>
      <rPr>
        <sz val="10"/>
        <rFont val="Calibri Light"/>
        <family val="2"/>
        <scheme val="major"/>
      </rPr>
      <t>8 a 12 años</t>
    </r>
  </si>
  <si>
    <t>Niños de 6 a 11 años que cumplen con la realización de la consulta de valoración integral por medicina general, familiar, pediatría o enfermería en el año</t>
  </si>
  <si>
    <t>Proporción de niños de 6 a 11 años que cumplen con la valoración integral por medicina general, medicina Familiar o Pediatría en el año</t>
  </si>
  <si>
    <t>Proporción de niños de 6 a 11 años que cumplen con la valoración integral por enfermería en el año</t>
  </si>
  <si>
    <t>porporcion de  niños de 12 a 23 meses con aplicación de Fiebre amarilla durante el año vigente</t>
  </si>
  <si>
    <t>Cobertura de desparasitación antihelmíntica en niños de 1 a 5 años</t>
  </si>
  <si>
    <t>Proporción de menores de 1 a 5 años que registran suministro desparasitante</t>
  </si>
  <si>
    <t>Cobertura de desparasitación antihelmíntica en niños de 6 a 14 años</t>
  </si>
  <si>
    <t>Población denominador
1 entrega de desparasitación antihelmíntica,
en el ultimo año</t>
  </si>
  <si>
    <r>
      <t xml:space="preserve">Variable:
Población actual al mes a evaluar activos y nuevos
</t>
    </r>
    <r>
      <rPr>
        <strike/>
        <sz val="10"/>
        <rFont val="Calibri Light"/>
        <family val="2"/>
        <scheme val="major"/>
      </rPr>
      <t>(Mas de 3 meses afiliados a la aseguradora al mes evaluado)</t>
    </r>
    <r>
      <rPr>
        <sz val="10"/>
        <rFont val="Calibri Light"/>
        <family val="2"/>
        <scheme val="major"/>
      </rPr>
      <t xml:space="preserve">
18 años y más</t>
    </r>
  </si>
  <si>
    <r>
      <t xml:space="preserve">Variable:
Población actual al mes a evaluar activos y nuevos
</t>
    </r>
    <r>
      <rPr>
        <strike/>
        <sz val="10"/>
        <rFont val="Calibri Light"/>
        <family val="2"/>
        <scheme val="major"/>
      </rPr>
      <t>(Mas de 3 meses afiliados a la aseguradora al mes evaluado)</t>
    </r>
    <r>
      <rPr>
        <sz val="10"/>
        <rFont val="Calibri Light"/>
        <family val="2"/>
        <scheme val="major"/>
      </rPr>
      <t xml:space="preserve">
18 a 28 años</t>
    </r>
  </si>
  <si>
    <r>
      <t xml:space="preserve">Variable:
Población actual al mes a evaluar activos y nuevos
</t>
    </r>
    <r>
      <rPr>
        <strike/>
        <sz val="10"/>
        <rFont val="Calibri Light"/>
        <family val="2"/>
        <scheme val="major"/>
      </rPr>
      <t xml:space="preserve">(Mas de 3 meses afiliados a la aseguradora al mes evaluado)
</t>
    </r>
    <r>
      <rPr>
        <sz val="10"/>
        <rFont val="Calibri Light"/>
        <family val="2"/>
        <scheme val="major"/>
      </rPr>
      <t>29 a 59 años</t>
    </r>
  </si>
  <si>
    <r>
      <t xml:space="preserve">Variable:
Población actual al mes a evaluar activos y nuevos
</t>
    </r>
    <r>
      <rPr>
        <strike/>
        <sz val="10"/>
        <rFont val="Calibri Light"/>
        <family val="2"/>
        <scheme val="major"/>
      </rPr>
      <t>(Mas de 3 meses afiliados a la aseguradora al mes evaluado)</t>
    </r>
    <r>
      <rPr>
        <sz val="10"/>
        <rFont val="Calibri Light"/>
        <family val="2"/>
        <scheme val="major"/>
      </rPr>
      <t xml:space="preserve">
60 años y más</t>
    </r>
  </si>
  <si>
    <r>
      <t xml:space="preserve">1- RIPS: CUPS: 
997102 (Aplicación de sellantes de fotocurado); 
997101 (Aplicación de sellantes de autocurado) 
y 
</t>
    </r>
    <r>
      <rPr>
        <b/>
        <sz val="10"/>
        <rFont val="Calibri Light"/>
        <family val="2"/>
        <scheme val="major"/>
      </rPr>
      <t>997107</t>
    </r>
    <r>
      <rPr>
        <sz val="10"/>
        <rFont val="Calibri Light"/>
        <family val="2"/>
        <scheme val="major"/>
      </rPr>
      <t xml:space="preserve"> Aplicación de sellantes</t>
    </r>
  </si>
  <si>
    <r>
      <t xml:space="preserve">1- RIPS: CUPS </t>
    </r>
    <r>
      <rPr>
        <b/>
        <sz val="10"/>
        <rFont val="Calibri Light"/>
        <family val="2"/>
        <scheme val="major"/>
      </rPr>
      <t>997301</t>
    </r>
    <r>
      <rPr>
        <sz val="10"/>
        <rFont val="Calibri Light"/>
        <family val="2"/>
        <scheme val="major"/>
      </rPr>
      <t xml:space="preserve"> (Detartraje supragingival)</t>
    </r>
  </si>
  <si>
    <t>Proporción de mujeres con uso de un método anticonceptivo</t>
  </si>
  <si>
    <r>
      <t xml:space="preserve">Población al mes a evaluar activos y nuevos
Mujeres de 12 a 17 años
</t>
    </r>
    <r>
      <rPr>
        <strike/>
        <sz val="10"/>
        <rFont val="Calibri Light"/>
        <family val="2"/>
        <scheme val="major"/>
      </rPr>
      <t xml:space="preserve">
</t>
    </r>
    <r>
      <rPr>
        <sz val="10"/>
        <rFont val="Calibri Light"/>
        <family val="2"/>
        <scheme val="major"/>
      </rPr>
      <t>Dividido en 12 y multiplicado por mes a evaluar</t>
    </r>
  </si>
  <si>
    <t>Proporción de mujeres adolescentes con uso de un método anticonceptivo</t>
  </si>
  <si>
    <r>
      <rPr>
        <sz val="10"/>
        <rFont val="Calibri Light"/>
        <family val="2"/>
        <scheme val="major"/>
      </rPr>
      <t>Base de patologias que se carga a Procex: Diabetes, Cáncer, Enfermedad renal crónica, VIH, Artritis, HTA, EPOC, Hemofilia;Obesidad, lupus, enfermedad Tiroidea, epilepsia, enf cardiovascular</t>
    </r>
    <r>
      <rPr>
        <strike/>
        <sz val="10"/>
        <rFont val="Calibri Light"/>
        <family val="2"/>
        <scheme val="major"/>
      </rPr>
      <t xml:space="preserve">
</t>
    </r>
  </si>
  <si>
    <r>
      <t>1- RIPS: CIE 10:  (Consultar hoja de eventos obstétricos o leer este listado)</t>
    </r>
    <r>
      <rPr>
        <strike/>
        <sz val="10"/>
        <rFont val="Calibri Light"/>
        <family val="2"/>
        <scheme val="major"/>
      </rPr>
      <t xml:space="preserve">
</t>
    </r>
    <r>
      <rPr>
        <sz val="10"/>
        <rFont val="Calibri Light"/>
        <family val="2"/>
        <scheme val="major"/>
      </rPr>
      <t>O021, O028, O029, O030, O031, O032, O033, O034, O035, O036, O037, O038, O039, O040, O041, O042, O043, O044, O045, O046, O047, O048, O049, O050, O051, O052, O053, O054, O055, O056, O057, O058, O059, O060, O061, O062, O063, O064, O065, O066, O067, O068, O069, O479, O60X, O800, O801, O808, O809, O810, O811, O812, O813, O814, O815, O820, O821, O822, O828, O829, O831, O832, O833, O838, O839, O840, O841, O842, O848, O849.
2- Cohorte Evento Obstétrico o IVE</t>
    </r>
  </si>
  <si>
    <t>Hepatitis C</t>
  </si>
  <si>
    <t>Sífilis</t>
  </si>
  <si>
    <t>Proporción de mujeres con citología anormal a quienes se realizó colposcopia</t>
  </si>
  <si>
    <t>Proporción de hombres entre 50 y 75 años tamizados con PSA</t>
  </si>
  <si>
    <t>Proporción de hombres de 50 a 75 años que registran Tamizaje de próstata PSA según esquema (Últimos 5 años)</t>
  </si>
  <si>
    <t>Cumplimiento de tamizajes realizados con PSA en el año</t>
  </si>
  <si>
    <t>Hombres de 50 a 75 años que registran Tamizaje de próstata PSA en el año</t>
  </si>
  <si>
    <t>Población al mes a evaluar activos y nuevos
Hombres entre 50 y 75 años
Dividido en 12 multiplicado por mes a evaluar</t>
  </si>
  <si>
    <r>
      <t>Proporción de hombres con tacto rectal alterado y</t>
    </r>
    <r>
      <rPr>
        <strike/>
        <sz val="10"/>
        <rFont val="Calibri Light"/>
        <family val="2"/>
        <scheme val="major"/>
      </rPr>
      <t>/o</t>
    </r>
    <r>
      <rPr>
        <sz val="10"/>
        <rFont val="Calibri Light"/>
        <family val="2"/>
        <scheme val="major"/>
      </rPr>
      <t xml:space="preserve"> PSA alterado, que recibieron manejo medico</t>
    </r>
  </si>
  <si>
    <t>Proporción de hombres de 50 a 75 años con pruebas de tamizaje anormal a quienes se les dio manejo medico</t>
  </si>
  <si>
    <t>Afiliados activos
Hombres de 50 a 75 años con pruebas de tamizaje anormal</t>
  </si>
  <si>
    <t>CIE 10: J13</t>
  </si>
  <si>
    <t>IPS primaria</t>
  </si>
  <si>
    <t>Numero de personas afiliadas que han sido notificadas en SIVIGILA:
Fecha Consulta "fec_Con_": Año vigente
Evento: 356
"Ajuste_" Excepto: 6 o D o R</t>
  </si>
  <si>
    <t>Población notificada con evento 875 - Cohorte Violencia sexual
Población identificada desde el proceso de VBC
Identificación de casos a traves de CIE10: T742; Y051; Y052; Y053; Y054; Y055; Y056; Y057; Y058; Y059; Z044
Estado activo y suspendido</t>
  </si>
  <si>
    <t>Población notificada con evento 875 - Cohorte Violencia No sexual
Población identificada desde el proceso de VBC
Estado activo y suspendido</t>
  </si>
  <si>
    <t>Población notificada con evento 356 - Cohorte intento de suicidio
Población identificada desde el proceso de VBC
Estado activo y suspendido</t>
  </si>
  <si>
    <t xml:space="preserve">Población notificada con evento 365 - Cohorte intoxicaciones por SPA
"Ajuste_" Excepto: 6 o D o R
"grupo_sust": opción 8
"tipo_exp": 9 y 10
Población identificada desde el proceso de VBC
Estado activo y suspendido
</t>
  </si>
  <si>
    <t>Oportunidad &lt; = 2 días en el suministro de la FTLC a menores de cinco años con Desnutrición Aguda</t>
  </si>
  <si>
    <t>Promedio de días de entrega de la FTLC a niños de 6 a 59 meses con desnutrición aguda moderada o severa en manejo ambulatorio</t>
  </si>
  <si>
    <t>1- FECHA DE VPS: En los ultimos 12 meses y de estas tomar los 11 primeros meses
2- AGUDEZA VISUAL ALTERADA:
R202
Variable 62: Fecha de valoración de agudeza visual
Variable 27: Agudeza visual lejana ojo izquierdo: Resultado 5, 6, 7, 8 o 9
Variable 28: Agudeza visual lejana ojo derecho: Resultado 5, 6, 7, 8 o 9</t>
  </si>
  <si>
    <t>1- Población general de 3 años o más actual - activa sin importar regimen, que registran VPS</t>
  </si>
  <si>
    <t>Afiliadas residentes en territorios con MGE de 25 a 65 años que despues de la VPS registran tamizaje para detección temprana de cancer de cuello uterino, (CCU, ADN-VPH, VIA VILLI)</t>
  </si>
  <si>
    <t xml:space="preserve">1- Formato Visitas, variables: "Tipo de visita" opción (cualquier tipo de visita) -- "Clasificación de la visita" (efectiva).
Nota: Se excluyen las que tienen esquema al dia
</t>
  </si>
  <si>
    <r>
      <t>1- Poblacion actual "Mujeres 25 a 65 años" - activa</t>
    </r>
    <r>
      <rPr>
        <strike/>
        <sz val="10"/>
        <rFont val="Calibri Light"/>
        <family val="2"/>
        <scheme val="major"/>
      </rPr>
      <t>-</t>
    </r>
    <r>
      <rPr>
        <sz val="10"/>
        <rFont val="Calibri Light"/>
        <family val="2"/>
        <scheme val="major"/>
      </rPr>
      <t xml:space="preserve"> Aplica para los dos regimenes con realizacion de la actividad</t>
    </r>
  </si>
  <si>
    <t>1- Poblacion actual "Mujeres 25 a 65 años", que recibieron VPS</t>
  </si>
  <si>
    <t xml:space="preserve"> Afiliadas residentes en territorios con MGE de 50 a 69 años que despues de la VPS registran tamizaje para detección temprana de cancer de mama (mamografía)</t>
  </si>
  <si>
    <r>
      <t xml:space="preserve">1- Formato Visitas, variables: "Tipo de visita" opción (cualquier tipo de visita" ----- "Clasificación de la visita" (efectiva)
</t>
    </r>
    <r>
      <rPr>
        <i/>
        <sz val="10"/>
        <rFont val="Calibri Light"/>
        <family val="2"/>
        <scheme val="major"/>
      </rPr>
      <t>Nota: Se excluyen las que tienen esquema al dia en toma de mamografía</t>
    </r>
  </si>
  <si>
    <t>1- Poblacion actual "Mujeres 50 a 69 años, que recibieron VPS</t>
  </si>
  <si>
    <r>
      <t xml:space="preserve">1- Base poblacion actual- poblacion general -activa al momento de la visita
2- Archivo de visitas,  cualquier tipo de visita efectiva
</t>
    </r>
    <r>
      <rPr>
        <i/>
        <sz val="10"/>
        <rFont val="Calibri Light"/>
        <family val="2"/>
        <scheme val="major"/>
      </rPr>
      <t>Nota: Se excluyen los que tienen esquema al dia tamizaje para DT de colon y recto (SOMF)</t>
    </r>
  </si>
  <si>
    <r>
      <t xml:space="preserve">1-Base poblacion actual- poblacion activa al  momento de la visita, 
2- Formato Visitas, variables: "Tipo de visita" opción (cualquier tipo de visita" ----- "Clasificación de la visita" (efectiva)
</t>
    </r>
    <r>
      <rPr>
        <i/>
        <sz val="10"/>
        <rFont val="Calibri Light"/>
        <family val="2"/>
        <scheme val="major"/>
      </rPr>
      <t>Nota: Se excluyen los que tienen esquema al dia</t>
    </r>
  </si>
  <si>
    <t>Porcentaje de mujeres en los territorios en donde hay MGE de 13 a 49 años con asesoria en planificacion familiar posterior a la VPS</t>
  </si>
  <si>
    <t xml:space="preserve"> 1. Base de poblacion actual 
2. Archivo de visitas - Variables : Tipos de visita " cualquier tipo de visita" - Clasificación de la visita "efectiva"
</t>
  </si>
  <si>
    <t xml:space="preserve">Población actual-  activas, que recibieron VPS
Mujeres de 13 a 49 años en los regimenes Contributivo  y Subsidiado
</t>
  </si>
  <si>
    <r>
      <t xml:space="preserve">Variable:
Total de Mujeres de 15 a 49 años, 
Incluye mujeres con método PNF posterior  a cita preconcepcional
</t>
    </r>
    <r>
      <rPr>
        <strike/>
        <sz val="10"/>
        <rFont val="Calibri Light"/>
        <family val="2"/>
        <scheme val="major"/>
      </rPr>
      <t xml:space="preserve">
</t>
    </r>
    <r>
      <rPr>
        <sz val="10"/>
        <rFont val="Calibri Light"/>
        <family val="2"/>
        <scheme val="major"/>
      </rPr>
      <t>Dividido en 12 multiplicado por mes a evaluar</t>
    </r>
  </si>
  <si>
    <t>Población al mes a evaluar activos y nuevos
18 a 28 años</t>
  </si>
  <si>
    <t>Personas entre 50 a 75 que cumplen con  el  tamizaje de  SOMFI en el año</t>
  </si>
  <si>
    <t>Proporción de hombres de 50 a 75 años con pruebas de tamizaje anormal a quienes se les realizó valoracion por Urologia</t>
  </si>
  <si>
    <t>Proporción de hombres de 50 a 75 años con anormalidad en las 2 pruebas de tamizaje, tacto rectal y PSA, que cumplen con la valoracion por urologia</t>
  </si>
  <si>
    <t>Proporción de hombres de 50 a 75 años con pruebas de tamizaje anormal a quienes se les realizó biopsia de próstata.</t>
  </si>
  <si>
    <t>Proporción de hombres de 50 a 75 años con anormalidad en las 2 pruebas de tamizaje, tacto rectal y PSA, que cumplen con la toma Biopsia de Próstata</t>
  </si>
  <si>
    <t xml:space="preserve">Variable: 
Población actual al mes a evaluar activos y nuevos 
hombres de 50 a 75 años con tamizaje PSA  y tacto rectal anormal
Fecha de tamizacion mas reciente: 12 meses atrás incluyendo el mes a evaluar y no se toman los últimos 2 meses
</t>
  </si>
  <si>
    <t>Proporción de hombres que cumplen con la oportunidad de 15 días entre la toma y reporte de la Biopsia de Próstata</t>
  </si>
  <si>
    <t xml:space="preserve">Para toma de la biopsia se puede obtener de:
1- CAC
2- RIPS 601101  BIOPSIA CERRADA (PERCUTÁNEA) (AGUJA) DE PRÓSTATA POR ABORDAJE TRANSRECTAL.
3- Modulo de gestión- variable: Fecha resultado biopsia cervical
</t>
  </si>
  <si>
    <r>
      <t>1- RIPS: CUPS:</t>
    </r>
    <r>
      <rPr>
        <b/>
        <sz val="10"/>
        <rFont val="Calibri Light"/>
        <family val="2"/>
        <scheme val="major"/>
      </rPr>
      <t xml:space="preserve"> 890203 </t>
    </r>
    <r>
      <rPr>
        <sz val="10"/>
        <rFont val="Calibri Light"/>
        <family val="2"/>
        <scheme val="major"/>
      </rPr>
      <t xml:space="preserve">
2- Res 202 Variable 76: Fecha Valida</t>
    </r>
  </si>
  <si>
    <r>
      <t xml:space="preserve">1- RIPS: CUPS </t>
    </r>
    <r>
      <rPr>
        <b/>
        <sz val="10"/>
        <rFont val="Calibri Light"/>
        <family val="2"/>
        <scheme val="major"/>
      </rPr>
      <t>997106</t>
    </r>
    <r>
      <rPr>
        <sz val="10"/>
        <rFont val="Calibri Light"/>
        <family val="2"/>
        <scheme val="major"/>
      </rPr>
      <t xml:space="preserve"> (Tipificación de flúor en barniz)</t>
    </r>
  </si>
  <si>
    <t>Cobertura de Vacunación de Fiebre amarilla</t>
  </si>
  <si>
    <t>Proporción de  usuarios de 1 a 59 años con resgitro de aplicación de Fiebre amarilla</t>
  </si>
  <si>
    <t>Población actual al mes a evaluar activos y nuevos
1 a 59 años</t>
  </si>
  <si>
    <t>Cumplimiento de valoración integral en la infancia</t>
  </si>
  <si>
    <t>18  a 28 años
Registro de consultas según esquema</t>
  </si>
  <si>
    <t>Población afiliada  mes a evaluar activos y nuevos 
de 18 a 28 años</t>
  </si>
  <si>
    <t>ENDOSCOPIA DE VIAS DIGESTIVAS</t>
  </si>
  <si>
    <t>Porcentaje de mujeres con resultado alterado remitidas al centro de escucha</t>
  </si>
  <si>
    <t>Usuarias con resultado de mamografia o ecacografia birads 4 y 5, ó biopsia positiva que fueron vistas por psicologia</t>
  </si>
  <si>
    <t>PSICOLOGIA</t>
  </si>
  <si>
    <t>890208: CONSULTA DE PRIMERA VEZ POR PSICOLOGÍA
890308: CONSULTA DE CONTROL O DE SEGUIMIENTO POR PSICOLOGÍA
890408: INTERCONSULTA POR PSICOLOGÍA
E890208: CONSULTA DE PRIMERA VEZ POR PSICOLOGIA POR TELESALUD O TELEMEDICINA
E890310: CONSULTA DE CONTROL O DE SEGUIMIENTO POR PSICOLOGIA POR TELESALUD O TELEMEDICINA</t>
  </si>
  <si>
    <t>Resolución 202:
- Variable 96 fecha valida de mamografia ultimos 12 meses incluyendo el mes evaluado
- Variable 97 resultado: opcion 5 y 6
- Variable 99 fecha valida toma de biopsia últios 12 meses incluyendo el mes evaluado
- Variable 101 resultados opcion 3 y 4</t>
  </si>
  <si>
    <t>Mujeres de 50 a 69 años activas BDUA, con resultado de mamografia o biopsia alterado de mama 12 meses atrás incluyendo el mes evaluado</t>
  </si>
  <si>
    <t>Afiliados residentes donde hay MGE, que fueron identificados con TA elevada durante la VPS, y que fueron valorados en el servicio de salud, (medicina gral, medicina familiar, medicina interna, o enfermería), en los siguientes 3 meses</t>
  </si>
  <si>
    <t>1- Base de población actual: Igual o mayor a 18 años
2- Archivo de visitas, tipo de visita "Primera vez" Clasificaciòn efectiva
3- FECHA DE VPS: En los ultimos 12 meses y de estas tomar los 11 primeros meses
4- Formato de adicionales procex: variable TENSIÖN ARTERIAL ELEVADA (&gt;139/89)</t>
  </si>
  <si>
    <t>Población general - activa sin importar regimen, que registran durante VPS tensión elevada</t>
  </si>
  <si>
    <t>Afiliados identificados con Findrisk elevado, que fueron canalizados al servicio de salud, (valoración por medicina, medicina familiar, medicina inerna o enfermería), en los siguientes 3 meses a la VPS donde se identificó Findrisk elevado</t>
  </si>
  <si>
    <t>Población general de 18 años o más actual - activa sin importar regimen, que registran VPS</t>
  </si>
  <si>
    <t>Proporción de mujeres de 14 a 17 años con registro de hemoglobina y/o hematocrito durante el año</t>
  </si>
  <si>
    <t>Visitas técnicas realizadas a la red primaria de atención que presta servicios de PYMS según población asignada</t>
  </si>
  <si>
    <t>Población que registra asistencia a las sesiones de educacion en salud grupal en el curso de vida  que cumpla con minimo 3 actividades de educacion grupal por semestre en el año vigente
Población general
Programa de Educacion en salud</t>
  </si>
  <si>
    <t>Total de afiliados de 60 años y más
Registran aplicación de Fiebre Amarilla
edad a la fecha de aplicación 60 años o mas</t>
  </si>
  <si>
    <r>
      <t>Usuarios con diagnostico de cancer de prostata
Que no tengan vigencia de tamizaje de PSA</t>
    </r>
    <r>
      <rPr>
        <sz val="10"/>
        <color rgb="FFFF0000"/>
        <rFont val="Calibri Light"/>
        <family val="2"/>
        <scheme val="major"/>
      </rPr>
      <t xml:space="preserve"> y Tacto Rectal </t>
    </r>
    <r>
      <rPr>
        <sz val="10"/>
        <color theme="1"/>
        <rFont val="Calibri Light"/>
        <family val="2"/>
        <scheme val="major"/>
      </rPr>
      <t xml:space="preserve">o la que la pierdan en el año vigente
</t>
    </r>
    <r>
      <rPr>
        <b/>
        <sz val="10"/>
        <color theme="1"/>
        <rFont val="Calibri Light"/>
        <family val="2"/>
        <scheme val="major"/>
      </rPr>
      <t>Hombres de 40 a 49 años que NO tengan etnia afro.</t>
    </r>
  </si>
  <si>
    <t>Población del denominador que registran edad al tamizaje
Registro pruebas de tamización DT de cáncer de próstata - toma y resultado válido (PSA y tacto rectal)
Año vigente
Edad a la fecha de los 2 procedimientos entre 40 y 75 años
Resultado de tamizaje válido (excepto 998 - Riesgo no evaluado y 0 - No aplica)</t>
  </si>
  <si>
    <t>1- BASE DE DATOS DE AFILIACIONES (CIERRE MES)
2-Cohorte DT prótata
varible: 
Fecha mas reciente de PSA
Fecha mas reciente de tacto rectal Reutado 4 y 5
Nota: Teniendo en cuenta que en el denominador no se incluyen usuarios con tamizaje vigente, éste se deberá cruzar con la cohorte DT próstata</t>
  </si>
  <si>
    <t>Usuarias con resultado de biopsia positiva que fueron vistas por psicologia</t>
  </si>
  <si>
    <r>
      <rPr>
        <sz val="10"/>
        <color rgb="FF000000"/>
        <rFont val="Calibri Light"/>
        <family val="2"/>
        <scheme val="major"/>
      </rPr>
      <t xml:space="preserve">Mujeres entre 50 y 69 años
Resultado de biopsia de mama positiva
Fecha de la biopsia sea en los utlimos 12 meses atrás incluido el mes evaluado
</t>
    </r>
    <r>
      <rPr>
        <sz val="10"/>
        <color rgb="FFFF0000"/>
        <rFont val="Calibri Light"/>
        <family val="2"/>
        <scheme val="major"/>
      </rPr>
      <t>Fecha de Biopsia debe ser mayor a la fecha de mamografia</t>
    </r>
    <r>
      <rPr>
        <sz val="10"/>
        <color rgb="FF000000"/>
        <rFont val="Calibri Light"/>
        <family val="2"/>
        <scheme val="major"/>
      </rPr>
      <t xml:space="preserve">
</t>
    </r>
  </si>
  <si>
    <r>
      <t xml:space="preserve">Mujeres entre 50 y 69 años
Periodo: 12 meses atrás incluido el mes evaluado
Resultado de biopsia de mama positiva
Fecha de consulta por psicologia posterior a la fecha del resultado de </t>
    </r>
    <r>
      <rPr>
        <strike/>
        <sz val="10"/>
        <color rgb="FF000000"/>
        <rFont val="Calibri Light"/>
        <family val="2"/>
        <scheme val="major"/>
      </rPr>
      <t xml:space="preserve"> </t>
    </r>
    <r>
      <rPr>
        <sz val="10"/>
        <color rgb="FF000000"/>
        <rFont val="Calibri Light"/>
        <family val="2"/>
        <scheme val="major"/>
      </rPr>
      <t xml:space="preserve">biopsia de mama
</t>
    </r>
  </si>
  <si>
    <r>
      <t xml:space="preserve">Resolución 202:
</t>
    </r>
    <r>
      <rPr>
        <sz val="10"/>
        <color rgb="FFFF0000"/>
        <rFont val="Calibri Light"/>
        <family val="2"/>
        <scheme val="major"/>
      </rPr>
      <t xml:space="preserve">Variable 100 </t>
    </r>
    <r>
      <rPr>
        <sz val="10"/>
        <color rgb="FF000000"/>
        <rFont val="Calibri Light"/>
        <family val="2"/>
        <scheme val="major"/>
      </rPr>
      <t xml:space="preserve">fecha valida </t>
    </r>
    <r>
      <rPr>
        <sz val="10"/>
        <color rgb="FFFF0000"/>
        <rFont val="Calibri Light"/>
        <family val="2"/>
        <scheme val="major"/>
      </rPr>
      <t>resultado de</t>
    </r>
    <r>
      <rPr>
        <sz val="10"/>
        <color rgb="FF000000"/>
        <rFont val="Calibri Light"/>
        <family val="2"/>
        <scheme val="major"/>
      </rPr>
      <t xml:space="preserve"> biopsia últimos 12 meses incluyendo el mes evaluado
- Variable 101 resultados opcion 3 y 4</t>
    </r>
  </si>
  <si>
    <t>Mujeres con resultado de biopsia de mama positiva, (12 meses atrás incluyendo el mes evaluado)</t>
  </si>
  <si>
    <r>
      <t xml:space="preserve">Fecha de consulta por psicologia posterior a la fecha del resultado de </t>
    </r>
    <r>
      <rPr>
        <strike/>
        <sz val="10"/>
        <color rgb="FF000000"/>
        <rFont val="Calibri Light"/>
        <family val="2"/>
        <scheme val="major"/>
      </rPr>
      <t xml:space="preserve"> </t>
    </r>
    <r>
      <rPr>
        <sz val="10"/>
        <color rgb="FF000000"/>
        <rFont val="Calibri Light"/>
        <family val="2"/>
        <scheme val="major"/>
      </rPr>
      <t xml:space="preserve">biopsia de mama y maximo en los siguientes 6 meses despues de </t>
    </r>
    <r>
      <rPr>
        <sz val="10"/>
        <color rgb="FFFF0000"/>
        <rFont val="Calibri Light"/>
        <family val="2"/>
        <scheme val="major"/>
      </rPr>
      <t>la fecha de resultado de la biopsia</t>
    </r>
    <r>
      <rPr>
        <strike/>
        <sz val="10"/>
        <color rgb="FF000000"/>
        <rFont val="Calibri Light"/>
        <family val="2"/>
        <scheme val="major"/>
      </rPr>
      <t xml:space="preserve">    </t>
    </r>
  </si>
  <si>
    <r>
      <t xml:space="preserve">1- Rips
890208: CONSULTA DE PRIMERA VEZ POR PSICOLOGÍA
890308: CONSULTA DE CONTROL O DE SEGUIMIENTO POR PSICOLOGÍA
890408: INTERCONSULTA POR PSICOLOGÍA
E890208: CONSULTA DE PRIMERA VEZ POR PSICOLOGIA POR TELESALUD O TELEMEDICINA
E890310: CONSULTA DE CONTROL O DE SEGUIMIENTO POR PSICOLOGIA POR TELESALUD O TELEMEDICINA
</t>
    </r>
    <r>
      <rPr>
        <sz val="10"/>
        <color rgb="FFFF0000"/>
        <rFont val="Calibri Light"/>
        <family val="2"/>
        <scheme val="major"/>
      </rPr>
      <t xml:space="preserve">Fecha  de consulta  valida posterior a variable 100 de  Res 202. </t>
    </r>
  </si>
  <si>
    <t>RPYMS496AX</t>
  </si>
  <si>
    <t xml:space="preserve">DT cervix general </t>
  </si>
  <si>
    <r>
      <rPr>
        <sz val="10"/>
        <color rgb="FF000000"/>
        <rFont val="Calibri Light"/>
        <family val="2"/>
        <scheme val="major"/>
      </rPr>
      <t xml:space="preserve">Genero femenino
Periodo: </t>
    </r>
    <r>
      <rPr>
        <sz val="10"/>
        <color rgb="FFFF0000"/>
        <rFont val="Calibri Light"/>
        <family val="2"/>
        <scheme val="major"/>
      </rPr>
      <t xml:space="preserve">24 meses atras
</t>
    </r>
    <r>
      <rPr>
        <sz val="10"/>
        <color rgb="FF000000"/>
        <rFont val="Calibri Light"/>
        <family val="2"/>
        <scheme val="major"/>
      </rPr>
      <t xml:space="preserve">Mujeres entre 25 y 29 años
Resultado de ultima citologia ASCUS </t>
    </r>
    <r>
      <rPr>
        <sz val="10"/>
        <rFont val="Calibri Light"/>
        <family val="2"/>
        <scheme val="major"/>
      </rPr>
      <t xml:space="preserve">
Fecha de resultado de tamizaje sea mayor o igual a la fecha de afiliación</t>
    </r>
  </si>
  <si>
    <t>1. Resolución 202 de 2021:
-Variable 86: Tipo de tamizaje 1 y 4
- Variable 87: Fecha de tamizaje: Fecha valida ultimos 24 meses
- Variable 88: Resultado opción 1
2- Modulo de gestión de Cervix primaria:
- Tipo de tamizaje: Citologìa cervicouterina
-Resultado: Fecha valida ultimos 24 meses
(No aplica regla de citologìa anterior)</t>
  </si>
  <si>
    <r>
      <t xml:space="preserve">Mujeres cuyo resultado de CCU fue AS-CUS en las dos mas recientes; y que reciben manejo medico con (valoración por especialista)
</t>
    </r>
    <r>
      <rPr>
        <sz val="10"/>
        <color rgb="FFFF0000"/>
        <rFont val="Calibri Light"/>
        <family val="2"/>
        <scheme val="major"/>
      </rPr>
      <t>La fecha de valoración por especialista, debe ser posterior a la fecha del ultimo tamizaje</t>
    </r>
  </si>
  <si>
    <r>
      <rPr>
        <sz val="10"/>
        <color rgb="FFFF0000"/>
        <rFont val="Calibri Light"/>
        <family val="2"/>
        <scheme val="major"/>
      </rPr>
      <t>Mujeres cuyo resultado de  tamizaje sea mas reciente sea CCU con resultado ASCUS y el tamizaje anterior de citologia sea ASCUS, con una diferencia de &gt; o = a 6 meses entre ambos.</t>
    </r>
    <r>
      <rPr>
        <sz val="10"/>
        <color rgb="FFFF0000"/>
        <rFont val="Calibri Light"/>
        <family val="2"/>
        <scheme val="major"/>
      </rPr>
      <t xml:space="preserve">
periodo: Ultimos 24 meses sin incluir el mes a  evaluar
</t>
    </r>
  </si>
  <si>
    <r>
      <rPr>
        <sz val="10"/>
        <color rgb="FF000000"/>
        <rFont val="Calibri Light"/>
        <family val="2"/>
      </rPr>
      <t xml:space="preserve">Resolución 202:
- Variable 86: opción 1 
- Variable 87: fecha valida de citologia ultimos </t>
    </r>
    <r>
      <rPr>
        <sz val="10"/>
        <color rgb="FFFF0000"/>
        <rFont val="Calibri Light"/>
        <family val="2"/>
      </rPr>
      <t xml:space="preserve">24 </t>
    </r>
    <r>
      <rPr>
        <sz val="10"/>
        <color rgb="FF000000"/>
        <rFont val="Calibri Light"/>
        <family val="2"/>
      </rPr>
      <t>meses sin incluir el mes evaluado
- Variable 88 resultado: opcion 1</t>
    </r>
  </si>
  <si>
    <t xml:space="preserve">Niños y niñas de 0 a 59 meses  con diagnóstico de Desnutrición aguda, moderada o severa, que presentan recuperación nutricional, menor o igual a 120 días posterior a la "Fecha de la consulta", estado activo.
</t>
  </si>
  <si>
    <r>
      <rPr>
        <sz val="10"/>
        <color rgb="FFFF0000"/>
        <rFont val="Calibri Light"/>
        <family val="2"/>
      </rPr>
      <t xml:space="preserve">22/01/2026: Se ajusta la definicion del numerador y se cambia la fuente a la información de la cohorte. Se retira del denominador la fuente RIPS.
</t>
    </r>
    <r>
      <rPr>
        <sz val="10"/>
        <color rgb="FF000000"/>
        <rFont val="Calibri Light"/>
        <family val="2"/>
      </rPr>
      <t>12/12/2025 Sin modificación  31/03/2025 Se ajusta el orden de la información de acuerdo a cada variable.  9/12/2024: Se debe iniciar medición para 2025, porque actualmente no se esta midiendo, EYAV.</t>
    </r>
  </si>
  <si>
    <r>
      <t xml:space="preserve">1. SIVIGILA  
Evento 113: 
Fecha de consulta  (fec_con_): últimos 12 meses
"Ajuste_": todos, excepto 6 y D
Score P/T(zscore_pt): &lt; - 2DS o sin dato
"pac_hos_" = "1"
"fec_hos_" posterior a "fec_con_"
Estado: activo
2. Censo hospitalario: variable "Fecha Egreso" válida posterior a la "fec_hos_"
</t>
    </r>
    <r>
      <rPr>
        <sz val="10"/>
        <color rgb="FFFF0000"/>
        <rFont val="Calibri Light"/>
        <family val="2"/>
        <scheme val="major"/>
      </rPr>
      <t>*Tomar para  el censo hospitalario el que este nombrado con fecha ultimo dia del mes a evaluar.</t>
    </r>
  </si>
  <si>
    <t>22/01/2026 Se aclara regla fuente denominador para Censo hospitalario.  12/12/2025 Sin modificación  31/03/2025 Se ajusta el orden de la información de acuerdo a cada variable.  9/12/2024: Se modifica nombre del indicador; se debe iniciar medición para 2025, porque actualmente no se esta midiendo, se cambian a evaluativo. EYAV.</t>
  </si>
  <si>
    <r>
      <rPr>
        <sz val="10"/>
        <color rgb="FF000000"/>
        <rFont val="Calibri Light"/>
        <family val="2"/>
      </rPr>
      <t xml:space="preserve">Niños y niñas de 0 a 59 meses  con diagnóstico de Desnutrición aguda, moderada o severa, con seguimiento ambulatorio, estado activo.
</t>
    </r>
    <r>
      <rPr>
        <sz val="10"/>
        <color rgb="FFFF0000"/>
        <rFont val="Calibri Light"/>
        <family val="2"/>
      </rPr>
      <t xml:space="preserve">
fecha valoración 1 y fecha de  valoración 2 siendo ambas las más cercanas y posteriores a la fecha de consulta (o notificación).</t>
    </r>
  </si>
  <si>
    <r>
      <rPr>
        <sz val="10"/>
        <color rgb="FFFF0000"/>
        <rFont val="Calibri Light"/>
        <family val="2"/>
      </rPr>
      <t xml:space="preserve">22/01/2026  Se ajusta fuentes del numerador y denominador, se modifica el numerador de varaible poblacion. </t>
    </r>
    <r>
      <rPr>
        <sz val="10"/>
        <color rgb="FF000000"/>
        <rFont val="Calibri Light"/>
        <family val="2"/>
      </rPr>
      <t>05/12/2025 Se aprueba ajuste para retirar del Denominador de fuente: RIPS</t>
    </r>
  </si>
  <si>
    <r>
      <rPr>
        <sz val="10"/>
        <color rgb="FFFF0000"/>
        <rFont val="Calibri Light"/>
        <family val="2"/>
        <scheme val="major"/>
      </rPr>
      <t>Prevalencia  de personas identificadas con sospecha</t>
    </r>
    <r>
      <rPr>
        <sz val="10"/>
        <rFont val="Calibri Light"/>
        <family val="2"/>
        <scheme val="major"/>
      </rPr>
      <t xml:space="preserve"> de violencia física, psicologica o Sexual</t>
    </r>
  </si>
  <si>
    <t>Prevalencia  de personas identificadas con sospecha de violencia física, psicológica o sexual</t>
  </si>
  <si>
    <t>Numero de personas afiliadas que han sido notificadas en SIVIGILA:
Evento: 875
"Ajuste_" Excepto: 6 o D o R</t>
  </si>
  <si>
    <t>Cohorte violencia sexual y cohorte violencia no sexual</t>
  </si>
  <si>
    <t>22/01/2026 Se ajusta denominador del periodo, se elimina en la columna poblacion Numerador "en el año en curso" se cambio para toda la vida, se ajustó el nombre del indicador 05/12/2025 Se realiza cambio de nombre, definición opertativa del indicador, se ajusta definición del numerador, en periodo se cambia numerador para toda la vida y en variable población se toma población "activa" al momento de la evaluación.  //9/12/2024: sin modificación</t>
  </si>
  <si>
    <t>Prevalencia de intento de suicidio</t>
  </si>
  <si>
    <t>Prevalencia de intento de suicidio notificadas al SIVIGILA</t>
  </si>
  <si>
    <t>Numero de personas afiliadas que han sido notificadas en SIVIGILA:
Evento: 356
"Ajuste_" Excepto: 6 o D o R</t>
  </si>
  <si>
    <t xml:space="preserve">SIVIGILA: 
cohorte evento 356
</t>
  </si>
  <si>
    <t>Cohorte intento de suicidio</t>
  </si>
  <si>
    <t>22/01/2026 Se ajusta denominador de periodo"para toda la vida" y se elimina en el numerador de poblacion "en el año en curso".  05/12/2025 Se realiza cambio de nombre, definición opertativa del indicador, se ajusta definición del numerador, fuente del numerador, en periodo se cambia numerador para toda la vida y en variable población se toma población "activa" al momento de la evaluación.  //9/12/2024: sin modificación</t>
  </si>
  <si>
    <r>
      <rPr>
        <strike/>
        <sz val="10"/>
        <rFont val="Calibri Light"/>
        <family val="2"/>
        <scheme val="major"/>
      </rPr>
      <t>&lt;=5%</t>
    </r>
    <r>
      <rPr>
        <sz val="10"/>
        <rFont val="Calibri Light"/>
        <family val="2"/>
        <scheme val="major"/>
      </rPr>
      <t xml:space="preserve">
</t>
    </r>
    <r>
      <rPr>
        <sz val="10"/>
        <color rgb="FFFF0000"/>
        <rFont val="Calibri Light"/>
        <family val="2"/>
        <scheme val="major"/>
      </rPr>
      <t>8,3 x 1000</t>
    </r>
  </si>
  <si>
    <r>
      <t xml:space="preserve">1.18%
</t>
    </r>
    <r>
      <rPr>
        <sz val="10"/>
        <color rgb="FFFF0000"/>
        <rFont val="Calibri Light"/>
        <family val="2"/>
        <scheme val="major"/>
      </rPr>
      <t>8,3 x 1000</t>
    </r>
  </si>
  <si>
    <r>
      <rPr>
        <strike/>
        <sz val="10"/>
        <rFont val="Calibri Light"/>
        <family val="2"/>
        <scheme val="major"/>
      </rPr>
      <t>2.59%</t>
    </r>
    <r>
      <rPr>
        <sz val="10"/>
        <rFont val="Calibri Light"/>
        <family val="2"/>
        <scheme val="major"/>
      </rPr>
      <t xml:space="preserve">
</t>
    </r>
    <r>
      <rPr>
        <sz val="10"/>
        <color rgb="FFFF0000"/>
        <rFont val="Calibri Light"/>
        <family val="2"/>
        <scheme val="major"/>
      </rPr>
      <t>27 x 1000</t>
    </r>
  </si>
  <si>
    <r>
      <rPr>
        <strike/>
        <sz val="10"/>
        <rFont val="Calibri Light"/>
        <family val="2"/>
        <scheme val="major"/>
      </rPr>
      <t>&lt;=7%</t>
    </r>
    <r>
      <rPr>
        <sz val="10"/>
        <rFont val="Calibri Light"/>
        <family val="2"/>
        <scheme val="major"/>
      </rPr>
      <t xml:space="preserve">
</t>
    </r>
    <r>
      <rPr>
        <sz val="10"/>
        <color rgb="FFFF0000"/>
        <rFont val="Calibri Light"/>
        <family val="2"/>
        <scheme val="major"/>
      </rPr>
      <t>27 x 1000</t>
    </r>
  </si>
  <si>
    <r>
      <t xml:space="preserve">22/01/2026 se ajusta meta y unidad de medida porque es 1,000 y </t>
    </r>
    <r>
      <rPr>
        <sz val="10"/>
        <color rgb="FFFF0000"/>
        <rFont val="Calibri Light"/>
        <family val="2"/>
        <scheme val="major"/>
      </rPr>
      <t>el resultado no debe salir en porcentaje (%).</t>
    </r>
    <r>
      <rPr>
        <sz val="10"/>
        <rFont val="Calibri Light"/>
        <family val="2"/>
        <scheme val="major"/>
      </rPr>
      <t xml:space="preserve"> 05/12/2025 Se modifica meta del indicador Ajuste para que el dato de la variable "Indicador Actividad" en la visual de tableros se muestre como "No aplica", de igual forma se ajusta para que visualmente no se muestre el resultado en expresión de porcentaje (%), se debe mostrar el dato en numero.  // 07/02/2025 Se ajsuta periodo numerador y en poblacion denominador se elimina suspendido. 06-11-2024:Se cambió la definición del indicador, la definición de las variables del numerador y del denominador, la fuente del numerador y denominador y la población del numerador y denominador, cambia el amplificador de 100 a 1000</t>
    </r>
  </si>
  <si>
    <r>
      <t xml:space="preserve">22/01/2026 se ajusta meta y unidad de medida porque es 1,000 y </t>
    </r>
    <r>
      <rPr>
        <sz val="10"/>
        <color rgb="FFFF0000"/>
        <rFont val="Calibri Light"/>
        <family val="2"/>
        <scheme val="major"/>
      </rPr>
      <t>el resultado no debe salir en porcentaje (%).</t>
    </r>
    <r>
      <rPr>
        <sz val="10"/>
        <rFont val="Calibri Light"/>
        <family val="2"/>
        <scheme val="major"/>
      </rPr>
      <t xml:space="preserve">  05/12/2025 Se modifica meta del indicador Ajuste para que el dato de la variable "Indicador Actividad" en la visual de tableros se muestre como "No aplica", de igual forma se ajusta para que visualmente no se muestre el resultado en expresión de porcentaje (%), se debe mostrar el dato en numero.  // 7/02/2025 Se ajsuta periodo numerador y en poblacion denominador se elimina suspendido.  06-11-2024:Se cambió la definición del indicador, la definición de las variables del numerador y del denominador, la fuente del numerador y denominador y la población del numerador y denominador, cambia el amplificador de 100 a 1000.</t>
    </r>
  </si>
  <si>
    <r>
      <t>12 meses atrás incluyendo el mes a evaluar</t>
    </r>
    <r>
      <rPr>
        <sz val="10"/>
        <color rgb="FFFF0000"/>
        <rFont val="Calibri Light"/>
        <family val="2"/>
        <scheme val="major"/>
      </rPr>
      <t xml:space="preserve"> y no se toman los últimos 3 meses</t>
    </r>
  </si>
  <si>
    <t>22/01/2026  Se deja claro que son 90 días, se elimina de todo el indicador todo lo relacionado con "Población identificada desde el proceso de VBC", en periodo numerador de los 12 meses atrás no se toman los 3 ultimos meses, en población denominador se elimina los CIE10.   05/12/2025 Se ajusta población numerador y denominador solo "Activa", se elimina suspendido, se deja claro que son 90 días y se adicionan exclusiones en el denominador. // 13/03/2025 Se ajusta regla para el indicador, se deja descrita en "Observación del indicador".  06/02/2025 Se describe la sigla VBC (Vigilancia Basada en Comunidad). // 27/11/2024:ajustes * Tiempo de busqueda de la consulta válida: 90 días de acuerdo con la fuente; * Se adiciona la fuente de casos identificados en el proceso de VBC y busqueda por CIE 10 a traves de RIPS; * Se adicionan los CIE 10 de Medicina Familiar y comunitaria, ginecologia, pediatría, psiquiatría y telesalud.</t>
  </si>
  <si>
    <t>22/01/2026  Se deja claro que son 90 días, se elimina de todo el indicador todo lo relacionado con "Población identificada desde el proceso de VBC", en periodo numerador de los 12 meses atrás no se toman los 3 ultimos meses, en población denominador se elimina los CIE10.   05/12/2025 Se ajusta población numerador y denominador solo "Activa", se elimina suspendido, se deja claro que son 90 días y se adicionan exclusiones en el denominador. 13/03/2025 Se ajusta regla para el indicador, se deja descrita en "Observación del indicador".  06/02/2025 Se describe la sigla VBC (Vigilancia Basada en Comunidad). // 09/12/2024:ajustes * Tiempo de busqueda de la consulta válida: 90 días de acuerdo con la fuente. * Se adiciona la fuente de casos identificados en el proceso de VBC y busqueda por CIE 10 * Se adicionan los CIE 10 de Psiquiatría y Psicología * Se ajustó en definición de variables el numerador aclarando que toma cualquiera de las consultas con psicología o psiquiatría que se registran en la cohorte que cumpla con la validación, en población se ajustó denominador aclarando que la fuente es la cohorte * Se cambia nombre del indicador</t>
  </si>
  <si>
    <t>22/01/2026  Se deja claro que son 90 días, se elimina de todo el indicador todo lo relacionado con "Población identificada desde el proceso de VBC", en periodo numerador de los 12 meses atrás no se toman los 3 ultimos meses.   05/12/2025 Se ajusta población numerador y denominador solo "Activa", se elimina suspendido, se deja claro que son 90 días y se adicionan exclusiones en el denominador.  //13/03/2025 Se ajusta regla para el indicador, se deja descrita en "Observación del indicador".  06/02/2025 Se describe la sigla VBC (Vigilancia Basada en Comunidad). // 09/12/2024:ajustes * Tiempo de busqueda de la consulta válida: 90 días de acuerdo con la fuente. * Se adiciona la fuente de casos identificados en el proceso de VBC
* Se adicionan los CIE 10 de Psiquiatría y Psicología * Se ajustó en definición de variables el numerador aclarando que toma cualquiera de las consultas con psicología o psiquiatría que se registran en la cohorte que cumpla con la validación, en población se ajustó denominador aclarando que la fuente es la cohorte * Se cambia el nombre del indicador</t>
  </si>
  <si>
    <t>22/01/2026  Se deja claro que son 90 días, se elimina de todo el indicador todo lo relacionado con "Población identificada desde el proceso de VBC", en periodo numerador de los 12 meses atrás no se toman los 3 ultimos meses.   05/12/2025 Se ajusta población numerador y denominador solo "Activa", se elimina suspendido, se deja claro que son 90 días y se adicionan exclusiones en el denominador. // 13/03/2025 Se ajusta regla para el indicador, se deja descrita en "Observación del indicador".  06/02/2025 Se describe la sigla VBC (Vigilancia Basada en Comunidad).
09/12-2024:ajustes * Tiempo de busqueda de la consulta válida: 90 días de acuerdo con la fuente. * Se adiciona la fuente de casos identificados en el proceso de VBC
* Se adicionan los CIE 10 de Psiquiatría y Psicología * Se ajustó en definición de variables el numerador aclarando que toma cualquiera de las consultas con psicología o psiquiatría que se registran en la cohorte que cumpla con la validación, en población se ajustó denominador aclarando que la fuente es la cohorte * se ajusta el nombre del indicador</t>
  </si>
  <si>
    <t>22/01/2026  Se deja claro que son 90 días, se elimina de todo el indicador todo lo relacionado con "Población identificada desde el proceso de VBC", en periodo numerador de los 12 meses atrás no se toman los 3 ultimos meses.   05/12/2025 Se ajusta población numerador y denominador solo "Activa", se elimina suspendido, se deja claro que son 90 días.  //13/03/2025 Se ajusta regla para el indicador, se deja descrita en "Observación del indicador".  06/02/2025 Se describe la sigla VBC (Vigilancia Basada en Comunidad). // 09/12-2024:ajustes * Tiempo de busqueda de la consulta válida: 90 días de acuerdo con la fuente. * Se adiciona la fuente de casos identificados en el proceso de VBC y busqueda por CIE 10 * Se adicionan los CIE 10 de Psiquiatría y Psicología * Se ajustó en definición de variables el numerador aclarando que toma cualquiera de las consultas con psicología o psiquiatría que se registran en la cohorte que cumpla con la validación, en población se ajustó denominador aclarando que la fuente es la cohorte * Se cambia nombre del indicador</t>
  </si>
  <si>
    <r>
      <rPr>
        <sz val="10"/>
        <color rgb="FF000000"/>
        <rFont val="Calibri Light"/>
        <family val="2"/>
        <scheme val="major"/>
      </rPr>
      <t xml:space="preserve">Se valida por IPS Notificadora si la fuente es SIVIGILA y por IPS </t>
    </r>
    <r>
      <rPr>
        <strike/>
        <sz val="10"/>
        <color rgb="FF000000"/>
        <rFont val="Calibri Light"/>
        <family val="2"/>
        <scheme val="major"/>
      </rPr>
      <t>Primaria</t>
    </r>
    <r>
      <rPr>
        <sz val="10"/>
        <color rgb="FF000000"/>
        <rFont val="Calibri Light"/>
        <family val="2"/>
        <scheme val="major"/>
      </rPr>
      <t xml:space="preserve"> si la fuente es RIPS (</t>
    </r>
    <r>
      <rPr>
        <sz val="10"/>
        <color rgb="FFFF0000"/>
        <rFont val="Calibri Light"/>
        <family val="2"/>
        <scheme val="major"/>
      </rPr>
      <t>No excluir información solo a IPS primaria como notificadora</t>
    </r>
    <r>
      <rPr>
        <sz val="10"/>
        <color rgb="FF000000"/>
        <rFont val="Calibri Light"/>
        <family val="2"/>
        <scheme val="major"/>
      </rPr>
      <t>)</t>
    </r>
  </si>
  <si>
    <r>
      <rPr>
        <sz val="10"/>
        <color rgb="FFFF0000"/>
        <rFont val="Calibri Light"/>
        <family val="2"/>
        <scheme val="major"/>
      </rPr>
      <t xml:space="preserve">22/01/2026 Se ajuste indicador para que no valide que la IPS primaria sea la misma de notificación.   </t>
    </r>
    <r>
      <rPr>
        <sz val="10"/>
        <color rgb="FF000000"/>
        <rFont val="Calibri Light"/>
        <family val="2"/>
        <scheme val="major"/>
      </rPr>
      <t xml:space="preserve">12/12/2025 Sin modificación  31/03/2025 Se ajusta el orden de la información de acuerdo a cada variable.  10/12/2024. Se cambia nombre del indicador y fuente; se cambia definición de numerador y denominador. Se incluyen exclusiones y Se incluye la fuente de busqueda de casos a traves de RIPS con los siguientes CIE 10: CIE 10: E43X; E441; E40X; E41X; E42X; E46X; •	Se retira el PB como paramétro para el diagnóstico de DNT, Elvia Milena
Se incluye la fuente de RIPS para la busqueda de casos a traves de CIE10
</t>
    </r>
  </si>
  <si>
    <r>
      <t xml:space="preserve">22/01/2026 se ajusta meta y unidad de medida porque es 1,000 y </t>
    </r>
    <r>
      <rPr>
        <sz val="10"/>
        <color rgb="FFFF0000"/>
        <rFont val="Calibri Light"/>
        <family val="2"/>
        <scheme val="major"/>
      </rPr>
      <t>el resultado no debe salir en porcentaje (%)</t>
    </r>
    <r>
      <rPr>
        <sz val="10"/>
        <rFont val="Calibri Light"/>
        <family val="2"/>
        <scheme val="major"/>
      </rPr>
      <t xml:space="preserve">. 05/12/2025 Se modifica meta del indicador Ajuste para que el dato de la variable "Indicador Actividad" en la visual de tableros se muestre como "No aplica.  //7/02/2025 Se ajusta periodo numerador. </t>
    </r>
  </si>
  <si>
    <r>
      <t xml:space="preserve">22/01/2026 se ajusta meta y unidad de medida porque es 1,000 y </t>
    </r>
    <r>
      <rPr>
        <sz val="10"/>
        <color rgb="FFFF0000"/>
        <rFont val="Calibri Light"/>
        <family val="2"/>
        <scheme val="major"/>
      </rPr>
      <t>el resultado no debe salir en porcentaje (%).</t>
    </r>
    <r>
      <rPr>
        <sz val="10"/>
        <rFont val="Calibri Light"/>
        <family val="2"/>
        <scheme val="major"/>
      </rPr>
      <t xml:space="preserve"> 05/12/2025 Se modifica meta del indicador Ajuste para que el dato de la variable "Indicador Actividad" en la visual de tableros se muestre como "No aplica. //7/02/2025 se ajusta en periodo numerador</t>
    </r>
  </si>
  <si>
    <r>
      <t xml:space="preserve">22/01/2026 se ajusta meta y unidad de medida porque es 1,000 y </t>
    </r>
    <r>
      <rPr>
        <sz val="10"/>
        <color rgb="FFFF0000"/>
        <rFont val="Calibri Light"/>
        <family val="2"/>
        <scheme val="major"/>
      </rPr>
      <t>el resultado no debe salir en porcentaje (%)</t>
    </r>
    <r>
      <rPr>
        <sz val="10"/>
        <rFont val="Calibri Light"/>
        <family val="2"/>
        <scheme val="major"/>
      </rPr>
      <t>. 05/12/2025 Se modifica meta del indicador Ajuste para que el dato de la variable "Indicador Actividad" en la visual de tableros se muestre como "No aplica. //7/02/2025 se ajusta en periodo numerador</t>
    </r>
  </si>
  <si>
    <r>
      <t>1. SIVIGILA EVENTO 113.
2. Seleccionar niños en edad de 0-59 meses a la fecha de consulta (Columna Edad en meses a la fecha de la consulta (SIVIGILA))
3. Estado Activo (ESTADO AC)
4. Fecha de consulta  (fec_con_):</t>
    </r>
    <r>
      <rPr>
        <sz val="10"/>
        <color rgb="FF7030A0"/>
        <rFont val="Calibri Light"/>
        <family val="2"/>
        <scheme val="major"/>
      </rPr>
      <t xml:space="preserve">del año vigente incluyendo el mes a evaluar </t>
    </r>
    <r>
      <rPr>
        <sz val="10"/>
        <rFont val="Calibri Light"/>
        <family val="2"/>
        <scheme val="major"/>
      </rPr>
      <t xml:space="preserve">
5. "Ajuste_": todos, excepto 6 y D
6. Con P/T &lt; - 2DS o sin dato (DATO_ZSCORE_PT)</t>
    </r>
  </si>
  <si>
    <t>22/01/2026 Se ajusta fuente del denominador, se eliminan "Rips".  05/12/2025 Se modifica meta del indicador Se ajusta fuente del numerador pasando medición a "año vigente".  //12/09/2025 solicitud de ajuste en fuente numerador para inlcuir casos hospitalizados y no hospitalizados en la medicion. // 31/03/2025 Se ajusta definición operativa, metas y el orden de la información de acuerdo a cada variable.  Indicador nuevo.</t>
  </si>
  <si>
    <r>
      <rPr>
        <sz val="10"/>
        <color rgb="FF000000"/>
        <rFont val="Calibri Light"/>
        <family val="2"/>
        <scheme val="major"/>
      </rPr>
      <t xml:space="preserve">SIVIGILA
Número de niños 0 a 59 meses identificados con desnutrición aguda, en los que pasados tres meses vuelven a ser notificados y cumplen con los siguientes criterios:
</t>
    </r>
    <r>
      <rPr>
        <sz val="10"/>
        <color theme="1"/>
        <rFont val="Calibri Light"/>
        <family val="2"/>
        <scheme val="major"/>
      </rPr>
      <t xml:space="preserve">1. SIVIGILA: 
Evento 113:
 Fecha de notificación  (fec_not_): últimos 12 meses
"Ajuste_": todos, excepto 6 y D
Estado de afiliación: Activo
Tiempo entre la primera fecha de notificación "fec_not" de los ultimos 12 meses y la más reciente es =&gt; 90 días se considera un caso reincidente
</t>
    </r>
    <r>
      <rPr>
        <sz val="10"/>
        <color rgb="FFFF0000"/>
        <rFont val="Calibri Light"/>
        <family val="2"/>
        <scheme val="major"/>
      </rPr>
      <t xml:space="preserve">
2. Cohorte DNT
Variable "Fecha de notificacion reincidencia": Fecha válida mayor a 90 días de al menos una de las fechas de notificación "fec_not" de los últimos 12 meses en SIVIGILA
</t>
    </r>
    <r>
      <rPr>
        <sz val="10"/>
        <color rgb="FF000000"/>
        <rFont val="Calibri Light"/>
        <family val="2"/>
        <scheme val="major"/>
      </rPr>
      <t xml:space="preserve">
</t>
    </r>
  </si>
  <si>
    <r>
      <t xml:space="preserve">SIVIGILA: 
Evento 113:
</t>
    </r>
    <r>
      <rPr>
        <sz val="10"/>
        <color theme="1"/>
        <rFont val="Calibri Light"/>
        <family val="2"/>
        <scheme val="major"/>
      </rPr>
      <t>Fecha de notificación  (fec_not_):</t>
    </r>
    <r>
      <rPr>
        <sz val="10"/>
        <rFont val="Calibri Light"/>
        <family val="2"/>
        <scheme val="major"/>
      </rPr>
      <t xml:space="preserve"> últimos 12 meses
"Ajuste_": todos, excepto 6 y D
Estado de afiliación "ACTIVO"</t>
    </r>
  </si>
  <si>
    <t>22/01/2026 Se adiciona fuente en el numerador.  05/12/2025 Se modifica meta del indicador Se ajusta la fuente del numerador y denominador para los casos reincidentes y se deja observación en el indicador. // 31/03/2025 Se ajustadefinición operativa, meta general y especial y el orden de la información de acuerdo a cada variable.  9/12/2024  Indicador nuevo.</t>
  </si>
  <si>
    <t>Tasa de notificación de personas con sospecha de violencia física, psicológica o sexual</t>
  </si>
  <si>
    <t>Población del denominador que ha sido notificada con evento 875 en el año en curso
Estado activo</t>
  </si>
  <si>
    <t>22/01/2026 Se ajusta fuente del numerador, periodo del denominador y meta.  05/12/2025 Se modifica cambio al nombre del indicador y  en la variable poblacion se deja solo "ACTIVA" en numerador.  //07/02/2025 Se ajusta denominador de población eliminando suspendido y se deja observación de indicador. 09/12-2024: hace relación a la incidencia del evento, amplificador 100.000, fuente adicional VBC. Es hijo del indicador 215, para que por favor se coloque coo 215A.</t>
  </si>
  <si>
    <t>22/01/2026 Se ajusta definición del numerador, fuente del numerado y poblacion del numerador omitiendo proceso de VBC, ajuste en periodo del denominador y meta (unidad de medida es 100,000 y el resultado no debe salir en porcentaje %)  05/12/2025 Se modifica meta del indicador Aprobado el cambio, con ajuste para que el dato del campo "Indicador Actividad" el dato a mostrar sea "No aplica" // 05/12/2025 Se aprueba mostrar el resultado de indicador en número, retirar (%) //07/02/2025 Se ajusta denominador de población eliminando suspendido y se deja observación de indicador. 27-11-2024: se crea indicador nuevo para medir la incidencia del evento; es hijo del indicador RPYMS218X, para que por favor se llame RPYMS218A.</t>
  </si>
  <si>
    <r>
      <t xml:space="preserve">Total de afiliados en donde este el MGE </t>
    </r>
    <r>
      <rPr>
        <sz val="10"/>
        <color rgb="FFFF0000"/>
        <rFont val="Calibri Light"/>
        <family val="2"/>
        <scheme val="major"/>
      </rPr>
      <t>(PIS y/o ACS)</t>
    </r>
    <r>
      <rPr>
        <sz val="10"/>
        <color theme="1"/>
        <rFont val="Calibri Light"/>
        <family val="2"/>
        <scheme val="major"/>
      </rPr>
      <t xml:space="preserve"> </t>
    </r>
  </si>
  <si>
    <r>
      <t>Número total de afiliados con VPS efectiva (cualquier tipo de visita: primera vez</t>
    </r>
    <r>
      <rPr>
        <sz val="10"/>
        <color rgb="FFFF0000"/>
        <rFont val="Calibri Light"/>
        <family val="2"/>
        <scheme val="major"/>
      </rPr>
      <t>, seguimiento o salud publica</t>
    </r>
    <r>
      <rPr>
        <sz val="10"/>
        <color theme="1"/>
        <rFont val="Calibri Light"/>
        <family val="2"/>
        <scheme val="major"/>
      </rPr>
      <t xml:space="preserve">) en cualquier momento de la vida </t>
    </r>
  </si>
  <si>
    <t xml:space="preserve">22/01/2026 Se modifica Definición de variable Numerador y Denominador, se ajusta curso de vida, de a VARIOS a TODOS y la fuente para numerador y denominador.  12/12/2025 Sin modificación 31/03/2025 Desde la coordinación de MGE ajustan meta de la siguiente manera:  RS:30%-RC:15% General 30% - Solo se evaluarán los municipios donde hay presencia de PIS - Aplica para RC y RS.  10/12/2024 1. se ajusta la meta así: Para regimen Contributivo tanto general como especial 20% y Regimen Subsidiado 20% para especial y medicion general 20% (Adriana y Esteban) 2. se realiza ajuste de la nota "para Regimen contributivo sera informativo y no se evaluara los municipios donde hay presencia de IPS Exclusivas y "Solo se evaluarán los municipios donde hay presencia de PIS - Aplica para RC y RS".
6/03/2024 Se ajusta la meta así: Para regimen Contributivo tanto general como especial 5% y Regimen Subsidiado 25% para especial y general:
</t>
  </si>
  <si>
    <t>22/01/2026  Cambio en la Definición operacional Indicador, definición de variable Numerador y Denominador, ajuste en Curso Vida de "varios" a "Primera infancia" y  se ajusta el Numerador y Denominador en la Fuente.  6/03/2024 Creación indicador nuevo evaluativo.</t>
  </si>
  <si>
    <t>22/01/2026  Cambio en la observación del indicador.  12/12/2025 Se ajusta en definición de variable en el Numerador, se modifica la fuente del numerador y se adiciona exclusión en el denominador.30/04/2025 Se ajusta Denominador del período.  23/12/2024 Redaccion observacion ind. 18/12/2024 Se ajusta definicion variable de numerador y denominador, se incluye en fuente numerador CUPS oftalmologia, se ajusto periodo en numerador de acuerdo a def de variable y se incluye regla de AGUDEZA VISUAL en observación del indicador. //9/12/2024: Indicador nuevo.</t>
  </si>
  <si>
    <t>22/01/2026  Cambio en la Definición operacional Indicador, cambio  en el denominador en la Fuente, de la población y ajuste en la observación del indicador.  12/12/2025 Sin modificación  30/04/2025 Se ajusta Denominador del período.  10/12/2024: Indicador nuevo</t>
  </si>
  <si>
    <t>22/01/2026 Cambio en la definición operacional Indicador, cambio en el denominador de la Fuente y en el de población y se ajusta la observación del indicador.  12/12/2025 Sin modificación  30/04/2025 Se ajusta Denominador del período.  10/12/2024: Indicador nuevo</t>
  </si>
  <si>
    <t>22/01/2026 Cambio Denominador en la Fuente.  12/12/2025 Sin modificación  30/04/2025 Se ajusta Denominador del período.  10/12/2024: Indicador nuevo</t>
  </si>
  <si>
    <t>22/01/2026 Cambio Denominador en la Población.  12/12/2025 Sin modificación   30/04/2025 Se ajusta Denominador del período.  10/12/2024: Indicador nuevo</t>
  </si>
  <si>
    <t>22/01/2026  Cambio en la definición operacional Indicador, se realizar ambio en el denominador de la Fuente y denominador de la Población, se ajusta observación del indicado  12/12/2025 Sin modificación  30/04/2025 Se ajusta Denominador del período.  31/03/2025 Se actualiza a ultima Resolución de Cups 2275/2023 en variable fuente.  10/12/2024: Indicador nuevo.</t>
  </si>
  <si>
    <t>22/01/2026  Cambio en Curso Vida de "varios" a "Primera infancia", acambio en el Numerador de la Definición de variable, cambio en el denominador de la Fuente y denominador de la Población, se incluye exclusión en el Denominador y  se ajusta la observación del indicador.  12/12/2025 Se ajusta la definición operacional Indicador, de igual forma se modifica el numerador y denominador en la definición de variables , el denominador de la FUENTE y el numerador y denomiador de la población. 30/04/2025 Se ajusta Denominador del período.  10/12/2024: Indicador nuevo</t>
  </si>
  <si>
    <t>22/01/2026  Cambio en la observación del indicador, ajuste en la Exclusión y ajuste en el denominador del periodo.  12/12/2025 Sin modificación  30/04/2025 Se ajusta Denominador del período.  18/12/2024 Se complementa deficion variable en numerador. //10/12/2024: Indicador nuevo</t>
  </si>
  <si>
    <t>22/01/2026 Cambio en la definición operacional, cambio en el denominador de la Población, ajuste en la observación del indicador, cambio en el Denominador y Numerador de la Definición de variable.  12/12/2025 Se ajusta definición del numerador y denominador, de igual forma se ajuste fuente del denominador y periodo del numerador, se deja condición en denominador de población y se deja observación del indicador. //30/04/2025 Se ajusta Denominador del período, Cambia Numerador en Población. //18/12/2024 Se complementa definicion variable numerador y denominador, se ajusta en periodo el denominador y en exclusiones se complementan CIE10. //10/12/2024: Indicador nuevo</t>
  </si>
  <si>
    <t>22/01/2026 Cambio en la observación del indicador, ajuaste en el Denominador del periodo.  12/12/2025 Sin modificación  30/04/2025 Se ajusta Denominador del período.  18/12/2024 Se ajusta deficion variable en numerador. //10/12/2024: Indicador nuevo</t>
  </si>
  <si>
    <t>22/01/2026  Cambio en Numerador y Denominador de la Fuente. 12/12/2025 Indicador nuevo</t>
  </si>
  <si>
    <t>23/01/2026: Se realiza ajuste aprobado de tipo de indicador que pasaría de informativo a evaluativo.  9/12/2024: se ajusta nombre del indicador; elementos de captura del numerador, y periodo, se mantiene meta. //9/12/2024: Revisar la forma de medición del indicador, la linea de base esta muy alta. EYAV</t>
  </si>
  <si>
    <t>23/01/2026 Se ajusta el indicador de tipo evaluativo a tipo informativo.  12/12/2025 Sin modificación  27/02/2024 Se describe la cohorte para toma del dato.  9/12/2024: se ajusta nombre del indicador; elementos de captura del numerador, y periodo.  //9/12/2024: Revisar la forma de medición del indicador, la linea de base esta muy alta. EYAV</t>
  </si>
  <si>
    <t>23/01/2026 Se ajusta definicion del denominador, se elimina exclusión de cancer, por lo descrito tambien en el ind S55X.  15/12/2025: Se ajusta definición operacional, numerador, denominador, población del denominador (deja de medir sobre edades y se concentra en hombres con tamizaje alterado),  puntaje, jxar// 11/03/2025 Se ajusta rango de edades en la fuente del denominador. 05/03/2025 Se ajusta nombre del indicador, Fuentes de numerador y denominador, y periodo del numerador y denominador.   18/12/2024 Se ajusta nombre y definicion operacional del ind, se complementa en definicion del denominador, en fuente se complementa numerador y se ajusta poblacion en numerador y denominador. //4/12/2024: indicador nuevo, EYAV.</t>
  </si>
  <si>
    <t>23/01/2026 Se ajusta definición del numerador y denominador, se ajusta fuente denominador.  12/12/2025 Se ajusta la redaccion de la fuente para el denominador, no es cervical, sino prostata, No hay cambio en la medición. //5/12/2024 Indicador nuevo, hijo del indicador RPYMS143X</t>
  </si>
  <si>
    <t>23/01/2026 Se ajusta definición del numerador y denominador, fuente del numerador y denominador.  12/12/2025 Se ajusta la redaccion de la fuente para el denominador, no es cervical, sino prostata, No hay cambio en la medición. //05/12/2024: Indicador nuevo EYAV</t>
  </si>
  <si>
    <t>23/01/2026 Se elimina exclusión de cancer,  ya que el sistema no tiene en cuenta fecha de DX por tanto no se podría saber cuando fue DX.  15/12/2025: se retira condicion de edad, eyav// 05/12/2024. Se agregan exclusiones al denomidador. Gabriel</t>
  </si>
  <si>
    <t>23/01/2026 Se ajusta denominador, se elimina exclusion, se ajusta fuente denominador.  12/12/2025 Se ajusta la redaccion de la fuente para el denominador, no es cervical, sino prostata, No hay cambio en la medición. //04/12/2024: Se agregan exlcusiones en el denominador. Gabriel// 3/05/2024. Es necesario ajustar el indicador a informativo y retirar los puntos según el ajuste que habían realizado en meses anteriores, pero que no se ha realizado el ajuste en la F.T, por lo que SIGIRES lo continua evaluando. "Se ajusta indicador a Informativo - es remplazado por indicador RPYMS388X"</t>
  </si>
  <si>
    <t>27/01/2026 Indicador se deja de evaluar para Metodologia 2026. y se crea el indicador  RPYMS496AX.  15/12/2025: se ajusta totalmente el indicador; se deja solo biopsia positiva). Eyav // 12/12/2025 Se ajusta meta. 9/12/2024: Indicador nuevo</t>
  </si>
  <si>
    <t>22/01/2026 Indicador se deja de evaluar para Metodologia 2026. y se crea el indicador  RPYMS488AX. 12/12/2025 Se realiza ajustes a la definición del numerador y denominador, fuente del denominador, periodo del denominador, población del denominador ya que a pesar de ser un indicador de cumplimiento, se debe tener en cuenta la frecuencia de la prueba del denominador, se adiciona filtros para el numerador para validaciones y se actualiza cohorte para validar indicador.  //14/01/2025 Ajustes en nombre de indicador, definicion operacional, definicion numerador, poblacion. 5/12/2024: Indicador nuevo. EYAV</t>
  </si>
  <si>
    <t>27/01/ 2026  SE ajusta fuente para el numeador.  23/01/2026 se REGISTRA codigo para el indicador.  16/12/2025 Indicador nuevo</t>
  </si>
  <si>
    <t>15/12/2025: revisado sin modificación.  9/12/2024: sin modificación</t>
  </si>
  <si>
    <t>15/12/2025: revisado sin modificación.  31/12/2024 De acuerdo al anexo 3 de la Resolucion 02717 del 2024 Ajuste UPC - la meta para ese indicador es del 65% y NEPS esta en el 65%, se deja. //05/12/24. Se ajusta meta de Res 2364 es de 65% linea de base de Nueva EPS para Gen: 5,9% - Esp: 4,3%, se ajusta según norma</t>
  </si>
  <si>
    <t>15/12/2025: revisado sin modificación.  5/12/2024 Indicador nuevo, hijo del indicador RPYMS129X</t>
  </si>
  <si>
    <t>15/12/2025: revisado sin modificación.  5/12/2024 Se ajusta: nombre del indicador, definición operacional, fuentes.</t>
  </si>
  <si>
    <t>15/12/2025: revisado sin modificación.  9/12/2024 Se retira indicador, ya que se mide desde el indicador RPYMS102X</t>
  </si>
  <si>
    <t>15/12/2025: revisado sin modificación.  9/12/2024: se ajusta definición operacional, definición de variables, periodo, Esteban Zamora</t>
  </si>
  <si>
    <t>15/12/2025: revisado sin modificación.  17-07-2024: Se realiza ajuste del tiempo de oportunidad, teniendo en cuenta el cambio de la fecha de cargue, cambia de 05 de mes anterior al 04 del mes evaluado.
15/05/2024: se ajusta aclaracion del indicador porque se evalua si alguno de los indicadores mencionados esta como evaluar en el FPS, no deben estar marcados todos para que si aplique la evaluacion.</t>
  </si>
  <si>
    <t xml:space="preserve">15/12/2025: revisado sin modificación.  12/10/2024 1. Se ajusta nombre del indicador y definición operacional; se realiza ajuste en los valores de la meta. 2. se realiza ajuste de la nota "para Regimen contributivo sera informativo y no se evaluara los municipios donde hay presencia de IPS Exclusivas; solo se evaluaran los municipios donde hay presencia de PIS" y queda "Solo se evaluarán los municipios donde hay presencia de PIS - Aplica para RC y RS".
3. se ajusta a indicador informativo por creación de nuevo indicador.
</t>
  </si>
  <si>
    <t>15/12/2025: revisado sin modificación.  09/12/2024: Se ajusta nombre y definición operacional del indicador; se ajusta meta.
6/03/2024: se realiza ajuste de la nota "para Regimen contributivo sera informativo y no se evaluara los municipios donde hay presencia de IPS Exclusivas; solo se evaluaran los municipios donde hay presencia de PIS" y queda "Solo se evaluarán los municipios donde hay presencia de PIS - Aplica para RC y RS". Adriana S.</t>
  </si>
  <si>
    <t>15/12/2025: revisado sin modificación.  09/12/2024: Se ajusta nombre y definición operacional del indicador; se ajusta meta.
6/03/2024. se realiza ajuste de la nota "para Regimen contributivo sera informativo y no se evaluara los municipios donde hay presencia de IPS Exclusivas; solo se evaluaran los municipios donde hay presencia de PIS" y queda "Solo se evaluarán los municipios donde hay presencia de PIS - Aplica para RC y RS". Sonia y Adriana S</t>
  </si>
  <si>
    <t>15/12/2025: revisado sin modificación.  9/12/2024: se ajusta nombre del indicador; elementos de captura del numerador, y periodo. Edwin P  9/12/2024: Revisar la forma de medición del indicador, la linea de base esta muy alta. EYAV</t>
  </si>
  <si>
    <t>15/12/2025: revisado sin modificación.  9/12/2024: se ajusta nombre del indicador; elementos de captura del numerador.  //9/12/2024: Revisar la forma de medición del indicador, la linea de base esta muy alta. EYAV</t>
  </si>
  <si>
    <t>15/12/2025: revisado sin modificación.  27/02/2024 Se describe la cohorte para toma del dato. 9/12/2024: se ajusta nombre del indicador; elementos de captura del numerador, y periodo.  //9/12/2024: Revisar la forma de medición del indicador, la linea de base esta muy alta. EYAV</t>
  </si>
  <si>
    <t>15/12/2025: revisado sin modificación.  27/02/2024 Se describe la cohorte para toma del dato.  9/12/2024: se ajusta nombre del indicador; elementos de captura del numerador, y periodo.  //9/12/2024: Revisar la forma de medición del indicador, la linea de base esta muy alta. EYAV</t>
  </si>
  <si>
    <t>15/12/2025: revisado sin modificación.  5/12/2024. Se ajusta meta por línea de base</t>
  </si>
  <si>
    <t>15/12/2025: revisado sin modificación.  18/12/2024 Se ajusta en definicion y en población el denominador, se complementa meta (indicador madre un cumplimiento del 27,4% y al ser nuevo se deja igual meta). //9/12/2024: Indicador nuevo MSPS-ACEMI</t>
  </si>
  <si>
    <t>23/01/2026  Indicador nuevo hijo del 496X, para el denominador  se cambia variable 99 por variable 100 de 202 ya que la 99 hace referencia a la fecha de toma y la 100 a la fecha del resultado.</t>
  </si>
  <si>
    <t>RPYMS626X</t>
  </si>
  <si>
    <t>RPYMS630X</t>
  </si>
  <si>
    <t>RPYMS631X</t>
  </si>
  <si>
    <t>RPYMS632X</t>
  </si>
  <si>
    <t>RPYMS633X</t>
  </si>
  <si>
    <t>RPYMS634X</t>
  </si>
  <si>
    <t>RPYMS635X</t>
  </si>
  <si>
    <t>RPYMS636X</t>
  </si>
  <si>
    <t>RPYMS637X</t>
  </si>
  <si>
    <t>RPYMS638X</t>
  </si>
  <si>
    <t>RPYMS639X</t>
  </si>
  <si>
    <t>RPYMS640X</t>
  </si>
  <si>
    <t>RPYMS641X</t>
  </si>
  <si>
    <t>RPYMS643X</t>
  </si>
  <si>
    <t>RPYMS644X</t>
  </si>
  <si>
    <t>RPYMS645X</t>
  </si>
  <si>
    <t>Cobertura de uso de metodo anticonceptivo en adolescentes</t>
  </si>
  <si>
    <r>
      <rPr>
        <sz val="10"/>
        <color rgb="FF000000"/>
        <rFont val="Calibri Light"/>
        <family val="2"/>
        <scheme val="major"/>
      </rPr>
      <t>Porcentaje de menores  entre 5</t>
    </r>
    <r>
      <rPr>
        <sz val="10"/>
        <color rgb="FFFF0000"/>
        <rFont val="Calibri Light"/>
        <family val="2"/>
        <scheme val="major"/>
      </rPr>
      <t xml:space="preserve"> meses</t>
    </r>
    <r>
      <rPr>
        <sz val="10"/>
        <color rgb="FF000000"/>
        <rFont val="Calibri Light"/>
        <family val="2"/>
        <scheme val="major"/>
      </rPr>
      <t xml:space="preserve"> a 11 meses y 29 dias  en los terrotorios en donde hay MGE con fecha de aplicación de tercera dosis de vacuna pentavalente posterior </t>
    </r>
    <r>
      <rPr>
        <sz val="10"/>
        <color rgb="FFFF0000"/>
        <rFont val="Calibri Light"/>
        <family val="2"/>
        <scheme val="major"/>
      </rPr>
      <t>o igual</t>
    </r>
    <r>
      <rPr>
        <sz val="10"/>
        <color rgb="FF000000"/>
        <rFont val="Calibri Light"/>
        <family val="2"/>
        <scheme val="major"/>
      </rPr>
      <t xml:space="preserve"> a la VPS</t>
    </r>
  </si>
  <si>
    <r>
      <t xml:space="preserve">Proporción de hombres con pruebas de tamizaje anormal a quienes se les realizó valoracion por Urologia </t>
    </r>
    <r>
      <rPr>
        <sz val="10"/>
        <color rgb="FFFF0000"/>
        <rFont val="Calibri Light"/>
        <family val="2"/>
        <scheme val="major"/>
      </rPr>
      <t>posterior al tamizaje</t>
    </r>
  </si>
  <si>
    <r>
      <t xml:space="preserve">Proporción de hombres tamizados con Tacto Rectal </t>
    </r>
    <r>
      <rPr>
        <sz val="10"/>
        <color rgb="FFFF0000"/>
        <rFont val="Calibri Light"/>
        <family val="2"/>
        <scheme val="major"/>
      </rPr>
      <t>en los ultimos 5 años</t>
    </r>
  </si>
  <si>
    <r>
      <rPr>
        <sz val="10"/>
        <color rgb="FF000000"/>
        <rFont val="Calibri Light"/>
        <family val="2"/>
        <scheme val="major"/>
      </rPr>
      <t xml:space="preserve">Cohorte de desnutrición:
</t>
    </r>
    <r>
      <rPr>
        <sz val="10"/>
        <color rgb="FF7030A0"/>
        <rFont val="Calibri Light"/>
        <family val="2"/>
        <scheme val="major"/>
      </rPr>
      <t xml:space="preserve">Evento 113: 
Fecha de consulta  (fec_con_): últimos 12 meses
"Ajuste_": todos, excepto 6 y D
Score P/T(zscore_pt): &lt; - 2DS o sin dato
"pac_hos_" = "2 y vacías"
</t>
    </r>
    <r>
      <rPr>
        <sz val="10"/>
        <color rgb="FF000000"/>
        <rFont val="Calibri Light"/>
        <family val="2"/>
        <scheme val="major"/>
      </rPr>
      <t xml:space="preserve">Estado: activo
</t>
    </r>
    <r>
      <rPr>
        <sz val="10"/>
        <color rgb="FF7030A0"/>
        <rFont val="Calibri Light"/>
        <family val="2"/>
        <scheme val="major"/>
      </rPr>
      <t xml:space="preserve">Cohorte DNT:
Variable "Interpretación Zscore_PT":  Peso adecuado para la talla o riesgo sobrepeso o sobrepeso u obesidad
Variable "Fecha de recuperación nutricional": Fecha válida menor o igual a 120 días a la fecha de la variable "Fecha Consulta"
Variable "Tiempo en dìas para la recuperaciòn nutricional": menor o igual a 120 días
</t>
    </r>
  </si>
  <si>
    <t xml:space="preserve">1. SIVIGILA  
Evento 113: 
Fecha de consulta  (fec_con_): últimos 12 meses
"Ajuste_": todos, excepto 6 y D
Score P/T(zscore_pt): &lt; - 2DS o sin dato
"pac_hos_" = "2 y vacías"
Estado: activo
</t>
  </si>
  <si>
    <t xml:space="preserve">1. SIVIGILA  
Evento 113: 
Fecha de consulta  (fec_con_): últimos 12 meses
"Ajuste_": todos, excepto 6 y D
Score P/T(zscore_pt): &lt; - 2DS o sin dato
"pac_hos_" = "2 y vacías"
Estado: activo
</t>
  </si>
  <si>
    <r>
      <t xml:space="preserve">Número de niños y niñas  de 0 a 59 meses con desnutrición aguda moderada o severa que registran al menos dos </t>
    </r>
    <r>
      <rPr>
        <sz val="10"/>
        <color rgb="FF7030A0"/>
        <rFont val="Calibri Light"/>
        <family val="2"/>
        <scheme val="major"/>
      </rPr>
      <t>atenciones</t>
    </r>
    <r>
      <rPr>
        <sz val="10"/>
        <rFont val="Calibri Light"/>
        <family val="2"/>
        <scheme val="major"/>
      </rPr>
      <t xml:space="preserve"> por medicina, enfermería o nutrición menor o igual 30 días posterior a la fecha</t>
    </r>
    <r>
      <rPr>
        <strike/>
        <sz val="10"/>
        <color rgb="FFFF0000"/>
        <rFont val="Calibri Light"/>
        <family val="2"/>
        <scheme val="major"/>
      </rPr>
      <t xml:space="preserve"> </t>
    </r>
    <r>
      <rPr>
        <sz val="10"/>
        <color rgb="FF7030A0"/>
        <rFont val="Calibri Light"/>
        <family val="2"/>
        <scheme val="major"/>
      </rPr>
      <t>de consulta registrada en SIVIGILA</t>
    </r>
    <r>
      <rPr>
        <sz val="10"/>
        <rFont val="Calibri Light"/>
        <family val="2"/>
        <scheme val="major"/>
      </rPr>
      <t xml:space="preserve">.
</t>
    </r>
    <r>
      <rPr>
        <sz val="10"/>
        <color rgb="FF7030A0"/>
        <rFont val="Calibri Light"/>
        <family val="2"/>
        <scheme val="major"/>
      </rPr>
      <t>SIVIGILA Evento 113: 
Fecha de consulta  (fec_con_): últimos 12 meses
"Ajuste_": todos, excepto 6 y D
Score P/T(zscore_pt): &lt; - 2DS o sin dato
"pac_hos_" = "2 y vacías"
Estado: activo
1. Cohorte de Desnutrición:
Variable "Fecha más reciente valoración de seguimiento ": Fecha válida menor o igual a 30 días a la fecha de la variable "Fecha Consulta"
Variable "Fecha anterior valoración de seguimiento": Fecha válida menor o igual a 30 días a la fecha de la variable "Fecha Consulta"
La fechas registradas en las dos variables anteriores deben ser diferentes y cumplir con ser menor o igual a 30 días a la fecha de la variable "Fecha Consulta"</t>
    </r>
  </si>
  <si>
    <t>Datos adicionales (oficiales de proceso interno de validación de casos de la fuente  BDUA - RUAF NV)</t>
  </si>
  <si>
    <t>Datos oficiales Cerificado por la Gerencia de Afiliaciones</t>
  </si>
  <si>
    <r>
      <t xml:space="preserve">Numero de </t>
    </r>
    <r>
      <rPr>
        <sz val="10"/>
        <color rgb="FFFF0000"/>
        <rFont val="Calibri Light"/>
        <family val="2"/>
        <scheme val="major"/>
      </rPr>
      <t>casos únicos de acuerdo con la definicion del protocolo del INS</t>
    </r>
    <r>
      <rPr>
        <sz val="10"/>
        <rFont val="Calibri Light"/>
        <family val="2"/>
        <scheme val="major"/>
      </rPr>
      <t xml:space="preserve"> que han sido notificadas en sivigila:
Fecha Consulta "fec_Not_": </t>
    </r>
    <r>
      <rPr>
        <strike/>
        <sz val="10"/>
        <color theme="1"/>
        <rFont val="Calibri Light"/>
        <family val="2"/>
        <scheme val="major"/>
      </rPr>
      <t xml:space="preserve"> </t>
    </r>
    <r>
      <rPr>
        <sz val="10"/>
        <color rgb="FFFF0000"/>
        <rFont val="Calibri Light"/>
        <family val="2"/>
        <scheme val="major"/>
      </rPr>
      <t>Año Vigente</t>
    </r>
    <r>
      <rPr>
        <sz val="10"/>
        <rFont val="Calibri Light"/>
        <family val="2"/>
        <scheme val="major"/>
      </rPr>
      <t xml:space="preserve">
Evento: 210 y 220 
"Ajuste_" Excepto: 6 o D o R </t>
    </r>
  </si>
  <si>
    <t>IPS primarias (capita, pgp, evento) que prestan servicios de PYMS y que requieren capacitacion.</t>
  </si>
  <si>
    <t>Capacitaciones a IPS primarias (capita, evento, pgp) que prestan servicios de PYMS y que registran fecha valida de Capacitacion (Cualquier tema).</t>
  </si>
  <si>
    <r>
      <t xml:space="preserve">Modulo Red
</t>
    </r>
    <r>
      <rPr>
        <sz val="10"/>
        <color rgb="FFFF0000"/>
        <rFont val="Calibri Light"/>
        <family val="2"/>
        <scheme val="major"/>
      </rPr>
      <t>1. Tomar como fuente de la base exportable del modulo de seguimiento a la red 1. "RedPrestadorTipoIntervencion Capacitaciones" y 2. tomar Año vigente y 3. Tomar fecha valida variable "Fecha ejecución" y 4. Tomar la variable "Tema específico" cualquier tema" y 5. tomar la variable "Soportes" que contenga soporte marcado como "SI", en caso de duplicidad de un mismo tema solo tomar uno (1) para evitar porcentajes superiores al 100%</t>
    </r>
  </si>
  <si>
    <r>
      <t>Modulo de Red IPS</t>
    </r>
    <r>
      <rPr>
        <strike/>
        <sz val="10"/>
        <rFont val="Calibri Light"/>
        <family val="2"/>
        <scheme val="major"/>
      </rPr>
      <t xml:space="preserve">
</t>
    </r>
    <r>
      <rPr>
        <sz val="10"/>
        <color rgb="FFFF0000"/>
        <rFont val="Calibri Light"/>
        <family val="2"/>
        <scheme val="major"/>
      </rPr>
      <t>1-IPS primarias que prestan servicios de PYMS y que requieren capacitacion cargadas en el modulo de carga de archivos maestra" cuya variabel "IPS contrato Activo" este marcado como "SI";</t>
    </r>
  </si>
  <si>
    <t>Proporción de niños menores de cinco años con Desnutrición Aguda, con entrega de FTLC</t>
  </si>
  <si>
    <t>Proporción de niños menores de cinco años con Desnutrición Aguda, con entrega de FTLC.</t>
  </si>
  <si>
    <r>
      <t>1. SIVIGILA  
Evento 113: 
Fecha de consulta  (fec_con_):</t>
    </r>
    <r>
      <rPr>
        <strike/>
        <sz val="10"/>
        <color rgb="FFFF0000"/>
        <rFont val="Calibri Light"/>
        <family val="2"/>
        <scheme val="major"/>
      </rPr>
      <t xml:space="preserve"> </t>
    </r>
    <r>
      <rPr>
        <sz val="10"/>
        <color rgb="FFFF0000"/>
        <rFont val="Calibri Light"/>
        <family val="2"/>
        <scheme val="major"/>
      </rPr>
      <t>año vigente</t>
    </r>
    <r>
      <rPr>
        <sz val="10"/>
        <rFont val="Calibri Light"/>
        <family val="2"/>
        <scheme val="major"/>
      </rPr>
      <t xml:space="preserve">
"Ajuste_": todos, excepto 6 y D
Score P/T(zscore_pt): &lt; - 2DS o sin dato
"pac_hos_" =   inlcuir todas las opciones de respuesta y los vaciós
Estado: activo</t>
    </r>
  </si>
  <si>
    <t xml:space="preserve">SIVIGILA
Evento: 875
"Ajuste_" Excepto: 6 o D o R
</t>
  </si>
  <si>
    <r>
      <rPr>
        <sz val="10"/>
        <color rgb="FF000000"/>
        <rFont val="Calibri Light"/>
        <family val="2"/>
        <scheme val="major"/>
      </rPr>
      <t>1-</t>
    </r>
    <r>
      <rPr>
        <strike/>
        <sz val="10"/>
        <color rgb="FFFF0000"/>
        <rFont val="Calibri Light"/>
        <family val="2"/>
        <scheme val="major"/>
      </rPr>
      <t xml:space="preserve"> </t>
    </r>
    <r>
      <rPr>
        <sz val="10"/>
        <color rgb="FFFF0000"/>
        <rFont val="Calibri Light"/>
        <family val="2"/>
        <scheme val="major"/>
      </rPr>
      <t>Módulo Carga de Archivos &gt; MGE &gt; PIS &gt; Visitas</t>
    </r>
    <r>
      <rPr>
        <sz val="10"/>
        <color rgb="FF000000"/>
        <rFont val="Calibri Light"/>
        <family val="2"/>
        <scheme val="major"/>
      </rPr>
      <t>.
2- AGUDEZA VISUAL ALTERADA:
R202
Variable 62: Fecha de valoración de agudeza visual
Variable 27: Agudeza visual lejana ojo izquierdo: Resultado 5, 6, 7, 8 o 9
Variable 28: Agudeza visual lejana ojo derecho: Resultado 5, 6, 7, 8 o 9</t>
    </r>
  </si>
  <si>
    <r>
      <rPr>
        <sz val="10"/>
        <color rgb="FF000000"/>
        <rFont val="Calibri Light"/>
        <family val="2"/>
        <scheme val="major"/>
      </rPr>
      <t xml:space="preserve">Numero de menores  </t>
    </r>
    <r>
      <rPr>
        <sz val="10"/>
        <color rgb="FFFF0000"/>
        <rFont val="Calibri Light"/>
        <family val="2"/>
        <scheme val="major"/>
      </rPr>
      <t>entre los</t>
    </r>
    <r>
      <rPr>
        <sz val="10"/>
        <color rgb="FF000000"/>
        <rFont val="Calibri Light"/>
        <family val="2"/>
        <scheme val="major"/>
      </rPr>
      <t xml:space="preserve"> 5 a 11 meses y 29 dias que registran VPS en el periodo a evaluar, y que no cuentan con </t>
    </r>
    <r>
      <rPr>
        <sz val="10"/>
        <color rgb="FFFF0000"/>
        <rFont val="Calibri Light"/>
        <family val="2"/>
        <scheme val="major"/>
      </rPr>
      <t xml:space="preserve">vacuna de tercera dosis de pentavalente </t>
    </r>
    <r>
      <rPr>
        <sz val="10"/>
        <color rgb="FF000000"/>
        <rFont val="Calibri Light"/>
        <family val="2"/>
        <scheme val="major"/>
      </rPr>
      <t>vigente al mes evaluado</t>
    </r>
  </si>
  <si>
    <r>
      <rPr>
        <sz val="10"/>
        <color rgb="FFFF0000"/>
        <rFont val="Calibri Light"/>
        <family val="2"/>
        <scheme val="major"/>
      </rPr>
      <t>Número total de personas entre 50 y 75 años, 
Edad calculada a la toma del tamizaje (SOMFI o Colonoscopia) a quienes se les ha realizado una SOMFI o colonoscopia en el año vigente</t>
    </r>
    <r>
      <rPr>
        <sz val="10"/>
        <color theme="1"/>
        <rFont val="Calibri Light"/>
        <family val="2"/>
        <scheme val="major"/>
      </rPr>
      <t>.</t>
    </r>
  </si>
  <si>
    <t>Total de personas entre 29 y 59 años cumplidos a la fecha de corte y afiliados al SGSSS</t>
  </si>
  <si>
    <t>Total de personas igual o mayor a 60 años cumplidos a la fecha de corte y afiliados al SGSSS</t>
  </si>
  <si>
    <r>
      <rPr>
        <sz val="10"/>
        <color rgb="FF000000"/>
        <rFont val="Calibri Light"/>
        <family val="2"/>
        <scheme val="major"/>
      </rPr>
      <t>Genero femenino
Periodo:</t>
    </r>
    <r>
      <rPr>
        <strike/>
        <sz val="10"/>
        <color rgb="FFFF0000"/>
        <rFont val="Calibri Light"/>
        <family val="2"/>
        <scheme val="major"/>
      </rPr>
      <t xml:space="preserve">
</t>
    </r>
    <r>
      <rPr>
        <sz val="10"/>
        <color rgb="FF000000"/>
        <rFont val="Calibri Light"/>
        <family val="2"/>
        <scheme val="major"/>
      </rPr>
      <t xml:space="preserve">Mujeres entre 25 y </t>
    </r>
    <r>
      <rPr>
        <sz val="10"/>
        <color rgb="FFFF0000"/>
        <rFont val="Calibri Light"/>
        <family val="2"/>
        <scheme val="major"/>
      </rPr>
      <t>30</t>
    </r>
    <r>
      <rPr>
        <sz val="10"/>
        <color rgb="FF000000"/>
        <rFont val="Calibri Light"/>
        <family val="2"/>
        <scheme val="major"/>
      </rPr>
      <t xml:space="preserve"> años
Resultado de citologia ASCUS 
Fecha de toma de </t>
    </r>
    <r>
      <rPr>
        <sz val="10"/>
        <color rgb="FFFF0000"/>
        <rFont val="Calibri Light"/>
        <family val="2"/>
        <scheme val="major"/>
      </rPr>
      <t xml:space="preserve">Fecha mas reciente de Toma de ADN VPH </t>
    </r>
    <r>
      <rPr>
        <sz val="10"/>
        <color rgb="FF000000"/>
        <rFont val="Calibri Light"/>
        <family val="2"/>
        <scheme val="major"/>
      </rPr>
      <t>hasta 8 meses posteriores a la fecha del resultado de citologia</t>
    </r>
  </si>
  <si>
    <r>
      <rPr>
        <sz val="10"/>
        <color rgb="FF000000"/>
        <rFont val="Calibri Light"/>
        <family val="2"/>
        <scheme val="major"/>
      </rPr>
      <t xml:space="preserve">Genero femenino
Periodo: </t>
    </r>
    <r>
      <rPr>
        <strike/>
        <sz val="10"/>
        <color rgb="FF000000"/>
        <rFont val="Calibri Light"/>
        <family val="2"/>
        <scheme val="major"/>
      </rPr>
      <t xml:space="preserve"> </t>
    </r>
    <r>
      <rPr>
        <sz val="10"/>
        <color rgb="FFFF0000"/>
        <rFont val="Calibri Light"/>
        <family val="2"/>
        <scheme val="major"/>
      </rPr>
      <t xml:space="preserve">24 meses atras
</t>
    </r>
    <r>
      <rPr>
        <sz val="10"/>
        <color rgb="FF000000"/>
        <rFont val="Calibri Light"/>
        <family val="2"/>
        <scheme val="major"/>
      </rPr>
      <t xml:space="preserve">Mujeres entre 25 y </t>
    </r>
    <r>
      <rPr>
        <sz val="10"/>
        <color rgb="FFFF0000"/>
        <rFont val="Calibri Light"/>
        <family val="2"/>
        <scheme val="major"/>
      </rPr>
      <t>30</t>
    </r>
    <r>
      <rPr>
        <sz val="10"/>
        <color rgb="FF000000"/>
        <rFont val="Calibri Light"/>
        <family val="2"/>
        <scheme val="major"/>
      </rPr>
      <t xml:space="preserve"> años
Resultado de citologia ASCUS</t>
    </r>
    <r>
      <rPr>
        <sz val="10"/>
        <color rgb="FFFF0000"/>
        <rFont val="Calibri Light"/>
        <family val="2"/>
        <scheme val="major"/>
      </rPr>
      <t xml:space="preserve"> Fecha anterior de Toma de Citologia</t>
    </r>
  </si>
  <si>
    <r>
      <rPr>
        <sz val="10"/>
        <color rgb="FF000000"/>
        <rFont val="Calibri Light"/>
        <family val="2"/>
        <scheme val="major"/>
      </rPr>
      <t xml:space="preserve">Proporción de mujeres entre 25 y </t>
    </r>
    <r>
      <rPr>
        <b/>
        <sz val="10"/>
        <color rgb="FFFF0000"/>
        <rFont val="Calibri Light"/>
        <family val="2"/>
        <scheme val="major"/>
      </rPr>
      <t xml:space="preserve">29 </t>
    </r>
    <r>
      <rPr>
        <sz val="10"/>
        <color rgb="FF000000"/>
        <rFont val="Calibri Light"/>
        <family val="2"/>
        <scheme val="major"/>
      </rPr>
      <t xml:space="preserve"> años con resultado de citología ASC-US, con toma de prueba de ADN VPH posterior</t>
    </r>
  </si>
  <si>
    <t>1. Tomar la base exportable del modulo de seguimiento a la red 1. "RedPrestadorTipoIntervencion Asistencia técnica" y 2. tomar Año vigente y 3. Tomar fecha valida variable "Fecha ejecución" y 4. Tomar la variable "Tema específico" con el nombre de "Visita anual formato de seguimiento integral IPS" y 5. tomar la variable "Soportes" que contenga soporte marcado como "SI"</t>
  </si>
  <si>
    <r>
      <t xml:space="preserve">Resolución 202:
- Variable 86: opción 1 
- Variable 87: fecha valida de citologia ultimos </t>
    </r>
    <r>
      <rPr>
        <sz val="10"/>
        <color rgb="FFFF0000"/>
        <rFont val="Calibri Light"/>
        <family val="2"/>
        <scheme val="major"/>
      </rPr>
      <t xml:space="preserve">24 </t>
    </r>
    <r>
      <rPr>
        <sz val="10"/>
        <rFont val="Calibri Light"/>
        <family val="2"/>
        <scheme val="major"/>
      </rPr>
      <t>meses incluyendo el mes evaluado
- Variable 88 resultado: opcion 1</t>
    </r>
  </si>
  <si>
    <t>1-IPS primarias que prestan servicios de PYMS y que requieren asistencia técnica cargadas en el modulo de carga de archivos maestra" cuya variabel "IPS contrato Activo" este marcado como "SI"; y calcular la sumatoria de la poblacion de regimen contributivo y subsidiado segun la poblacion asignada mes a mes empezando por diciembre de 2025 asi:
1- &gt;500 usurios - frecuencia año de *1 año
2- (501 - 4.999 usuarios; calcular frecuencia año de *2 año  
3- (501 - 4.999 usuarios; calcular frecuencia año de *3 año  
4. (&gt;10,000 usuarios; calcular frecuencia año de *4 año</t>
  </si>
  <si>
    <t>1-IPS primarias que prestan servicios de PYMS y que requieren capacitacion cargadas en el modulo de carga de archivos maestra" cuya variabel "IPS contrato Activo" este marcado como "SI"; para IPS variable  "Tipo de Contratacion" "cápita yPago Global Prospectivo" se calcula una vez * 8 año)</t>
  </si>
  <si>
    <r>
      <t xml:space="preserve">IPS primarias de la red de Nueva EPS que prestan servicios de PYMS </t>
    </r>
    <r>
      <rPr>
        <sz val="10"/>
        <color rgb="FFFF0000"/>
        <rFont val="Calibri Light"/>
        <family val="2"/>
        <scheme val="major"/>
      </rPr>
      <t>y que son objeto de adherencia a guias, el valor será dividido por 12 y multiplicado por el mes evaluado</t>
    </r>
  </si>
  <si>
    <t>Total de IPS primarias que prestan servicios de PYMS (cápita y PGP)  y que son objeto de adherencia a guías, calculando las visitas a realizar por tema obligatorio Resolución 4505 de 2012 / 202 de 2021,  DT cáncer cuello uterino, DT cáncer mama, infancia-primera infancia ; el valor será  Dividido en 12 y multiplicado por mes a evaluar</t>
  </si>
  <si>
    <t>Número de adherencia realizadas de eventos obligatorios por IPS primarias que prestan servicios de PYMS (cápita y PGP) con fecha valida (Año Vigente) temas: "Resolución 4505 de 2012 / 202 de 2021,  DT cáncer cuello uterino, DT cáncer mama,DT cancer próstata, DT cancer colorrectal,,Primera infancia (0 a 5 años) e Infancia (6 a 11 años),salud oral, vacunacion, Ruta Materno perinata</t>
  </si>
  <si>
    <r>
      <t>Valoraciones de medicina, medicina familiar, medicina interna o enfermer</t>
    </r>
    <r>
      <rPr>
        <sz val="10"/>
        <color rgb="FFFF0000"/>
        <rFont val="Calibri Light"/>
        <family val="2"/>
        <scheme val="major"/>
      </rPr>
      <t>í</t>
    </r>
    <r>
      <rPr>
        <sz val="10"/>
        <rFont val="Calibri Light"/>
        <family val="2"/>
        <scheme val="major"/>
      </rPr>
      <t xml:space="preserve">a durante los siguientes </t>
    </r>
    <r>
      <rPr>
        <sz val="10"/>
        <color rgb="FFFF0000"/>
        <rFont val="Calibri Light"/>
        <family val="2"/>
        <scheme val="major"/>
      </rPr>
      <t>90 días, posterior o igual a la fecha de la VPS.</t>
    </r>
  </si>
  <si>
    <r>
      <t xml:space="preserve">Afiliados que fueron valorados en el servicio de salud, (medicina gral, medicina familiar, medicina interna, o enfermería), en los siguientes  </t>
    </r>
    <r>
      <rPr>
        <b/>
        <sz val="10"/>
        <color rgb="FFFF0000"/>
        <rFont val="Calibri Light"/>
        <family val="2"/>
        <scheme val="major"/>
      </rPr>
      <t>90 días,</t>
    </r>
    <r>
      <rPr>
        <sz val="10"/>
        <rFont val="Calibri Light"/>
        <family val="2"/>
        <scheme val="major"/>
      </rPr>
      <t xml:space="preserve"> incluyendo fecha de VPS</t>
    </r>
  </si>
  <si>
    <t>Mujeres del denominadoor
Mujeres entre 25 y 29 años
Resultado de ultima citologia ASCUS 
Fecha mas reciente de Toma de ADN VPH hasta 8 meses posteriores a la fecha del tamizaje de citologia</t>
  </si>
  <si>
    <r>
      <t xml:space="preserve">Mujeres entre 50 y 69 años
Periodo: 12 meses atrás incluido el mes evaluado
Resultado de biopsia de mama positiva
Fecha de consulta por psicologia posterior a la fecha del resultado de </t>
    </r>
    <r>
      <rPr>
        <strike/>
        <sz val="10"/>
        <color theme="1"/>
        <rFont val="Calibri Light"/>
        <family val="2"/>
        <scheme val="major"/>
      </rPr>
      <t xml:space="preserve"> </t>
    </r>
    <r>
      <rPr>
        <sz val="10"/>
        <color theme="1"/>
        <rFont val="Calibri Light"/>
        <family val="2"/>
        <scheme val="major"/>
      </rPr>
      <t xml:space="preserve">biopsia de mama
</t>
    </r>
  </si>
  <si>
    <t xml:space="preserve">Total de afiliados que registran aplicación de Fiebre Amarilla
Edad a la fecha valida  de aplicación de dosis unica de fiebre amarilla </t>
  </si>
  <si>
    <t>Población del denominador que ha sido notificada con evento 356 en el año en curso 
Estado activo</t>
  </si>
  <si>
    <t xml:space="preserve">Población del denominador que ha sido notificada con evento 356 </t>
  </si>
  <si>
    <t>Población del denominador que ha sido notificada con evento 875</t>
  </si>
  <si>
    <t>Población notificada con evento 875 - Cohorte Violencia sexual
Estado activo</t>
  </si>
  <si>
    <t>Población notificada con evento 875 - Cohorte Violencia sexual
Estado activo</t>
  </si>
  <si>
    <r>
      <t xml:space="preserve">Población denominador con registro de atención por profesional de salud:
*Menor o igual a 90 días a la variable "fecha de consulta"  de la cohorte que corresponde a fecha registrada en SIVIGILA
</t>
    </r>
    <r>
      <rPr>
        <strike/>
        <sz val="10"/>
        <color rgb="FF000000"/>
        <rFont val="Calibri Light"/>
        <family val="2"/>
        <scheme val="major"/>
      </rPr>
      <t xml:space="preserve">
</t>
    </r>
    <r>
      <rPr>
        <sz val="10"/>
        <color rgb="FF000000"/>
        <rFont val="Calibri Light"/>
        <family val="2"/>
        <scheme val="major"/>
      </rPr>
      <t>*Menor o igual a 90 días de la "fecha de la consulta" si la fuente es RIPS</t>
    </r>
    <r>
      <rPr>
        <strike/>
        <sz val="10"/>
        <color rgb="FF000000"/>
        <rFont val="Calibri Light"/>
        <family val="2"/>
        <scheme val="major"/>
      </rPr>
      <t xml:space="preserve">
</t>
    </r>
    <r>
      <rPr>
        <sz val="10"/>
        <color rgb="FF000000"/>
        <rFont val="Calibri Light"/>
        <family val="2"/>
        <scheme val="major"/>
      </rPr>
      <t xml:space="preserve">
Estado activo </t>
    </r>
  </si>
  <si>
    <t>Población notificada con evento 875 - Cohorte Violencia No sexual
Estado activo</t>
  </si>
  <si>
    <r>
      <t>Población denominador con registro de atención por profesional de PSICOLOGÍA o PSIQUIATRÍA:
*Menor o igual a</t>
    </r>
    <r>
      <rPr>
        <sz val="10"/>
        <color theme="1"/>
        <rFont val="Calibri Light"/>
        <family val="2"/>
        <scheme val="major"/>
      </rPr>
      <t xml:space="preserve"> 90 días </t>
    </r>
    <r>
      <rPr>
        <sz val="10"/>
        <rFont val="Calibri Light"/>
        <family val="2"/>
        <scheme val="major"/>
      </rPr>
      <t>a la variable "fecha de consulta"  de la cohorte que corresponde a fecha registrada en SIVIGILA
*Menor o igual a</t>
    </r>
    <r>
      <rPr>
        <sz val="10"/>
        <color theme="1"/>
        <rFont val="Calibri Light"/>
        <family val="2"/>
        <scheme val="major"/>
      </rPr>
      <t xml:space="preserve"> 90 días  </t>
    </r>
    <r>
      <rPr>
        <sz val="10"/>
        <rFont val="Calibri Light"/>
        <family val="2"/>
        <scheme val="major"/>
      </rPr>
      <t xml:space="preserve">de la "fecha de la consulta" si la fuente es RIPS
Estado activo </t>
    </r>
  </si>
  <si>
    <t>Población notificada con evento 356 - Cohorte intento de suicidio
Estado activo</t>
  </si>
  <si>
    <t xml:space="preserve">Población denominador con registro de atención por profesional de PSICOLOGÍA o PSIQUIATRÍA:
*Menor o igual a 90 días  a la variable "fecha de consulta"  de la cohorte que corresponde a fecha registrada en SIVIGILA
*Menor o igual a 90 días  de la "fecha de la consulta" si la fuente es RIPS
Estado activo </t>
  </si>
  <si>
    <t>Población denominador con registro de atención por profesional de PSICOLOGÍA o PSIQUIATRÍA:
*Menor o igual a 90 días a la variable "fecha de consulta"  de la cohorte que corresponde a fecha registrada en SIVIGILA
*Menor o igual a 90 días   de la "fecha de la consulta" si la fuente es RIPS
Estado activo</t>
  </si>
  <si>
    <r>
      <rPr>
        <sz val="10"/>
        <color rgb="FF000000"/>
        <rFont val="Calibri Light"/>
        <family val="2"/>
        <scheme val="major"/>
      </rPr>
      <t xml:space="preserve">Población notificada con evento 365 - Cohorte intoxicaciones por SPA
"Ajuste_" Excepto: 6 o D o R
"grupo_sust": opción 8
"tipo_exp": 9 y 10
Estado activo </t>
    </r>
    <r>
      <rPr>
        <strike/>
        <sz val="10"/>
        <color rgb="FFFF0000"/>
        <rFont val="Calibri Light"/>
        <family val="2"/>
        <scheme val="major"/>
      </rPr>
      <t xml:space="preserve">
</t>
    </r>
    <r>
      <rPr>
        <sz val="10"/>
        <color rgb="FF000000"/>
        <rFont val="Calibri Light"/>
        <family val="2"/>
        <scheme val="major"/>
      </rPr>
      <t xml:space="preserve">
</t>
    </r>
  </si>
  <si>
    <t xml:space="preserve">Población denominador con registro de atención por profesional de PSICOLOGÍA o PSIQUIATRÍA:
*Menor o igual a 90 días  a la variable "fecha de consulta"  de la cohorte que corresponde a fecha registrada en SIVIGILA
*Menor o igual a 90 días   de la "fecha de la consulta" si la fuente es RIPS
Estado activo </t>
  </si>
  <si>
    <r>
      <t xml:space="preserve">Mujeres de 25 a </t>
    </r>
    <r>
      <rPr>
        <sz val="10"/>
        <color rgb="FFFF0000"/>
        <rFont val="Calibri Light"/>
        <family val="2"/>
        <scheme val="major"/>
      </rPr>
      <t>30</t>
    </r>
    <r>
      <rPr>
        <sz val="10"/>
        <rFont val="Calibri Light"/>
        <family val="2"/>
        <scheme val="major"/>
      </rPr>
      <t xml:space="preserve"> </t>
    </r>
    <r>
      <rPr>
        <strike/>
        <sz val="10"/>
        <rFont val="Calibri Light"/>
        <family val="2"/>
        <scheme val="major"/>
      </rPr>
      <t xml:space="preserve"> </t>
    </r>
    <r>
      <rPr>
        <sz val="10"/>
        <rFont val="Calibri Light"/>
        <family val="2"/>
        <scheme val="major"/>
      </rPr>
      <t xml:space="preserve">años activas BDUA, con resultado de citologia ASCUS.
 </t>
    </r>
    <r>
      <rPr>
        <sz val="10"/>
        <color rgb="FFFF0000"/>
        <rFont val="Calibri Light"/>
        <family val="2"/>
        <scheme val="major"/>
      </rPr>
      <t>24</t>
    </r>
    <r>
      <rPr>
        <sz val="10"/>
        <rFont val="Calibri Light"/>
        <family val="2"/>
        <scheme val="major"/>
      </rPr>
      <t xml:space="preserve">meses atrás </t>
    </r>
    <r>
      <rPr>
        <sz val="10"/>
        <color rgb="FFFF0000"/>
        <rFont val="Calibri Light"/>
        <family val="2"/>
        <scheme val="major"/>
      </rPr>
      <t>sin incluir el peridodo a evaluar</t>
    </r>
  </si>
  <si>
    <t xml:space="preserve"> Se debe descontar del denominador los usuarios que en la variable "ajuste" del reporte de SIVIGILA registre: "6","D"</t>
  </si>
  <si>
    <t xml:space="preserve">Activos  hombres y mujeres de 50 a 75 años
</t>
  </si>
  <si>
    <t xml:space="preserve">IPS Primaria 
Se considera recuperación nutricional, que el niño cambie de clasificación nutricional, según indicador Peso para la Talla/ longitud. En adecuado </t>
  </si>
  <si>
    <t>Población actual al mes a evaluar activos y nuevos
Hombres entre 40 y 49 años /raza negra</t>
  </si>
  <si>
    <t>Variable:
Población actual al mes a evaluar activos y nuevos
18 a 28 años</t>
  </si>
  <si>
    <t>Variable:
Población actual al mes a evaluar activos y nuevos
18 años y más</t>
  </si>
  <si>
    <r>
      <t xml:space="preserve">Variable:
Población actual al mes a evaluar activos y nuevos
</t>
    </r>
    <r>
      <rPr>
        <strike/>
        <sz val="10"/>
        <color theme="1"/>
        <rFont val="Calibri Light"/>
        <family val="2"/>
        <scheme val="major"/>
      </rPr>
      <t xml:space="preserve">
</t>
    </r>
    <r>
      <rPr>
        <sz val="10"/>
        <color theme="1"/>
        <rFont val="Calibri Light"/>
        <family val="2"/>
        <scheme val="major"/>
      </rPr>
      <t>29 a 59 años</t>
    </r>
  </si>
  <si>
    <t>Variable:
Población actual al mes a evaluar activos y nuevos
60 años y más</t>
  </si>
  <si>
    <r>
      <t xml:space="preserve">Variable:
Población actual al mes a evaluar activos y nuevos
</t>
    </r>
    <r>
      <rPr>
        <strike/>
        <sz val="10"/>
        <color theme="1"/>
        <rFont val="Calibri Light"/>
        <family val="2"/>
        <scheme val="major"/>
      </rPr>
      <t xml:space="preserve">
</t>
    </r>
    <r>
      <rPr>
        <sz val="10"/>
        <color theme="1"/>
        <rFont val="Calibri Light"/>
        <family val="2"/>
        <scheme val="major"/>
      </rPr>
      <t>18 años y más</t>
    </r>
  </si>
  <si>
    <t xml:space="preserve"> se modifica a informativo y el 316X cobertura en Gestantes se pasa a evaluativo.
Para el numerador en los indicadores de cobertura se toma la misma población del denominador (los del den que cumplan con la actividad)</t>
  </si>
  <si>
    <r>
      <t xml:space="preserve">Población denominador
Registró de Vacunación contra Fiebre amarilla
Edad a la fecha aplciacion  </t>
    </r>
    <r>
      <rPr>
        <sz val="10"/>
        <color rgb="FFFF0000"/>
        <rFont val="Calibri Light"/>
        <family val="2"/>
        <scheme val="major"/>
      </rPr>
      <t>de 9 meses y mas</t>
    </r>
  </si>
  <si>
    <t>Población actual al mes a evaluar activos y nuevos
12 años  a 17 años</t>
  </si>
  <si>
    <t>Población actual al mes a evaluar activos y nuevos
Entre 18 años y 28 años</t>
  </si>
  <si>
    <t>Población actual al mes a evaluar activos y nuevos
29 años y 59 años</t>
  </si>
  <si>
    <r>
      <rPr>
        <sz val="10"/>
        <color rgb="FF000000"/>
        <rFont val="Calibri Light"/>
        <family val="2"/>
        <scheme val="major"/>
      </rPr>
      <t xml:space="preserve"> </t>
    </r>
    <r>
      <rPr>
        <sz val="10"/>
        <color rgb="FFFF0000"/>
        <rFont val="Calibri Light"/>
        <family val="2"/>
        <scheme val="major"/>
      </rPr>
      <t xml:space="preserve">24 </t>
    </r>
    <r>
      <rPr>
        <sz val="10"/>
        <color rgb="FF000000"/>
        <rFont val="Calibri Light"/>
        <family val="2"/>
        <scheme val="major"/>
      </rPr>
      <t xml:space="preserve">meses atrás </t>
    </r>
    <r>
      <rPr>
        <sz val="10"/>
        <color rgb="FFFF0000"/>
        <rFont val="Calibri Light"/>
        <family val="2"/>
        <scheme val="major"/>
      </rPr>
      <t>sin</t>
    </r>
    <r>
      <rPr>
        <sz val="10"/>
        <color rgb="FF000000"/>
        <rFont val="Calibri Light"/>
        <family val="2"/>
        <scheme val="major"/>
      </rPr>
      <t xml:space="preserve"> i</t>
    </r>
    <r>
      <rPr>
        <sz val="10"/>
        <color rgb="FFFF0000"/>
        <rFont val="Calibri Light"/>
        <family val="2"/>
        <scheme val="major"/>
      </rPr>
      <t>ncluir el mes a evaluar</t>
    </r>
  </si>
  <si>
    <t>Proporción de personas con tamizaje y reporte de biopsias alterados para cancer colorrectal y que cumplen con la oportunidad del resultado de la biopsia</t>
  </si>
  <si>
    <t xml:space="preserve">La fecha del tamizaje positivo mas reciente para citología y  ADN VPH en el año vigente </t>
  </si>
  <si>
    <t>892901
898001 - 898015
908890
892904</t>
  </si>
  <si>
    <r>
      <rPr>
        <sz val="10"/>
        <color rgb="FFFF0000"/>
        <rFont val="Calibri Light"/>
        <family val="2"/>
        <scheme val="major"/>
      </rPr>
      <t>Datos oficiales de proceso interno de validación de casos de la fuente SIVIGILA Evento 591 Datos básicos y complementarios</t>
    </r>
    <r>
      <rPr>
        <sz val="10"/>
        <color rgb="FF7030A0"/>
        <rFont val="Calibri Light"/>
        <family val="2"/>
        <scheme val="major"/>
      </rPr>
      <t xml:space="preserve">
</t>
    </r>
  </si>
  <si>
    <r>
      <rPr>
        <sz val="10"/>
        <color rgb="FFFF0000"/>
        <rFont val="Calibri Light"/>
        <family val="2"/>
        <scheme val="major"/>
      </rPr>
      <t>Datos oficiales de proceso interno de validación de casos de la fuente SIVIGILA Evento 580 Datos básicos y complementarios "Ajuste_" Excepto: 6 o D o R</t>
    </r>
    <r>
      <rPr>
        <strike/>
        <sz val="10"/>
        <color rgb="FFFF0000"/>
        <rFont val="Calibri Light"/>
        <family val="2"/>
        <scheme val="major"/>
      </rPr>
      <t xml:space="preserve">
</t>
    </r>
  </si>
  <si>
    <r>
      <rPr>
        <sz val="10"/>
        <color rgb="FFFF0000"/>
        <rFont val="Calibri Light"/>
        <family val="2"/>
        <scheme val="major"/>
      </rPr>
      <t>Datos oficiales de proceso interno de validación de casos de la fuente SIVIGILA Evento 210 y 220  Datos básicos y complementarios "Ajuste_" Excepto: 6 o D o R</t>
    </r>
    <r>
      <rPr>
        <strike/>
        <sz val="10"/>
        <color rgb="FFFF0000"/>
        <rFont val="Calibri Light"/>
        <family val="2"/>
        <scheme val="major"/>
      </rPr>
      <t xml:space="preserve">
</t>
    </r>
  </si>
  <si>
    <t>Datos oficiales de proceso interno de validación de casos de la fuente SIVIGILA Evento 560 Datos básicos y complementarios</t>
  </si>
  <si>
    <r>
      <rPr>
        <sz val="10"/>
        <color rgb="FFFF0000"/>
        <rFont val="Calibri Light"/>
        <family val="2"/>
        <scheme val="major"/>
      </rPr>
      <t>Datos oficiales de proceso interno de validación de casos de la fuente SIVIGILA Evento 560 Datos básicos y complementarios</t>
    </r>
    <r>
      <rPr>
        <strike/>
        <sz val="10"/>
        <color rgb="FFFF0000"/>
        <rFont val="Calibri Light"/>
        <family val="2"/>
        <scheme val="major"/>
      </rPr>
      <t xml:space="preserve">
</t>
    </r>
  </si>
  <si>
    <t>Personas de la cohorte de Intento de suicidio que cuentan con:
Cualquiera de las fecha consulta por psicología o psiquiatría menor o igual a a 90 días posterior a:
*Variable "fecha de consulta"  de la cohorte que corresponde a fecha registrada en SIVIGILA</t>
  </si>
  <si>
    <t xml:space="preserve">Personas de la cohorte de Violencia No Sexual que cuentan con:
Fecha consulta por Psicología o psiquiatría menor o igual a 90 días posterior a:
*Variable "fecha de consulta"  de la cohorte que corresponde a fecha registrada en SIVIGILA
</t>
  </si>
  <si>
    <t>Personas de la cohorte de Violencia Sexual que cuentan con:
Cualquiera de las fecha consulta por psicología o psiquiatría menor o igual a menor o igual a 90 días posterior a la variable "fecha de consulta"  de la cohorte que corresponde a fecha registrada en SIVIGILA o  de la fecha de prestación si la fuente es RIPS</t>
  </si>
  <si>
    <t>Personas de la cohorte de Violencia Sexual que cuentan con
Atención por medicina: cualquiera de las fechas consulta por medicina  menor o igual a 90 días posterior a:
* Variable "fecha de consulta"  de la cohorte que corresponde a fecha registrada en SIVIGILA
*Fecha de "consulta" si la fuente es RIPS</t>
  </si>
  <si>
    <t>Personas de la cohorte de Intoxicaciones pos SPA que cuentan con:
Fecha consulta por Psicología o psiquiatría menor o igual a 90 días posterior a:
* Fecha de identificación del caso del proceso de VBC (Vigilancia Basada en Comunidad)</t>
  </si>
  <si>
    <r>
      <rPr>
        <sz val="10"/>
        <color rgb="FFFF0000"/>
        <rFont val="Calibri Light"/>
        <family val="2"/>
        <scheme val="major"/>
      </rPr>
      <t>Datos oficiales de proceso interno de validación de casos de la fuente SIVIGILA Evento 210 y 220  Datos básicos y complementarios "Ajuste_" Excepto: 6 o D o R</t>
    </r>
    <r>
      <rPr>
        <strike/>
        <sz val="10"/>
        <color rgb="FFFF0000"/>
        <rFont val="Calibri Light"/>
        <family val="2"/>
        <scheme val="major"/>
      </rPr>
      <t xml:space="preserve">
</t>
    </r>
    <r>
      <rPr>
        <sz val="10"/>
        <rFont val="Calibri Light"/>
        <family val="2"/>
        <scheme val="major"/>
      </rPr>
      <t xml:space="preserve">
</t>
    </r>
  </si>
  <si>
    <r>
      <rPr>
        <sz val="10"/>
        <color rgb="FFFF0000"/>
        <rFont val="Calibri Light"/>
        <family val="2"/>
        <scheme val="major"/>
      </rPr>
      <t>Datos oficiales de proceso interno de validación de casos de la fuente SIVIGILA Evento 580 Datos básicos y complementarios "Ajuste_" Excepto: 6 o D o R</t>
    </r>
    <r>
      <rPr>
        <strike/>
        <sz val="10"/>
        <color rgb="FFFF0000"/>
        <rFont val="Calibri Light"/>
        <family val="2"/>
        <scheme val="major"/>
      </rPr>
      <t xml:space="preserve">
</t>
    </r>
  </si>
  <si>
    <t xml:space="preserve">Numero de personas afiliadas que han sido notificadas en SIVIGILA:
Fecha Consulta "fec_Con_": Año vigente
Evento: 356
"Ajuste_" Excepto: 6 o D o R
</t>
  </si>
  <si>
    <r>
      <t>Datos oficiales de proceso interno de validación de casos de la fuente SIVIGILA Evento 591 Datos básicos y complementarios</t>
    </r>
    <r>
      <rPr>
        <sz val="10"/>
        <color rgb="FF7030A0"/>
        <rFont val="Calibri Light"/>
        <family val="2"/>
        <scheme val="major"/>
      </rPr>
      <t xml:space="preserve">
</t>
    </r>
  </si>
  <si>
    <t>Hombres con registro de fecha de toma de biopsia de próstata (más reciente)
ultimos 12 meses sin incluir ultimos 2 meses al corte del mes evaluado
Que registren fecha de PSA o Tacto Rectal menor a la biopsia
Toma de biopsia posterior a fecha del tamizaje</t>
  </si>
  <si>
    <t xml:space="preserve">Total de personas entre 12 y 17 años cumplidos a la fecha de corte y afiliados al SGSSS
</t>
  </si>
  <si>
    <t>Total de personas entre 18 años y 28 años, cumplidos a la fecha de corte y afiliados al SGSSS</t>
  </si>
  <si>
    <t xml:space="preserve">Censo profesionales de enfermeria reportado por las IPS </t>
  </si>
  <si>
    <t>05/03/2026 Se modifica definicion del numerador, numerador población.  12/12/2025 Sin modificación  05/03/2025 Se ajusta definición del numerador y se actualiza cohorte para validar, se ajusta nuevamente "meta" para General y Especial por Lineanimientos del MSPS 2025.  11/02/2025 Se ajusta nuevamente la Meta. 09/12/2024: Se ajusta meta General 30% y Especial 20%, se cambia a evaluativo y se ajusta puntaje; EYAV.
17/07/2024. Se realiza ajuste del indicador en cuanto a la Validez del  procedimiento: 2 aplicaciones de Flúor durante el ultimo año (incluyendo mes evaluado), diferencia entre aplicaciones mínimo 3 meses y se adiciona máximo 6 meses. Lelsy/Andrea M</t>
  </si>
  <si>
    <r>
      <t xml:space="preserve">Proporción de personas con diagnostico del cancer de mama que se hayan identificado en estadio in situ o temprano </t>
    </r>
    <r>
      <rPr>
        <sz val="10"/>
        <color rgb="FFFF0000"/>
        <rFont val="Calibri Light"/>
        <family val="2"/>
        <scheme val="major"/>
      </rPr>
      <t>en el año vigente</t>
    </r>
  </si>
  <si>
    <r>
      <t xml:space="preserve">Numero de mujeres clasificadas como Cáncer de mama que registran prueba tamiz previa a Fecha de Diagnostico confirmado </t>
    </r>
    <r>
      <rPr>
        <sz val="10"/>
        <color rgb="FFFF0000"/>
        <rFont val="Calibri Light"/>
        <family val="2"/>
        <scheme val="major"/>
      </rPr>
      <t>Cáncer mama</t>
    </r>
  </si>
  <si>
    <r>
      <t xml:space="preserve">1 - Fecha de tamizaje - RES 202 variables 96,  fecha valida anterior o igual a "Fecha de Diagnostico confirmado </t>
    </r>
    <r>
      <rPr>
        <sz val="10"/>
        <color rgb="FFFF0000"/>
        <rFont val="Calibri Light"/>
        <family val="2"/>
        <scheme val="major"/>
      </rPr>
      <t>Cáncer mama</t>
    </r>
    <r>
      <rPr>
        <sz val="10"/>
        <color theme="1"/>
        <rFont val="Calibri Light"/>
        <family val="2"/>
        <scheme val="major"/>
      </rPr>
      <t>"</t>
    </r>
  </si>
  <si>
    <r>
      <t>Numero de personas del denominador clasificadas diagnosticadas con</t>
    </r>
    <r>
      <rPr>
        <sz val="10"/>
        <color rgb="FFFF0000"/>
        <rFont val="Calibri Light"/>
        <family val="2"/>
        <scheme val="major"/>
      </rPr>
      <t xml:space="preserve"> Cáncer de Mama</t>
    </r>
    <r>
      <rPr>
        <sz val="10"/>
        <color theme="1"/>
        <rFont val="Calibri Light"/>
        <family val="2"/>
        <scheme val="major"/>
      </rPr>
      <t xml:space="preserve"> en el periodo a evaluar, y que tienen estadio in situ o temprano</t>
    </r>
  </si>
  <si>
    <r>
      <t xml:space="preserve">Población activa con diagnostico de Cáncer </t>
    </r>
    <r>
      <rPr>
        <sz val="10"/>
        <color rgb="FFFF0000"/>
        <rFont val="Calibri Light"/>
        <family val="2"/>
        <scheme val="major"/>
      </rPr>
      <t>de Mama</t>
    </r>
  </si>
  <si>
    <r>
      <t xml:space="preserve">población con Cáncer </t>
    </r>
    <r>
      <rPr>
        <sz val="10"/>
        <color rgb="FFFF0000"/>
        <rFont val="Calibri Light"/>
        <family val="2"/>
        <scheme val="major"/>
      </rPr>
      <t>de Mama</t>
    </r>
    <r>
      <rPr>
        <sz val="10"/>
        <color theme="1"/>
        <rFont val="Calibri Light"/>
        <family val="2"/>
        <scheme val="major"/>
      </rPr>
      <t xml:space="preserve"> In Situ, Temprano </t>
    </r>
  </si>
  <si>
    <r>
      <t xml:space="preserve">Cohorte de Cáncer
</t>
    </r>
    <r>
      <rPr>
        <sz val="10"/>
        <color rgb="FFFF0000"/>
        <rFont val="Calibri Light"/>
        <family val="2"/>
        <scheme val="major"/>
      </rPr>
      <t>DT Mama</t>
    </r>
  </si>
  <si>
    <t>Detección Temprana de Cáncer de Próstata en el año vigente</t>
  </si>
  <si>
    <t>Proporción de personas con diagnostico del cancer próstata que se hayan identificado en estadio in situ o temprano año vigente</t>
  </si>
  <si>
    <r>
      <t xml:space="preserve">1 - Fecha de tamizaje - RES 202 variables 64 o 73,  fecha valida anterior o igual a "Fecha diagnóstico confirmado </t>
    </r>
    <r>
      <rPr>
        <sz val="10"/>
        <color rgb="FFFF0000"/>
        <rFont val="Calibri Light"/>
        <family val="2"/>
        <scheme val="major"/>
      </rPr>
      <t>de Cáncer de Próstata</t>
    </r>
    <r>
      <rPr>
        <sz val="10"/>
        <color theme="1"/>
        <rFont val="Calibri Light"/>
        <family val="2"/>
        <scheme val="major"/>
      </rPr>
      <t>"</t>
    </r>
  </si>
  <si>
    <r>
      <t xml:space="preserve">Población activa con diagnostico de Cáncer </t>
    </r>
    <r>
      <rPr>
        <sz val="10"/>
        <color rgb="FFFF0000"/>
        <rFont val="Calibri Light"/>
        <family val="2"/>
        <scheme val="major"/>
      </rPr>
      <t>de Próstata</t>
    </r>
  </si>
  <si>
    <t>05/03/2026 Se complementa definición operacional, se ajusta numerador y denominador, fuentes del numerador y denominador, población del numerador y denominador, se retiran exclusiones en numerdor y denominador y se actualiza la cohorte de validación.  15/12/2025: revisado sin modificación.  5/12/2024 Se ajusta: nombre del indicador, definición operacional, fuentes.</t>
  </si>
  <si>
    <t>05/03/2026 Se complementa definición operacional, se ajusta numerador y denominador, fuentes del numerador y denominador, periodo del denominador, población del numerador y denominador y se retiran exclusiones en numerdor .  15/12/2025: se ajusta nombre del indicador, definición operacional, denominador, población, eyav // 12/02/2025 Se ajusta denominador eliminando la condición de fecha de egreso, se ajusta estadificación y en población estado activo.  11/02/2025 Se deja regla en observación de indicador "Por ser un indicador con población ya diagnosticada con cancer, se debe aplicar los 3 meses de afiliaciones por el tema de los usuarios recibidos por sesiones de otras aseguradoras"</t>
  </si>
  <si>
    <t>05/03/2026 Se ajusta numerador y denominador, fuentes del numerador y denominador, población del numerador y denominador, se retiran exclusiones en numerdor y denominador.  15/12/2025: revisado sin modificación.  5/12/2024 Se ajusta: nombre del indicador, definición operacional, fuentes.</t>
  </si>
  <si>
    <r>
      <t>Proporción de personas con diagnostico del cancer colorrectal que se hayan identificado en estadio in situ o temprano</t>
    </r>
    <r>
      <rPr>
        <sz val="10"/>
        <color rgb="FFFF0000"/>
        <rFont val="Calibri Light"/>
        <family val="2"/>
        <scheme val="major"/>
      </rPr>
      <t xml:space="preserve"> año vigente</t>
    </r>
  </si>
  <si>
    <r>
      <t xml:space="preserve">Numero de mujeres clasificadas como Cáncer de Cuello uterino que registran prueba tamiz previa a Fecha de Diagnostico confirmado cancer </t>
    </r>
    <r>
      <rPr>
        <sz val="10"/>
        <color rgb="FFFF0000"/>
        <rFont val="Calibri Light"/>
        <family val="2"/>
        <scheme val="major"/>
      </rPr>
      <t>de cuello uterino</t>
    </r>
  </si>
  <si>
    <r>
      <t xml:space="preserve">Numero de personas del denominador clasificadas diagnosticadas con </t>
    </r>
    <r>
      <rPr>
        <sz val="10"/>
        <color rgb="FFFF0000"/>
        <rFont val="Calibri Light"/>
        <family val="2"/>
        <scheme val="major"/>
      </rPr>
      <t xml:space="preserve">cancer colorrectal </t>
    </r>
    <r>
      <rPr>
        <sz val="10"/>
        <color theme="1"/>
        <rFont val="Calibri Light"/>
        <family val="2"/>
        <scheme val="major"/>
      </rPr>
      <t>en el periodo a evaluar, y que tienen estadio in situ o temprano</t>
    </r>
  </si>
  <si>
    <r>
      <t xml:space="preserve">1 - Fecha de tamizaje - RES 202 variables 66 o 67,  fecha valida anterior o igual a "Fecha diagnóstico confirmado </t>
    </r>
    <r>
      <rPr>
        <sz val="10"/>
        <color rgb="FFFF0000"/>
        <rFont val="Calibri Light"/>
        <family val="2"/>
        <scheme val="major"/>
      </rPr>
      <t>cancer colorrectal</t>
    </r>
    <r>
      <rPr>
        <sz val="10"/>
        <color theme="1"/>
        <rFont val="Calibri Light"/>
        <family val="2"/>
        <scheme val="major"/>
      </rPr>
      <t>"</t>
    </r>
  </si>
  <si>
    <r>
      <t xml:space="preserve">Población activa con diagnostico de Cáncer </t>
    </r>
    <r>
      <rPr>
        <sz val="10"/>
        <color rgb="FFFF0000"/>
        <rFont val="Calibri Light"/>
        <family val="2"/>
        <scheme val="major"/>
      </rPr>
      <t>de cervix</t>
    </r>
  </si>
  <si>
    <r>
      <t xml:space="preserve">Población activa con diagnostico de Cáncer </t>
    </r>
    <r>
      <rPr>
        <sz val="10"/>
        <color rgb="FFFF0000"/>
        <rFont val="Calibri Light"/>
        <family val="2"/>
        <scheme val="major"/>
      </rPr>
      <t>colorrectal</t>
    </r>
  </si>
  <si>
    <t>05/03/2026 Se ajusta definicion operacional, definición en numerador y denominadir, fuente para numerador y denominador, población del numerador y denominador y se retiran exclusiones.  12/02/2025 Se ajusta denominador eliminando la condición de fecha de egreso, se ajusta estadificación y en población estado activo.  11/02/2025 Se deja regla en observación de indicador "Por ser un indicador con población ya diagnosticada con cancer, se debe aplicar los 3 meses de afiliaciones por el tema de los usuarios recibidos por sesiones de otras aseguradoras"</t>
  </si>
  <si>
    <t>05/03/2026 Se ajusta definicion operacional, definición en numerador y denominadir, fuente para numerador y denominador, población del numerador y denominador y se retiran exclusiones.  15/12/2025: revisado sin modificación.  5/12/2024 Se ajusta: nombre del indicador, definición operacional, fuentes.</t>
  </si>
  <si>
    <r>
      <t xml:space="preserve">Proporción de personas con diagnostico de cáncer </t>
    </r>
    <r>
      <rPr>
        <sz val="10"/>
        <color rgb="FFFF0000"/>
        <rFont val="Calibri Light"/>
        <family val="2"/>
        <scheme val="major"/>
      </rPr>
      <t>de cuello uterino</t>
    </r>
    <r>
      <rPr>
        <sz val="10"/>
        <color theme="1"/>
        <rFont val="Calibri Light"/>
        <family val="2"/>
        <scheme val="major"/>
      </rPr>
      <t>, que reportan realización de prueba de tamización previo al diagnostico de Cáncer Cérvix</t>
    </r>
  </si>
  <si>
    <r>
      <t>Proporción de personas con diagnostico de</t>
    </r>
    <r>
      <rPr>
        <sz val="10"/>
        <color rgb="FFFF0000"/>
        <rFont val="Calibri Light"/>
        <family val="2"/>
        <scheme val="major"/>
      </rPr>
      <t xml:space="preserve"> cáncer colorrectal</t>
    </r>
    <r>
      <rPr>
        <sz val="10"/>
        <color theme="1"/>
        <rFont val="Calibri Light"/>
        <family val="2"/>
        <scheme val="major"/>
      </rPr>
      <t>, que reportan realización de prueba de tamización previo al diagnostico de Cáncer Colorrectal</t>
    </r>
  </si>
  <si>
    <t>Tipo de tamizaje - RES 202 variable 86 
1 -Citología cérvico uterina 
2 -Prueba ADN - VPH 
3 -Técnica de inspección visual 
4 -Prueba ADN-VPH y citología cérvico 
uterina
Fecha de tamizaje - RES 202 variable 87  fecha valida anterior o igual a "Fecha diagnóstico confirmado cancer de cuello uterino"</t>
  </si>
  <si>
    <r>
      <t xml:space="preserve">Proporción de personas con diagnostico de cáncer </t>
    </r>
    <r>
      <rPr>
        <sz val="10"/>
        <color rgb="FFFF0000"/>
        <rFont val="Calibri Light"/>
        <family val="2"/>
        <scheme val="major"/>
      </rPr>
      <t>de mama</t>
    </r>
    <r>
      <rPr>
        <sz val="10"/>
        <color theme="1"/>
        <rFont val="Calibri Light"/>
        <family val="2"/>
        <scheme val="major"/>
      </rPr>
      <t xml:space="preserve"> </t>
    </r>
    <r>
      <rPr>
        <sz val="10"/>
        <color rgb="FFFF0000"/>
        <rFont val="Calibri Light"/>
        <family val="2"/>
        <scheme val="major"/>
      </rPr>
      <t>12 meses atrás</t>
    </r>
    <r>
      <rPr>
        <sz val="10"/>
        <color theme="1"/>
        <rFont val="Calibri Light"/>
        <family val="2"/>
        <scheme val="major"/>
      </rPr>
      <t>, que reportan realización de prueba de tamización previo al diagnostico de Cáncer mama</t>
    </r>
  </si>
  <si>
    <r>
      <t>Número de niños que reciben suplementación con ANTIPARASITARIO
Edad al suministro:</t>
    </r>
    <r>
      <rPr>
        <sz val="10"/>
        <color rgb="FFFF0000"/>
        <rFont val="Calibri Light"/>
        <family val="2"/>
        <scheme val="major"/>
      </rPr>
      <t xml:space="preserve"> igual </t>
    </r>
    <r>
      <rPr>
        <sz val="10"/>
        <rFont val="Calibri Light"/>
        <family val="2"/>
        <scheme val="major"/>
      </rPr>
      <t>o mayor a un año
Edad al corte: 1 a 5 años
Validez suministro: año vigente</t>
    </r>
  </si>
  <si>
    <t>05/03/206 Se ajusta regla en la deficinicón del numerador. 15/12/2025: 12/12/2025 Sin modificación  5/03/2025 Se ajusta puntuaje.  07/02/2025 Se realiza eliminación de los 3 meses de afiliación.</t>
  </si>
  <si>
    <r>
      <t>Proporción de personas con diagnostico de cáncer</t>
    </r>
    <r>
      <rPr>
        <sz val="10"/>
        <color rgb="FFFF0000"/>
        <rFont val="Calibri Light"/>
        <family val="2"/>
        <scheme val="major"/>
      </rPr>
      <t xml:space="preserve"> de próstata 12 meses atrás</t>
    </r>
    <r>
      <rPr>
        <sz val="10"/>
        <rFont val="Calibri Light"/>
        <family val="2"/>
        <scheme val="major"/>
      </rPr>
      <t xml:space="preserve">, que reportan realización de prueba de tamización previo al diagnostico de Cáncer </t>
    </r>
  </si>
  <si>
    <t>Mujeres con diagnostico de cancer de cuello uterino (Patologia EV03 subgrupo 3)
Fecha de diagnostico: 12 meses atras incluyendo el mes a evaluar.</t>
  </si>
  <si>
    <t>Mujeres con diagnostico de cáncer de mama (Patología EV03 Subgrupo 13)
Fecha diagnostico: 12 meses atrás incluyendo el mes a evaluar</t>
  </si>
  <si>
    <t>Mujeres con diagnostico de cáncer de mama (Patología EV03 Subgrupo 13)
Fecha diagnostico: Año vigente</t>
  </si>
  <si>
    <t>Numero de hombres clasificados como Cáncer de próstata que registran prueba tamiz previo a Fecha de Diagnostico confirmado Cáncer Prostata</t>
  </si>
  <si>
    <t>Hombres con diagnostico de cáncer de próstata (Patología EV03 Subgrupo 18)
Fecha diagnostico: 12 meses atras incluyendo el mes a evaluar</t>
  </si>
  <si>
    <t>Hombres con diagnostico de cáncer de Próstata (Patología EV03 Subgrupo 18)
Fecha diagnostico: Año vigente</t>
  </si>
  <si>
    <r>
      <t xml:space="preserve">Numero de personas del denominador clasificadas diagnosticadas con </t>
    </r>
    <r>
      <rPr>
        <sz val="10"/>
        <color rgb="FFFF0000"/>
        <rFont val="Calibri Light"/>
        <family val="2"/>
        <scheme val="major"/>
      </rPr>
      <t>Cáncer de Próstata</t>
    </r>
    <r>
      <rPr>
        <sz val="10"/>
        <color theme="1"/>
        <rFont val="Calibri Light"/>
        <family val="2"/>
        <scheme val="major"/>
      </rPr>
      <t xml:space="preserve"> en el periodo a evaluar, y que tienen estadio</t>
    </r>
    <r>
      <rPr>
        <sz val="10"/>
        <color rgb="FFFF0000"/>
        <rFont val="Calibri Light"/>
        <family val="2"/>
        <scheme val="major"/>
      </rPr>
      <t xml:space="preserve"> localizado</t>
    </r>
  </si>
  <si>
    <t>Numero de hombres y mujeres  clasificados como Cáncer colorrectal que registran prueba tamiz previo a Fecha de Diagnostico confirmado Cáncer Prostata</t>
  </si>
  <si>
    <t>Hombres y mujeres  con diagnostico de cáncer colorrectal
(Patología EV03 Subgrupo 4)
Fecha diagnostico:  12 meses atras incluyendo  mes a evaluar</t>
  </si>
  <si>
    <t>Hombres y mujeres con diagnostico de cáncer colorrectal (Patología EV03 Subgrupo 4)
Fecha diagnostico: Año vigente</t>
  </si>
  <si>
    <t xml:space="preserve">Fuentes internas: Patologias
Patología EV03
Subgrupo 13
Fecha diagnostico: 12 meses atrás incluyendo el mes a evaluar
</t>
  </si>
  <si>
    <r>
      <t xml:space="preserve">
</t>
    </r>
    <r>
      <rPr>
        <sz val="10"/>
        <color rgb="FFFF0000"/>
        <rFont val="Calibri Light"/>
        <family val="2"/>
        <scheme val="major"/>
      </rPr>
      <t>Fuentes internas: Patologias
Patología EV03
Subgrupo 13
Fecha diagnostico: Año vigente</t>
    </r>
  </si>
  <si>
    <r>
      <t xml:space="preserve">
</t>
    </r>
    <r>
      <rPr>
        <sz val="10"/>
        <color rgb="FFFF0000"/>
        <rFont val="Calibri Light"/>
        <family val="2"/>
        <scheme val="major"/>
      </rPr>
      <t xml:space="preserve">1. Fuentes Internas Patologías
Patología EV03
Subgrupo 13
Estadificación:  0, 1, 2, 3, 4, 5, 6, 7, 8, 9, 10, 11, 12, 13
2. Modulo de gestión:
Pestaña Manejo y direccionamiento 
Estadificación: </t>
    </r>
    <r>
      <rPr>
        <sz val="10"/>
        <color theme="1"/>
        <rFont val="Calibri Light"/>
        <family val="2"/>
        <scheme val="major"/>
      </rPr>
      <t xml:space="preserve">
</t>
    </r>
    <r>
      <rPr>
        <sz val="10"/>
        <color rgb="FFFF0000"/>
        <rFont val="Calibri Light"/>
        <family val="2"/>
        <scheme val="major"/>
      </rPr>
      <t xml:space="preserve">- Estadio clínico (ec) 0 (tumor in situ)
- I o 1
- IA o 1A
- IA1
- IA2
- IB o 1b
- IB1
- IB2
- IC o 1c
- IS o 1s
- II o 2
- IIA o 2a
- IIA1
- IIA2
</t>
    </r>
    <r>
      <rPr>
        <sz val="10"/>
        <color theme="1"/>
        <rFont val="Calibri Light"/>
        <family val="2"/>
        <scheme val="major"/>
      </rPr>
      <t xml:space="preserve">
</t>
    </r>
  </si>
  <si>
    <t>Fuentes internas: Patologias
Patología EV03
Subgrupo 18
Fecha diagnostico: 12 meses atrás incluyendo el mes a evaluar</t>
  </si>
  <si>
    <r>
      <rPr>
        <sz val="10"/>
        <color rgb="FFFF0000"/>
        <rFont val="Calibri Light"/>
        <family val="2"/>
        <scheme val="major"/>
      </rPr>
      <t xml:space="preserve">1. Fuentes Internas Patologías
Patología EV03
Subgrupo 13
Estadificación: 0, 1, 2, 3, 4, 5, 6, 7, 8, 9, 10, 11, 12, 13, 14, 15
2. Modulo de gestión:
Pestaña Manejo y direccionamiento 
Estadificación: </t>
    </r>
    <r>
      <rPr>
        <sz val="10"/>
        <color theme="1"/>
        <rFont val="Calibri Light"/>
        <family val="2"/>
        <scheme val="major"/>
      </rPr>
      <t xml:space="preserve">
</t>
    </r>
    <r>
      <rPr>
        <sz val="10"/>
        <color rgb="FFFF0000"/>
        <rFont val="Calibri Light"/>
        <family val="2"/>
        <scheme val="major"/>
      </rPr>
      <t xml:space="preserve">- Estadio clínico (ec) 0 (tumor in situ)
- I o 1
- IA o 1A
- IA1
- IA2
- IB o 1b
- IB1
- IB2
- IC o 1c
- IS o 1s
- II o 2
- IIA o 2a
- IIA1
- IIB
- IIA2
</t>
    </r>
    <r>
      <rPr>
        <sz val="10"/>
        <color theme="1"/>
        <rFont val="Calibri Light"/>
        <family val="2"/>
        <scheme val="major"/>
      </rPr>
      <t xml:space="preserve">
</t>
    </r>
  </si>
  <si>
    <t>Fuentes internas: Patologias
Patología EV03
Subgrupo 18
Fecha diagnostico: Año vigente</t>
  </si>
  <si>
    <r>
      <t xml:space="preserve">
</t>
    </r>
    <r>
      <rPr>
        <sz val="10"/>
        <color rgb="FFFF0000"/>
        <rFont val="Calibri Light"/>
        <family val="2"/>
        <scheme val="major"/>
      </rPr>
      <t>Fuentes internas: Patologias
Patología EV03
Subgrupo 4
Fecha diagnostico: 12 meses atrás incluyendo mes a evaluar</t>
    </r>
  </si>
  <si>
    <t>Fuentes Internas Patologías
Patología EV03
Subgrupo 4
Estadificación: 0, 1, 2, 3, 4, 5, 6, 7, 8, 9, 10, 11, 12, 13
2, Modulo de gestion
Pestaña manejo y direccionamiento
Estadificacion:
Estadio clínico (ec) 0 (tumor in situ)
I o 1
IA o 1A
IA1
IA2
IB o 1b
IB1
IB2
IC o 1c
IS o 1s
II o 2
IIA o 2a
IIA1
IIA2</t>
  </si>
  <si>
    <t>Fuentes internas: Patologias
Patología EV03
Subgrupo 4
Fecha diagnostico: Año vigente</t>
  </si>
  <si>
    <r>
      <rPr>
        <sz val="10"/>
        <color rgb="FFFF0000"/>
        <rFont val="Calibri Light"/>
        <family val="2"/>
        <scheme val="major"/>
      </rPr>
      <t>12 meses atrás incluyendo el mes a evaluar</t>
    </r>
    <r>
      <rPr>
        <sz val="10"/>
        <color theme="1"/>
        <rFont val="Calibri Light"/>
        <family val="2"/>
        <scheme val="major"/>
      </rPr>
      <t xml:space="preserve">
</t>
    </r>
  </si>
  <si>
    <t>12 meses atraas incluyendo mes a evaluar</t>
  </si>
  <si>
    <t>Mujeres con fecha de toma de citologia cervico uterina -  ADN/VPH - Inspeccion visual ViaVilli</t>
  </si>
  <si>
    <t>Mujeres con fecha de toma de mamografía</t>
  </si>
  <si>
    <t>Población activa con diagnostico de Cáncer de Mama</t>
  </si>
  <si>
    <t>Hombres con fecha de Tamizaje PSA y/o Tacto Rectal</t>
  </si>
  <si>
    <r>
      <t xml:space="preserve">población con Cáncer </t>
    </r>
    <r>
      <rPr>
        <sz val="10"/>
        <color rgb="FFFF0000"/>
        <rFont val="Calibri Light"/>
        <family val="2"/>
        <scheme val="major"/>
      </rPr>
      <t>de Prostata</t>
    </r>
    <r>
      <rPr>
        <sz val="10"/>
        <color theme="1"/>
        <rFont val="Calibri Light"/>
        <family val="2"/>
        <scheme val="major"/>
      </rPr>
      <t xml:space="preserve"> localizado</t>
    </r>
  </si>
  <si>
    <t>Población activa con diagnostico de Cáncer de Próstata</t>
  </si>
  <si>
    <r>
      <t>Hombres y mujeres con fecha de Tamizaje</t>
    </r>
    <r>
      <rPr>
        <sz val="10"/>
        <color rgb="FFFF0000"/>
        <rFont val="Calibri Light"/>
        <family val="2"/>
        <scheme val="major"/>
      </rPr>
      <t xml:space="preserve"> SOMFI
Hombres y mujeres con fecha de colonoscopia como tamizaje</t>
    </r>
  </si>
  <si>
    <r>
      <t xml:space="preserve">Población con Cáncer </t>
    </r>
    <r>
      <rPr>
        <sz val="10"/>
        <color rgb="FFFF0000"/>
        <rFont val="Calibri Light"/>
        <family val="2"/>
        <scheme val="major"/>
      </rPr>
      <t>colorrectal</t>
    </r>
    <r>
      <rPr>
        <sz val="10"/>
        <color theme="1"/>
        <rFont val="Calibri Light"/>
        <family val="2"/>
        <scheme val="major"/>
      </rPr>
      <t xml:space="preserve">  In Situ oTemprano </t>
    </r>
  </si>
  <si>
    <t>Población activa con diagnostico de Cáncer colorrectal</t>
  </si>
  <si>
    <r>
      <rPr>
        <sz val="10"/>
        <color rgb="FFFF0000"/>
        <rFont val="Calibri Light"/>
        <family val="2"/>
        <scheme val="major"/>
      </rPr>
      <t>NO</t>
    </r>
    <r>
      <rPr>
        <strike/>
        <sz val="10"/>
        <color theme="1"/>
        <rFont val="Calibri Light"/>
        <family val="2"/>
        <scheme val="major"/>
      </rPr>
      <t xml:space="preserve">
</t>
    </r>
  </si>
  <si>
    <t>Niños de 6 a 11 años que cumplen con la valoración integral por medicina general, medicina Familiar o Pediatría en el año</t>
  </si>
  <si>
    <r>
      <t xml:space="preserve">Aplicación de Flúor en Barniz:
Edad corte: 1 a 17 años
Edad a la fecha del último procedimiento: 1 a 17 años 
Validez procedimiento: 2 aplicaciones de Flúor durante el ultimo año (incluyendo mes evaluado), diferencia </t>
    </r>
    <r>
      <rPr>
        <sz val="10"/>
        <color rgb="FFFF0000"/>
        <rFont val="Calibri Light"/>
        <family val="2"/>
        <scheme val="major"/>
      </rPr>
      <t>de igual o mas a 180 días entre la mas reciente y la anterior</t>
    </r>
  </si>
  <si>
    <r>
      <t xml:space="preserve">
Aplicación de flúor en barniz  2 veces en el ultimo año (diferencia </t>
    </r>
    <r>
      <rPr>
        <sz val="10"/>
        <color rgb="FFFF0000"/>
        <rFont val="Calibri Light"/>
        <family val="2"/>
        <scheme val="major"/>
      </rPr>
      <t>de igual o mas a 180 días entre la mas reciente y la anterior</t>
    </r>
    <r>
      <rPr>
        <strike/>
        <sz val="10"/>
        <color theme="1"/>
        <rFont val="Calibri Light"/>
        <family val="2"/>
        <scheme val="major"/>
      </rPr>
      <t xml:space="preserve"> </t>
    </r>
    <r>
      <rPr>
        <sz val="10"/>
        <color theme="1"/>
        <rFont val="Calibri Light"/>
        <family val="2"/>
        <scheme val="major"/>
      </rPr>
      <t xml:space="preserve">
personas de 1 a 17 años</t>
    </r>
  </si>
  <si>
    <t>9/03/2026 Se retira regla impuesta en el denominador.  5/03/2026  Se incluyen regla en el denominador.  31/03/2025 Se actualiza a ultima Resolución de Cups 2275/2023 en variable fuente.  11/02/2025 Se realiza eliminación de los 3 meses de afiliación. 9/12/2024: sin modificación</t>
  </si>
  <si>
    <t>9/03/2026 Se retira regla impuesta en el denominador.  5/03/2026  Se incluyen regla en el denominador.  12/12/2025 Sin modificación  31/03/2025 Se actualiza a ultima Resolución de Cups 2275/2023 en variable fuente.  05/03/2025 Se ajusta nombre del indicador, denifición operativa, población del numerador y denominador y se actualiza cohorte para validar, se ajusta puntaje.  11/02/2025 Se realiza eliminación de los 3 meses de afiliación. 9/12/2024: sin modificación</t>
  </si>
  <si>
    <t>9/03/2026  Se ajusta fuente del denominador y periodo del numerador.  05/03/2026 Se ajusta definicion operacional, definición en numerador y denominadir, fuente para numerador y denominador, periodo del numerador, población del numerador y denominador y se retiran exclusiones.  12/02/2025 Se ajusta denominador eliminando la condición de fecha de egreso, se ajusta estadificación y en población estado activo.  11/02/2025 Se deja regla en observación de indicador "Por ser un indicador con población ya diagnosticada con cancer, se debe aplicar los 3 meses de afiliaciones por el tema de los usuarios recibidos por sesiones de otras aseguradoras". 05/12/2024. Se modifica meta. EYAV</t>
  </si>
  <si>
    <t>9/03/2026  Se ajusta periodo del numerador. 05/03/2026 Se complementa definición operacional, se ajusta numerador y denominador, fuentes del numerador y denominador, periodo del numerador, población del numerador y denominador, se retiran exclusiones en numerdor y denominador y se actualiza la cohorte de validación.  12/02/2025 Se ajusta denominador eliminando la condición de fecha de egreso, se ajusta estadificación y en población estado activo.  11/02/2025 Se deja regla en observación de indicador "Por ser un indicador con población ya diagnosticada con cancer, se debe aplicar los 3 meses de afiliaciones por el tema de los usuarios recibidos por sesiones de otras aseguradoras"</t>
  </si>
  <si>
    <t>Total de Hombres de 12 a 59 años
Dividido en 12 y multiplicado por mes a evaluar</t>
  </si>
  <si>
    <t>Fuentes internas: Patologias
Patología EV03
Subgrupo 4
Fecha diagnostico: 12 meses atrás incluyendo mes a evaluar</t>
  </si>
  <si>
    <r>
      <t xml:space="preserve">Toda la vida
</t>
    </r>
    <r>
      <rPr>
        <sz val="10"/>
        <color rgb="FFFF0000"/>
        <rFont val="Calibri Light"/>
        <family val="2"/>
        <scheme val="major"/>
      </rPr>
      <t>Fecha valida de ultimo tamizaje (cualquier tamizaje) anterior o igual a "Fecha de Diagnostico confirmado Cáncer cervix"</t>
    </r>
  </si>
  <si>
    <r>
      <t xml:space="preserve">Toda la vida
</t>
    </r>
    <r>
      <rPr>
        <sz val="10"/>
        <color rgb="FFFF0000"/>
        <rFont val="Calibri Light"/>
        <family val="2"/>
        <scheme val="major"/>
      </rPr>
      <t>Fecha valida de ultimo tamizaje menor o igual a "Fecha de Diagnostico confirmado Cáncer mama"</t>
    </r>
  </si>
  <si>
    <t>16/03/2026  Se revisa en reunión con Procex la regla incluida del 05/03/26 y se considera retirarla del denominador.  5/03/2026  Se incluyen regla en el denominador.  15/12/2025: se ajusta nombre del indicador, meta, eyav//     31/03/2025 Se actualiza a ultima Resolución de Cups 2275/2023 en variable fuente.  9/12/2024: Indicador nuevo MSPS-ACEMI; se deja este año informativo y el año entrante pasara a evaluativo, para retirar los de cumplimiento año. Lesly- Xymena</t>
  </si>
  <si>
    <r>
      <t>Total de población de 2-4 meses, 6-12 meses, 18-24 meses, 30-36 meses, 48-60 meses
Sin consulta vigente según la frecuencia</t>
    </r>
    <r>
      <rPr>
        <sz val="10"/>
        <color rgb="FFFF0000"/>
        <rFont val="Calibri Light"/>
        <family val="2"/>
        <scheme val="major"/>
      </rPr>
      <t xml:space="preserve"> en años previos</t>
    </r>
    <r>
      <rPr>
        <sz val="10"/>
        <color theme="1"/>
        <rFont val="Calibri Light"/>
        <family val="2"/>
        <scheme val="major"/>
      </rPr>
      <t xml:space="preserve">
Dividido en 12 y multiplicado por mes a evaluar</t>
    </r>
  </si>
  <si>
    <t>16/03/2026 Se revisa en reunión con Procex la regla incluida del 05/03/26 y se adiciona al denominador que la vigencia sea de años previos.   5/03/2026  Se incluyen regla en el denominador. 15/12/2025: se ajusta nombre del indicador, meta, eyav//   //9/12/2024: sin modificación</t>
  </si>
  <si>
    <t>16/03/2026  Se realiza ajuste en la fuente del denominador.  12/12/2025 Sin modificación  11/02/2025 Se realiza eliminación de los 3 meses de afiliación.</t>
  </si>
  <si>
    <r>
      <t xml:space="preserve">Total de población de 0 a 5 años
</t>
    </r>
    <r>
      <rPr>
        <sz val="10"/>
        <color rgb="FFFF0000"/>
        <rFont val="Calibri Light"/>
        <family val="2"/>
        <scheme val="major"/>
      </rPr>
      <t>Sin consulta vigente según la frecuencia en años previos</t>
    </r>
    <r>
      <rPr>
        <sz val="10"/>
        <color theme="1"/>
        <rFont val="Calibri Light"/>
        <family val="2"/>
        <scheme val="major"/>
      </rPr>
      <t xml:space="preserve">
Dividido en 12 y multiplicado por mes a evaluar</t>
    </r>
  </si>
  <si>
    <r>
      <t xml:space="preserve">Total de población de 0-2 mes, 4-6 meses, 12-18 meses, 24-30 meses, 36-48 meses, 60-72 meses
</t>
    </r>
    <r>
      <rPr>
        <sz val="10"/>
        <color rgb="FFFF0000"/>
        <rFont val="Calibri Light"/>
        <family val="2"/>
        <scheme val="major"/>
      </rPr>
      <t>Sin consulta vigente según la frecuencia en años previos</t>
    </r>
    <r>
      <rPr>
        <sz val="10"/>
        <color theme="1"/>
        <rFont val="Calibri Light"/>
        <family val="2"/>
        <scheme val="major"/>
      </rPr>
      <t xml:space="preserve">
Dividido en 12 y multiplicado por mes a evaluar</t>
    </r>
  </si>
  <si>
    <r>
      <t xml:space="preserve">Total de población de 6 a 11 años
</t>
    </r>
    <r>
      <rPr>
        <sz val="10"/>
        <color rgb="FFFF0000"/>
        <rFont val="Calibri Light"/>
        <family val="2"/>
        <scheme val="major"/>
      </rPr>
      <t>Sin consulta vigente según la frecuencia en años previos</t>
    </r>
    <r>
      <rPr>
        <sz val="10"/>
        <color theme="1"/>
        <rFont val="Calibri Light"/>
        <family val="2"/>
        <scheme val="major"/>
      </rPr>
      <t xml:space="preserve">
Dividido en 12 y multiplicado por mes a evaluar</t>
    </r>
  </si>
  <si>
    <r>
      <t xml:space="preserve">Total de población de 6, 8 y 10 años
</t>
    </r>
    <r>
      <rPr>
        <sz val="10"/>
        <color rgb="FFFF0000"/>
        <rFont val="Calibri Light"/>
        <family val="2"/>
        <scheme val="major"/>
      </rPr>
      <t>Sin consulta vigente según la frecuencia en años previos</t>
    </r>
    <r>
      <rPr>
        <sz val="10"/>
        <color theme="1"/>
        <rFont val="Calibri Light"/>
        <family val="2"/>
        <scheme val="major"/>
      </rPr>
      <t xml:space="preserve">
Dividido en 12 y multiplicado por mes a evaluar</t>
    </r>
  </si>
  <si>
    <r>
      <t xml:space="preserve">Total de población de 7, 9 y  11 años
</t>
    </r>
    <r>
      <rPr>
        <sz val="10"/>
        <color rgb="FFFF0000"/>
        <rFont val="Calibri Light"/>
        <family val="2"/>
        <scheme val="major"/>
      </rPr>
      <t>Sin consulta vigente según la frecuencia en años previos</t>
    </r>
    <r>
      <rPr>
        <sz val="10"/>
        <color theme="1"/>
        <rFont val="Calibri Light"/>
        <family val="2"/>
        <scheme val="major"/>
      </rPr>
      <t xml:space="preserve">
Dividido en 12 y multiplicado por mes a evaluar</t>
    </r>
  </si>
  <si>
    <r>
      <t xml:space="preserve">Total de población de 12 a 17 años
</t>
    </r>
    <r>
      <rPr>
        <sz val="10"/>
        <color rgb="FFFF0000"/>
        <rFont val="Calibri Light"/>
        <family val="2"/>
        <scheme val="major"/>
      </rPr>
      <t>Sin consulta vigente según la frecuencia en años previos</t>
    </r>
    <r>
      <rPr>
        <sz val="10"/>
        <color theme="1"/>
        <rFont val="Calibri Light"/>
        <family val="2"/>
        <scheme val="major"/>
      </rPr>
      <t xml:space="preserve">
Dividido en 12 y multiplicado por mes a evaluar</t>
    </r>
  </si>
  <si>
    <r>
      <t xml:space="preserve">Total de población de 12, 14 y 16 años
</t>
    </r>
    <r>
      <rPr>
        <sz val="10"/>
        <color rgb="FFFF0000"/>
        <rFont val="Calibri Light"/>
        <family val="2"/>
        <scheme val="major"/>
      </rPr>
      <t>Sin consulta vigente según la frecuencia en años previos</t>
    </r>
    <r>
      <rPr>
        <sz val="10"/>
        <color theme="1"/>
        <rFont val="Calibri Light"/>
        <family val="2"/>
        <scheme val="major"/>
      </rPr>
      <t xml:space="preserve">
Dividido en 12 y multiplicado por mes a evaluar</t>
    </r>
  </si>
  <si>
    <r>
      <t xml:space="preserve">Total de población de 13, 15 y 17 años
</t>
    </r>
    <r>
      <rPr>
        <sz val="10"/>
        <color rgb="FFFF0000"/>
        <rFont val="Calibri Light"/>
        <family val="2"/>
        <scheme val="major"/>
      </rPr>
      <t>Sin consulta vigente según la frecuencia en años previos</t>
    </r>
    <r>
      <rPr>
        <sz val="10"/>
        <color theme="1"/>
        <rFont val="Calibri Light"/>
        <family val="2"/>
        <scheme val="major"/>
      </rPr>
      <t xml:space="preserve">
Dividido en 12 y multiplicado por mes a evaluar</t>
    </r>
  </si>
  <si>
    <r>
      <t xml:space="preserve">Total de población de 18 a 28 años
</t>
    </r>
    <r>
      <rPr>
        <sz val="10"/>
        <color rgb="FFFF0000"/>
        <rFont val="Calibri Light"/>
        <family val="2"/>
        <scheme val="major"/>
      </rPr>
      <t>Sin consulta vigente según la frecuencia en años previos</t>
    </r>
    <r>
      <rPr>
        <sz val="10"/>
        <color theme="1"/>
        <rFont val="Calibri Light"/>
        <family val="2"/>
        <scheme val="major"/>
      </rPr>
      <t xml:space="preserve">
Dividido en 12 y multiplicado por mes a evaluar</t>
    </r>
  </si>
  <si>
    <r>
      <t xml:space="preserve">Total de población de 29 a 59 años
</t>
    </r>
    <r>
      <rPr>
        <sz val="10"/>
        <color rgb="FFFF0000"/>
        <rFont val="Calibri Light"/>
        <family val="2"/>
        <scheme val="major"/>
      </rPr>
      <t xml:space="preserve">Sin consulta vigente según la frecuencia en años previos
</t>
    </r>
    <r>
      <rPr>
        <sz val="10"/>
        <color theme="1"/>
        <rFont val="Calibri Light"/>
        <family val="2"/>
        <scheme val="major"/>
      </rPr>
      <t>Dividido en 12 y multiplicado por mes a evaluar</t>
    </r>
  </si>
  <si>
    <r>
      <rPr>
        <sz val="10"/>
        <color theme="1"/>
        <rFont val="Calibri Light"/>
        <family val="2"/>
        <scheme val="major"/>
      </rPr>
      <t xml:space="preserve">Total de población de 60 años y más
</t>
    </r>
    <r>
      <rPr>
        <sz val="10"/>
        <color rgb="FFFF0000"/>
        <rFont val="Calibri Light"/>
        <family val="2"/>
        <scheme val="major"/>
      </rPr>
      <t>Sin consulta vigente según la frecuencia en años previos</t>
    </r>
    <r>
      <rPr>
        <strike/>
        <sz val="10"/>
        <color theme="1"/>
        <rFont val="Calibri Light"/>
        <family val="2"/>
        <scheme val="major"/>
      </rPr>
      <t xml:space="preserve">
</t>
    </r>
    <r>
      <rPr>
        <sz val="10"/>
        <color theme="1"/>
        <rFont val="Calibri Light"/>
        <family val="2"/>
        <scheme val="major"/>
      </rPr>
      <t>Dividido en 12 y multiplicado por mes a evaluar</t>
    </r>
  </si>
  <si>
    <r>
      <t xml:space="preserve">Total de Mujeres de 12 a 17 años
</t>
    </r>
    <r>
      <rPr>
        <sz val="10"/>
        <color rgb="FFFF0000"/>
        <rFont val="Calibri Light"/>
        <family val="2"/>
        <scheme val="major"/>
      </rPr>
      <t>Sin consulta vigente según la frecuencia en años previos</t>
    </r>
    <r>
      <rPr>
        <sz val="10"/>
        <color theme="1"/>
        <rFont val="Calibri Light"/>
        <family val="2"/>
        <scheme val="major"/>
      </rPr>
      <t xml:space="preserve">
Dividido en 12 y multiplicado por mes a evaluar</t>
    </r>
  </si>
  <si>
    <r>
      <t xml:space="preserve">Total de Población de 6 meses y más
</t>
    </r>
    <r>
      <rPr>
        <sz val="10"/>
        <color rgb="FFFF0000"/>
        <rFont val="Calibri Light"/>
        <family val="2"/>
        <scheme val="major"/>
      </rPr>
      <t>Sin consulta vigente según la frecuencia en años previos</t>
    </r>
    <r>
      <rPr>
        <sz val="10"/>
        <color theme="1"/>
        <rFont val="Calibri Light"/>
        <family val="2"/>
        <scheme val="major"/>
      </rPr>
      <t xml:space="preserve">
dividido en 12 multiplicado por mes a evaluar</t>
    </r>
  </si>
  <si>
    <t>16/03/2026 Se revisa en reunión con Procex la regla incluida del 05/03/26 y se adiciona al denominador que la vigencia sea de años previos.  5/03/2026  Se incluyen regla en el denominador.  12/12/2025 Se modifica meta del indicador para especial y puntaje, eyav.  //31/03/2025 Se actualiza a ultima Resolución de Cups 2275/2023 en variable fuente.  05/03/2025 Se ajusta nombre del indicador, definición operacional, definición del numerador y población del denominador, Se ajusta marcación de exclusiones en numerador.  11/02/2025 Se realiza eliminación de los 3 meses de afiliación. 9/12/2024: se aumenta puntaje , EYAV</t>
  </si>
  <si>
    <t>16/03/2026 Se revisa en reunión con Procex la regla incluida del 05/03/26 y se adiciona al denominador que la vigencia sea de años previos.  5/03/2026  Se incluyen regla en el denominador.  15/12/2025: se ajusta nombre del indicador, meta, eyav//  31/03/2025 Se actualiza a ultima Resolución de Cups 2275/2023 en variable fuente.  9/12/2024: Se cambia a informativo, EYAV</t>
  </si>
  <si>
    <t>16/03/2026 Se revisa en reunión con Procex la regla incluida del 05/03/26 y se adiciona al denominador que la vigencia sea de años previos.  5/03/2026  Se incluyen regla en el denominador.  12/12/2025 Se modifica meta del indicador.  //31/03/2025 Se actualiza a ultima Resolución de Cups 2275/2023 en variable fuente.  05/03/2025 Se ajusta nombre del indicador, definición operacional, definición del numerador, pobalción del numerador.  06/02/2025 se elimina de fichas 3 meses o mas de afiliación al mes evaluado. 17/12/2024 se adiciona CIE Z002 en la Fuente, y se completa puntaje //9/12/2024: Se cambia a evaluativo; se incrementa meta y se cambia el puntaje, EYAV.</t>
  </si>
  <si>
    <t>16/03/2026 Se revisa en reunión con Procex la regla incluida del 05/03/26 y se adiciona al denominador que la vigencia sea de años previos.  5/03/2026  Se incluyen regla en el denominador.  31/03/2025 Se actualiza a ultima Resolución de Cups 2275/2023 en variable fuente.  11/02/2025 Se realiza eliminación de los 3 meses de afiliación.</t>
  </si>
  <si>
    <t>16/03/2026 Se revisa en reunión con Procex la regla incluida del 05/03/26 y se adiciona al denominador que la vigencia sea de años previos.  5/03/2026  Se incluyen regla en el denominador.  11/02/2025 Se realiza eliminación de los 3 meses de afiliación.</t>
  </si>
  <si>
    <t>16/03/2026 Se revisa en reunión con Procex la regla incluida del 05/03/26 y se adiciona al denominador que la vigencia sea de años previos.  5/03/2026  Se incluyen regla en el denominador.  12/12/2025 Se modifica meta del indicador.  //31/03/2025 Se actualiza a ultima Resolución de Cups 2275/2023 en variable fuente.  05/03/2025 Se ajusta definición operativa, población de numerador y denominador.  06/02/2025 se elimina de fichas 3 meses o mas de afiliación al mes evaluado. 19/12/2024: Cambia a evaluativo, se ajusta la meta y los puntos, eyav.</t>
  </si>
  <si>
    <t>16/03/2026 Se revisa en reunión con Procex la regla incluida del 05/03/26 y se adiciona al denominador que la vigencia sea de años previos.  5/03/2026  Se incluyen regla en el denominador.  12/12/2025 Sin modificación  31/03/2025 Se actualiza a ultima Resolución de Cups 2275/2023 en variable fuente.  11/02/2025 Se realiza eliminación de los 3 meses de afiliación. 19/12/2024: Se cambia a informativo</t>
  </si>
  <si>
    <t>16/03/2026 Se revisa en reunión con Procex la regla incluida del 05/03/26 y se adiciona al denominador que la vigencia sea de años previos.  5/03/2026  Se incluyen regla en el denominador.  12/12/2025 Sin modificación  31/03/2025 Se actualiza a ultima Resolución de Cups 2275/2023 en variable fuente.  11/02/2025 Se realiza eliminación de los 3 meses de afiliación. 19/12/2024: Se cambia a informativo, EYAV</t>
  </si>
  <si>
    <t>16/03/2026 Se revisa en reunión con Procex la regla incluida del 05/03/26 y se adiciona al denominador que la vigencia sea de años previos.  5/03/2026  Se incluyen regla en el denominador.  15/12/2025: se ajusta meta, eyav... este indicador debe revisarse porque hay riesgo de duplicidad de datos en el numerador, eyav // 31/03/2025 Se actualiza a ultima Resolución de Cups 2275/2023 en variable fuente.  05/03/2025 Se ajusta definición operacional, población numerador y denominador.  11/02/2025 Se realiza eliminación de los 3 meses de afiliación.</t>
  </si>
  <si>
    <t>16/03/2026 Se revisa en reunión con Procex la regla incluida del 05/03/26 y se adiciona al denominador que la vigencia sea de años previos.  5/03/2026  Se incluyen regla en el denominador.  31/03/2025 Se actualiza a ultima Resolución de Cups 2275/2023 en variable fuente.  05/03/2025 Se ajusta nombre del indicador, definición operacional, población numerador y denominador.  11/02/2025 Se realiza eliminación de los 3 meses de afiliación.</t>
  </si>
  <si>
    <t>16/03/2026 Se revisa en reunión con Procex la regla incluida del 05/03/26 y se adiciona al denominador que la vigencia sea de años previos.  5/03/2026  Se incluyen regla en el denominador.  31/03/2025 Se actualiza a ultima Resolución de Cups 2275/2023 en variable fuente.  05/03/2025 Se ajusta población del numerador y denominador. 11/02/2025 Se realiza eliminación de los 3 meses de afiliación.</t>
  </si>
  <si>
    <t>16/03/2026 Se revisa en reunión con Procex la regla incluida del 05/03/26 y se adiciona al denominador que la vigencia sea de años previos.  5/03/2026  Se incluyen regla en el denominador.  30/04/2025 Se modifica fuente del denominador.  31/03/2025 Se actualiza a ultima Resolución de Cups 2275/2023 en variable fuente.  05/03/2025 Se ajusta nombre del indicador, definición operativa,poblacion del numerador y denominador, Se ajuste puntaje.  11/02/2025 Se realiza eliminación de los 3 meses de afiliación. 19/12/2024: se ajusta la meta y los puntos, eyav.</t>
  </si>
  <si>
    <t>16/03/2026 Se revisa en reunión con Procex la regla incluida del 05/03/26 y se adiciona al denominador que la vigencia sea de años previos.  5/03/2026  Se incluyen regla en el denominador.  12/12/2025 Sin modificación  05/03/2025 Se ajusta definición operacional, definición del denominador, población del numerador y denominador, fuente numerador, exclusion numerador, se actualiza la observación del indicador y cohorte para validar.  09/12/2024: Se ajusta meta teniendo en cuenta los porcentajes de cada curso de vida, descritos en la Res 2364 de 2023; se ajsuta puntaje.</t>
  </si>
  <si>
    <t>2.5% de las consultas de primera vez en consulta externa por cualquier causa, derivada del año inmediatamente anterior al evaluado a mayores de 15 años.
Dividido en 12 multiplicado por el mes a evaluar
IPS Nueva:
2.5% de la población mayor de 15 años
Dividido en 12 multiplicado por el mes a evaluar</t>
  </si>
  <si>
    <t>EXPLICACIONES DE AJUSTES</t>
  </si>
  <si>
    <t>61,0 X 100.000</t>
  </si>
  <si>
    <t>291,8 x 100.000</t>
  </si>
  <si>
    <t>Población de 0 años a 5 años- 11 meses y 29 dias</t>
  </si>
  <si>
    <t>Número total de usuarios con VPS efectiva (cualquier tipo de visita: primera vez, seguimiento o salud publica) en cualquier momento de la vida</t>
  </si>
  <si>
    <t>Que registran consulta de optometria /Oftalmologia en los siguientes (90 días), posterior o igual a la fecha de VPS</t>
  </si>
  <si>
    <r>
      <rPr>
        <sz val="10"/>
        <color rgb="FFFF0000"/>
        <rFont val="Calibri Light"/>
        <family val="2"/>
        <scheme val="major"/>
      </rPr>
      <t>niños y niñas</t>
    </r>
    <r>
      <rPr>
        <sz val="10"/>
        <color rgb="FF000000"/>
        <rFont val="Calibri Light"/>
        <family val="2"/>
        <scheme val="major"/>
      </rPr>
      <t xml:space="preserve"> que registran fecha de aplicación de vacuna </t>
    </r>
    <r>
      <rPr>
        <sz val="10"/>
        <color rgb="FFFF0000"/>
        <rFont val="Calibri Light"/>
        <family val="2"/>
        <scheme val="major"/>
      </rPr>
      <t>tercera dosis de pentavalente</t>
    </r>
    <r>
      <rPr>
        <sz val="10"/>
        <color rgb="FF000000"/>
        <rFont val="Calibri Light"/>
        <family val="2"/>
        <scheme val="major"/>
      </rPr>
      <t>,  en los siguientes (90 días</t>
    </r>
    <r>
      <rPr>
        <strike/>
        <sz val="10"/>
        <color rgb="FF000000"/>
        <rFont val="Calibri Light"/>
        <family val="2"/>
        <scheme val="major"/>
      </rPr>
      <t>)</t>
    </r>
    <r>
      <rPr>
        <sz val="10"/>
        <color rgb="FF000000"/>
        <rFont val="Calibri Light"/>
        <family val="2"/>
        <scheme val="major"/>
      </rPr>
      <t>, posterior o igual a la fecha de la VPS.</t>
    </r>
  </si>
  <si>
    <r>
      <t xml:space="preserve">Población mayor o igual a 18 años que registran consulta de medicina, medicina familiar, medicina interna o enfermerìa en los siguientes </t>
    </r>
    <r>
      <rPr>
        <b/>
        <sz val="10"/>
        <color rgb="FFFF0000"/>
        <rFont val="Calibri Light"/>
        <family val="2"/>
        <scheme val="major"/>
      </rPr>
      <t>90 días</t>
    </r>
    <r>
      <rPr>
        <sz val="10"/>
        <rFont val="Calibri Light"/>
        <family val="2"/>
        <scheme val="major"/>
      </rPr>
      <t>, incluyendo fecha de VPS</t>
    </r>
  </si>
  <si>
    <r>
      <rPr>
        <sz val="10"/>
        <color rgb="FF000000"/>
        <rFont val="Calibri Light"/>
        <family val="2"/>
        <scheme val="major"/>
      </rPr>
      <t>Afiliados residentes donde hay MGE, que fueron identificados con TA elevada, (</t>
    </r>
    <r>
      <rPr>
        <sz val="10"/>
        <color rgb="FFFF0000"/>
        <rFont val="Calibri Light"/>
        <family val="2"/>
        <scheme val="major"/>
      </rPr>
      <t>&gt;=120</t>
    </r>
    <r>
      <rPr>
        <sz val="10"/>
        <color rgb="FF000000"/>
        <rFont val="Calibri Light"/>
        <family val="2"/>
        <scheme val="major"/>
      </rPr>
      <t xml:space="preserve"> sistolica), durante la VPS
</t>
    </r>
  </si>
  <si>
    <r>
      <rPr>
        <sz val="10"/>
        <color rgb="FF000000"/>
        <rFont val="Calibri Light"/>
        <family val="2"/>
        <scheme val="major"/>
      </rPr>
      <t xml:space="preserve">1- Fuente poblacion actual, niños entre 5 </t>
    </r>
    <r>
      <rPr>
        <sz val="10"/>
        <color rgb="FFFF0000"/>
        <rFont val="Calibri Light"/>
        <family val="2"/>
        <scheme val="major"/>
      </rPr>
      <t>meses</t>
    </r>
    <r>
      <rPr>
        <sz val="10"/>
        <color rgb="FF000000"/>
        <rFont val="Calibri Light"/>
        <family val="2"/>
        <scheme val="major"/>
      </rPr>
      <t xml:space="preserve"> a 11 meses y 29 dias (activos de acuerdo con el periodo a evaluar).
2- Archivo de visitas: variables, clasificación "efectiva" tipo de visita cualquier tipo de visita)
</t>
    </r>
    <r>
      <rPr>
        <sz val="10"/>
        <color rgb="FFFF0000"/>
        <rFont val="Calibri Light"/>
        <family val="2"/>
        <scheme val="major"/>
      </rPr>
      <t>3- Carga de Archivos &gt; MGE &gt; ACS &gt; Visitas ACS, variables: "Tipo de visita" opción (cualquier tipo de visita) -- "Clasificación de la visita" (efectiva).</t>
    </r>
  </si>
  <si>
    <t>1- Población general de 3 años o más - activa sin importar regimen, que registran VPS</t>
  </si>
  <si>
    <r>
      <t xml:space="preserve">Población actual general activo </t>
    </r>
    <r>
      <rPr>
        <sz val="10"/>
        <color rgb="FFFF0000"/>
        <rFont val="Calibri Light"/>
        <family val="2"/>
        <scheme val="major"/>
      </rPr>
      <t>entre los</t>
    </r>
    <r>
      <rPr>
        <sz val="10"/>
        <rFont val="Calibri Light"/>
        <family val="2"/>
        <scheme val="major"/>
      </rPr>
      <t xml:space="preserve"> 5 a 11 meses y 29 dias con la realizacion de la actividad</t>
    </r>
  </si>
  <si>
    <r>
      <rPr>
        <sz val="10"/>
        <color rgb="FF000000"/>
        <rFont val="Calibri Light"/>
        <family val="2"/>
        <scheme val="major"/>
      </rPr>
      <t xml:space="preserve">Población actual general activo </t>
    </r>
    <r>
      <rPr>
        <sz val="10"/>
        <color rgb="FFFF0000"/>
        <rFont val="Calibri Light"/>
        <family val="2"/>
        <scheme val="major"/>
      </rPr>
      <t>entre</t>
    </r>
    <r>
      <rPr>
        <sz val="10"/>
        <color rgb="FF000000"/>
        <rFont val="Calibri Light"/>
        <family val="2"/>
        <scheme val="major"/>
      </rPr>
      <t xml:space="preserve"> los 5 </t>
    </r>
    <r>
      <rPr>
        <sz val="10"/>
        <color rgb="FFFF0000"/>
        <rFont val="Calibri Light"/>
        <family val="2"/>
        <scheme val="major"/>
      </rPr>
      <t>meses</t>
    </r>
    <r>
      <rPr>
        <sz val="10"/>
        <color rgb="FF000000"/>
        <rFont val="Calibri Light"/>
        <family val="2"/>
        <scheme val="major"/>
      </rPr>
      <t xml:space="preserve"> a 11 meses y 29 dias, que recibieron VPS </t>
    </r>
    <r>
      <rPr>
        <sz val="10"/>
        <color rgb="FFFF0000"/>
        <rFont val="Calibri Light"/>
        <family val="2"/>
        <scheme val="major"/>
      </rPr>
      <t>efectiva</t>
    </r>
  </si>
  <si>
    <t>núm</t>
  </si>
  <si>
    <t>1- RIPS:
* CUPS Finalidad 4 o CIE-10 Z001
890201 (consulta de primera vez por medicina general)
890301 (Consulta de control o seguimiento por medicina general)
890283 (consulta de primera vez por especialista en pediatría)
890383 (Consulta de control o seguimiento por especialista en pediatría)
890263 (consulta de primera vez por especialista en medicina familiar)
890363 (Consulta de control o seguimiento por especialista en medicina familiar)
* Res 2275 - CUPS con finalidad 11 o CIE-10: Z001
890201 (consulta de primera vez por medicina general)
890301 (Consulta de control o seguimiento por medicina general)
890283 (consulta de primera vez por especialista en pediatría)
890383 (Consulta de control o seguimiento por especialista en pediatría)
890263 (consulta de primera vez por especialista en medicina familiar)
890363 (Consulta de control o seguimiento por especialista en medicina familiar)</t>
  </si>
  <si>
    <t>1- RIPS: CUPS:
890205 (Consulta de primera vez por enfermería)
890305 (Consulta de control o de seguimiento por enfermería)</t>
  </si>
  <si>
    <t>1- RIPS 
* CUPS: MEDICINA con finalidad 4 o con CIE-10 Z001
890201 (consulta de primera vez por medicina general)
890301 (Consulta de control o seguimiento por medicina general)
890263 (consulta de primera vez por especialista en medicina familiar)
890363 (Consulta de control o seguimiento por especialista en medicina familiar)
890283 (consulta de primera vez por especialista en pediatría)
890383 (Consulta de control o seguimiento por especialista en pediatría)
* Res 2275 - CUPS con finalidad 11 o CIE-10: Z001
890201 (consulta de primera vez por medicina general)
890301 (Consulta de control o seguimiento por medicina general)
890283 (consulta de primera vez por especialista en pediatría)
890383 (Consulta de control o seguimiento por especialista en pediatría)
890263 (consulta de primera vez por especialista en medicina familiar)
890363 (Consulta de control o seguimiento por especialista en medicina familiar)
* CUPS: ENFERMERIA
890205 (Consulta de primera vez por enfermería)
890305 (Consulta de control o de seguimiento por enfermería)</t>
  </si>
  <si>
    <t>1- RIPS 
* CUPS: MEDICINA con finalidad 4 o con CIE-10 Z001
890201 (consulta de primera vez por medicina general)
890301 (Consulta de control o seguimiento por medicina general)
890263 (consulta de primera vez por especialista en medicina familiar)
890363 (Consulta de control o seguimiento por especialista en medicina familiar)
890283 (consulta de primera vez por especialista en pediatría)
890383 (Consulta de control o seguimiento por especialista en pediatría)
* Res 2275 - CUPS con finalidad 11 o CIE-10: Z001
890201 (consulta de primera vez por medicina general)
890301 (Consulta de control o seguimiento por medicina general)
890283 (consulta de primera vez por especialista en pediatría)
890383 (Consulta de control o seguimiento por especialista en pediatría)
890263 (consulta de primera vez por especialista en medicina familiar)
890363 (Consulta de control o seguimiento por especialista en medicina familiar)</t>
  </si>
  <si>
    <t>1- RIPS 
* CUPS: ENFERMERIA
890205 (Consulta de primera vez por enfermería)
890305 (Consulta de control o de seguimiento por enfermería)</t>
  </si>
  <si>
    <t>*RIPS
890283 (consulta de primera vez por especialista en pediatría)
890383 (Consulta de control o seguimiento por especialista en pediatría)</t>
  </si>
  <si>
    <t>RIPS
890283 (consulta de primera vez por especialista en pediatría)
890383 (Consulta de control o seguimiento por especialista en pediatría)</t>
  </si>
  <si>
    <t>1- RIPS: CUPS
890205 (Consulta de primera vez por enfermería)
890305 (Consulta de control o de seguimiento por enfermería)</t>
  </si>
  <si>
    <t>1- RIPS 
* CUPS: MEDICINA con finalidad 4 o con CIE-10 Z001 o Z002
890201 (consulta de primera vez por medicina general)
890301 (Consulta de control o seguimiento por medicina general)
890263 (consulta de primera vez por especialista en medicina familiar)
890363 (Consulta de control o seguimiento por especialista en medicina familiar)
890283 (consulta de primera vez por especialista en pediatría)
890383 (Consulta de control o seguimiento por especialista en pediatría)
* Res 2275 - CUPS con finalidad 11 o CIE-10: Z001 o Z002
890201 (consulta de primera vez por medicina general)
890301 (Consulta de control o seguimiento por medicina general)
890263 (consulta de primera vez por especialista en medicina familiar)
890363 (Consulta de control o seguimiento por especialista en medicina familiar)
890283 (consulta de primera vez por especialista en pediatría)
890383 (Consulta de control o seguimiento por especialista en pediatría)
* CUPS: ENFERMERIA
890205 (Consulta de primera vez por enfermería)
890305 (Consulta de control o de seguimiento por enfermería)</t>
  </si>
  <si>
    <t>1- RIPS 
* CUPS: MEDICINA con finalidad 4 o con CIE-10 Z001
890201 (consulta de primera vez por medicina general)
890301 (Consulta de control o seguimiento por medicina general)
890263 (consulta de primera vez por especialista en medicina familiar)
890363 (Consulta de control o seguimiento por especialista en medicina familiar)
890283 (consulta de primera vez por especialista en pediatría)
890383 (Consulta de control o seguimiento por especialista en pediatría)
* Res 2275 - CUPS con finalidad 11 o CIE-10: Z001
890201 (consulta de primera vez por medicina general)
890301 (Consulta de control o seguimiento por medicina general)
890263 (consulta de primera vez por especialista en medicina familiar)
890363 (Consulta de control o seguimiento por especialista en medicina familiar)
890283 (consulta de primera vez por especialista en pediatría)
890383 (Consulta de control o seguimiento por especialista en pediatría)</t>
  </si>
  <si>
    <t>1- RIPS 
* CUPS: ENFERMERIA
890205 (Consulta de primera vez por enfermería)
890305 (Consulta de control o de seguimiento por enfermería)</t>
  </si>
  <si>
    <t>1- RIPS 
* CUPS con Finalidad 11 (anterior Finalidad 5)  o CIE-10: Z003
890201 (consulta de primera vez por medicina general)
890301 (Consulta de control o seguimiento por medicina general)
890263 (consulta de primera vez por especialista en medicina familiar)
890363 (Consulta de control o seguimiento por especialista en medicina familiar)
890283 (consulta de primera vez por especialista en pediatría)
890383 (Consulta de control o seguimiento por especialista en pediatría)
* Res 2275 - CUPS con finalidad 11 o CIE-10: Z003
890201 (consulta de primera vez por medicina general)
890301 (Consulta de control o seguimiento por medicina general)
890263 (consulta de primera vez por especialista en medicina familiar)
890363 (Consulta de control o seguimiento por especialista en medicina familiar)
890283 (consulta de primera vez por especialista en pediatría)
890383 (Consulta de control o seguimiento por especialista en pediatría)</t>
  </si>
  <si>
    <t>1- RIPS 
* CUPS con Finalidad 11 (anterior Finalidad 5)  o CIE-10: Z003
890205 (Consulta de primera vez por enfermería)
890305 (Consulta de control o de seguimiento por enfermería)
* Res 2275 - CUPS con finalidad 11 o CIE-10: Z003
890205 (Consulta de primera vez por enfermería)
890305 (Consulta de control o de seguimiento por enfermería)</t>
  </si>
  <si>
    <t>1- RIPS 
MEDICINA:
* CUPS Finalidad 11 (anterior Finalidad 5)  o CIE-10: Z003
890201 (consulta de primera vez por medicina general)
890301 (Consulta de control o seguimiento por medicina general)
890263 (consulta de primera vez por especialista en medicina familiar)
890363 (Consulta de control o seguimiento por especialista en medicina familiar)
890283 (consulta de primera vez por especialista en pediatría)
890383 (Consulta de control o seguimiento por especialista en pediatría)
* Res 2275 - CUPS con finalidad 11 o CIE-10: Z003
890201 (consulta de primera vez por medicina general)
890301 (Consulta de control o seguimiento por medicina general)
890263 (consulta de primera vez por especialista en medicina familiar)
890363 (Consulta de control o seguimiento por especialista en medicina familiar)
890283 (consulta de primera vez por especialista en pediatría)
890383 (Consulta de control o seguimiento por especialista en pediatría)
ENFERMERIA
* CUPS con Finalidad 11 (anterior Finalidad 5)  o CIE-10: Z003
890205 (Consulta de primera vez por enfermería)
890305 (Consulta de control o de seguimiento por enfermería)
* Res 2275 - CUPS con finalidad 11 o CIE-10: Z003
890205 (Consulta de primera vez por enfermería)
890305 (Consulta de control o de seguimiento por enfermería)</t>
  </si>
  <si>
    <t>1- RIPS 
MEDICINA:
* CUPS Finalidad 11 (anterior Finalidad 5)  o CIE-10: Z003
890201 (consulta de primera vez por medicina general)
890301 (Consulta de control o seguimiento por medicina general)
890263 (consulta de primera vez por especialista en medicina familiar)
890363 (Consulta de control o seguimiento por especialista en medicina familiar)
890283 (consulta de primera vez por especialista en pediatría)
890383 (Consulta de control o seguimiento por especialista en pediatría)
* Res 2275 - CUPS con finalidad 11 o CIE-10: Z003
890201 (consulta de primera vez por medicina general)
890301 (Consulta de control o seguimiento por medicina general)
890263 (consulta de primera vez por especialista en medicina familiar)
890363 (Consulta de control o seguimiento por especialista en medicina familiar)
890283 (consulta de primera vez por especialista en pediatría)
890383 (Consulta de control o seguimiento por especialista en pediatría)</t>
  </si>
  <si>
    <t>1- RIPS 
ENFERMERIA
* CUPS con Finalidad 11 (anterior Finalidad 5)  o CIE-10: Z003
890205 (Consulta de primera vez por enfermería)
890305 (Consulta de control o de seguimiento por enfermería)
* Res 2275 - CUPS con finalidad 11 o CIE-10: Z003
890205 (Consulta de primera vez por enfermería)
890305 (Consulta de control o de seguimiento por enfermería)</t>
  </si>
  <si>
    <t>1- RIPS:
* CUPS con finalidad 7:
890201 (consulta de primera vez por medicina general)
890301 (Consulta de control o seguimiento por medicina general)
890263 (consulta de primera vez por especialista en medicina familiar)
890363 (Consulta de control o seguimiento por especialista en medicina familiar)
* Res 2275 - CUPS con finalidad 11
890201 (consulta de primera vez por medicina general)
890301 (Consulta de control o seguimiento por medicina general)
890263 (consulta de primera vez por especialista en medicina familiar)
890363 (Consulta de control o seguimiento por especialista en medicina familiar)
2- Res 202: Variable 52 - Fecha Valida
Edad a la fecha de corte y a la fecha de la consulta</t>
  </si>
  <si>
    <t>1- RIPS:
* CUPS con finalidad 7:
890201 (consulta de primera vez por medicina general)
890301 (Consulta de control o seguimiento por medicina general)
890263 (consulta de primera vez por especialista en medicina familiar)
890363 (Consulta de control o seguimiento por especialista en medicina familiar)
* Res 2275 - CUPS con finalidad 11
890201 (consulta de primera vez por medicina general)
890301 (Consulta de control o seguimiento por medicina general)
890263 (consulta de primera vez por especialista en medicina familiar)
890363 (Consulta de control o seguimiento por especialista en medicina familiar)
2- Res 202: Variable 52 - Fecha Valida
Edad a la fecha de la consulta</t>
  </si>
  <si>
    <t>1- RIPS 
* CUPS con finalidad 7
890201 (consulta de primera vez por medicina general)
890301 (Consulta de control o seguimiento por medicina general)
890263 (consulta de primera vez por especialista en medicina familiar)
890363 (Consulta de control o seguimiento por especialista en medicina familiar) 
* Res 2275 - CUPS con finalidad 11 
890201 (consulta de primera vez por medicina general)
890301 (Consulta de control o seguimiento por medicina general)
890263 (consulta de primera vez por especialista en medicina familiar)
890363 (Consulta de control o seguimiento por especialista en medicina familiar)
2- Res 202 Variable 52 - Fecha valida
Edad a la fecha de corte y a la fecha de la consulta</t>
  </si>
  <si>
    <t>1- RIPS 
* CUPS con finalidad 7
890201 (consulta de primera vez por medicina general)
890301 (Consulta de control o seguimiento por medicina general)
890263 (consulta de primera vez por especialista en medicina familiar)
890363 (Consulta de control o seguimiento por especialista en medicina familiar) 
* Res 2275 - CUPS con finalidad 11 
890201 (consulta de primera vez por medicina general)
890301 (Consulta de control o seguimiento por medicina general)
890263 (consulta de primera vez por especialista en medicina familiar)
890363 (Consulta de control o seguimiento por especialista en medicina familiar)
2- Res 202 Variable 52 - Fecha valida
Edad a la fecha de la consulta</t>
  </si>
  <si>
    <t>1- RIPS: AM: MD008978, V06DX y A&amp;A: 60788
Fecha Dispensación: Corresponde a la fecha y  hora en la cual se dispensó o administró el medicamento al paciente
Cantidad Medicamento: Cantidad de unidades mínimas del medicamento dispensadas o administradas
2-  Medicamentos cargado por datos adicionales: MICRONUTRIENTES_POLVO</t>
  </si>
  <si>
    <t>1- RIPS: AM y los ATC B03AA07 (Sulfato ferroso) y B03AA02 (Fumarato ferroso), CUMS 19963969-01 y 19963970-01
Fecha Dispensación: Corresponde a la fecha y  hora en la cual se dispensó o administró el medicamento al paciente
Cantidad Medicamento: Cantidad de unidades mínimas del medicamento dispensadas o administradas
2- Archivo medicamentos cargado por datos adicionales: SULFATO_FERROSO</t>
  </si>
  <si>
    <t>1- RIPS: AM, ATC A11CA01 (Retinol-Vitamina A) 19904368-03
Fecha Dispensación: Corresponde a la fecha y  hora en la cual se dispensó o administró el medicamento al paciente
Cantidad Medicamento: Cantidad de unidades mínimas del medicamento dispensadas o administradas
2- Archivo medicamentos cargado por datos adicionales: VITAMINA_A</t>
  </si>
  <si>
    <t>1- RIPS: AM: Albendazol:  ATC-P02CA03 y Mebendazol: ATC-P02CA01, 
Fecha Dispensación: Corresponde a la fecha y  hora en la cual se dispensó o administró el medicamento al paciente
Cantidad Medicamento: Cantidad de unidades mínimas del medicamento dispensadas o administradas
2-  Medicamentos cargado por datos adicionales: ANTIPARASITARIO</t>
  </si>
  <si>
    <t>1- RIPS, Fecha válida de los siguientes CUPS:
907106 (uroanálisis)
903841 (glucosa en suero u otro fluido diferente a orina)
903895 (creatinina en suero u otros fluidos)
903825 (creatinina en suero u otros fluidos)
903868 (triglicéridos)
903818 (colesterol total)
903815 (colesterol de alta densidad)
903816 (colesterol de baja densidad semiautomatizado)
903817 (colesterol de baja densidad LDL automatizado)
Contar el número de personas con resultados en todos los CUPS
2- Res 202 - variables con fecha válida:
Variable 72 - Fecha LDL
Variable 105 - Fecha glicemia
Variable 106 - Fecha Creatinina
Variable 111 - Fecha HDL
Variable 118 - Fecha Triglicéridos
(no se validará resultado, dado que RIPS no se tiene la opción)</t>
  </si>
  <si>
    <t>1- RIPS, Fecha válida de los siguientes CUPS:
907106 (uroanálisis)
903841 (glucosa en suero u otro fluido diferente a orina)
903895 (creatinina en suero u otros fluidos)
903825 (creatinina en suero u otros fluidos)
903868 (triglicéridos)
903818 (colesterol total)
903815 (colesterol de alta densidad)
903816 (colesterol de baja densidad semiautomatizado)
903817 (colesterol de baja densidad LDL automatizado)
Contar el número de personas con resultados en todos los 
2- Res 202 - variables con fecha válida:
Variable 72 - Fecha LDL
Variable 105 - Fecha glicemia
Variable 106 - Fecha Creatinina
Variable 111 - Fecha HDL
Variable 118 - Fecha Triglicéridos
(no se validará resultado, dado que RIPS no se tiene la opción)</t>
  </si>
  <si>
    <t>1- RIPS: CUPS: 
230100 - EXODONCIA DE DIENTES PERMANENTES SOD
230101 - EXODONCIA DE DIENTE PERMANENTE UNIRRADICULAR
230102 - EXODONCIA DE DIENTE PERMANENTE MULTIRRADICULAR
230200 - EXODONCIA DE DIENTES TEMPORALES SOD
230201 - EXODONCIA DE DIENTE TEMPORAL UNIRRADICULAR
230202 - EXODONCIA DE DIENTE TEMPORAL MULTIRRADICULAR
231100 - EXODONCIA QUIRURGICA UNIRRADICULAR SOD
231200 - EXODONCIA QUIRURGICA MULTIRRADICULAR SOD
231300 - EXODONCIA DE DIENTE INCLUIDO SOD
231301 - EXODONCIA DE INCLUIDO EN POSICION ECTOPICA CON ABORDAJE INTRAORAL
231302 - EXODONCIA DE INCLUIDO EN POSICION ECTOPICA CON ABORDAJE EXTRAORAL
231400 - EXODONCIAS MULTIPLES CON ALVEOLOPLASTIA, POR CUADRANTE SOD</t>
  </si>
  <si>
    <t>1- RIPS: 
* CUPS con Finalidad 8 o CIE-10 Z010
950601, 890307,890207, 890201, 890202,890301, 890305, 890701
2- RES 202 Variable 62 fecha válida</t>
  </si>
  <si>
    <t xml:space="preserve">1- Res 202
  Variable 55: SEGÚN VIGENCIA
 Variable 54: 1,2,3,4,5,6,7,8,9,1013,14
2- RIPS AP - CUPS: 663910 - 663100 - 697100 - 861801
</t>
  </si>
  <si>
    <t xml:space="preserve">1- Res 202 Variable 54: 13, 14
2- RIPS AP - CUPS: 663910 - 663100 - 662200 - 662100
3 Datos adicionales cargados a Si gires
</t>
  </si>
  <si>
    <t>1- RIPS: 
* CUPS con Finalidad 3 o CUPS con CIE-10 Z300, Z304, Z308; Z309
890201 (consulta de primera vez por medicina general)
890301 (Consulta de control o seguimiento por medicina general)
890283 (consulta de primera vez por especialista en pediatría)
890383 (Consulta de control o seguimiento por especialista en pediatría)
890250 (consulta de primera vez por especialista en ginecología y obstetricia)
890350 (consulta de control o seguimiento por especialista en ginecología y obstetricia)
890263 (consulta de primera vez por especialista en medicina familiar)
890363 (Consulta de control o seguimiento por especialista en medicina familiar)
890205 (Consulta de primera vez por enfermería)
890305 (Consulta de control o de seguimiento por enfermería)
* Res 2275 CUPS con Finalidad 19 o CUPS con CIE-10 Z300, Z304, Z308; Z309
890201 (consulta de primera vez por medicina general)
890301 (Consulta de control o seguimiento por medicina general)
890283 (consulta de primera vez por especialista en pediatría)
890383 (Consulta de control o seguimiento por especialista en pediatría)
890250 (consulta de primera vez por especialista en ginecología y obstetricia)
890350 (consulta de control o seguimiento por especialista en ginecología y obstetricia)
890263 (consulta de primera vez por especialista en medicina familiar)
890363 (Consulta de control o seguimiento por especialista en medicina familiar)
890205 (Consulta de primera vez por enfermería)
890305 (Consulta de control o de seguimiento por enfermería)
2- Res 202 Variable 53 - fecha válida (mas reciente)</t>
  </si>
  <si>
    <t xml:space="preserve">1- Res 202 Variable 54: 1,2,3,4,5,6,7,8,9,10,13,14
2- RIPS AP - CUPS: 663910 - 663100 - 697100 - 861801
</t>
  </si>
  <si>
    <t>1- RIPS: 
* CUPS con Finalidad 3 o CUPS con CIE-10 Z300, Z304, Z308; Z309
890201 (consulta de primera vez por medicina general)
890301 (Consulta de control o seguimiento por medicina general)
890283 (consulta de primera vez por especialista en pediatría)
890383 (Consulta de control o seguimiento por especialista en pediatría)
890250 (consulta de primera vez por especialista en ginecología y obstetricia)
890350 (consulta de control o seguimiento por especialista en ginecología y obstetricia)
890263 (consulta de primera vez por especialista en medicina familiar)
890363 (Consulta de control o seguimiento por especialista en medicina familiar)
890205 (Consulta de primera vez por enfermería)
890305 (Consulta de control o de seguimiento por enfermería)
* Res 2275 CUPS con Finalidad 19 o CUPS con CIE-10 Z300, Z304, Z308; Z309
890201 (consulta de primera vez por medicina general)
890301 (Consulta de control o seguimiento por medicina general)
890283 (consulta de primera vez por especialista en pediatría)
890383 (Consulta de control o seguimiento por especialista en pediatría)
890250 (consulta de primera vez por especialista en ginecología y obstetricia)
890350 (consulta de control o seguimiento por especialista en ginecología y obstetricia)
890263 (consulta de primera vez por especialista en medicina familiar)
890363 (Consulta de control o seguimiento por especialista en medicina familiar)
890205 (Consulta de primera vez por enfermería)
890305 (Consulta de control o de seguimiento por enfermería)
2- Res 202 Variable 53 - fecha válida</t>
  </si>
  <si>
    <t xml:space="preserve">1- Res 202
  Variable 55: SEGÚN VIGENCIA 
 Variable 54: 1,2,3,4,5,6,7,8,9,1013,14
2- RIPS AP - CUPS: 663910 - 663100 - 697100 - 861801
</t>
  </si>
  <si>
    <t xml:space="preserve">1- Res 202
 Variable 55: SEGÚN VIGENCIA
 Variable 54: 1,2,3,4,5,6,7,8,9,1013,14
2- RIPS AP - CUPS: 663910 - 663100 - 697100 - 861801
</t>
  </si>
  <si>
    <t xml:space="preserve">1- RIPS: 
* CUPS con Finalidad 3 o CUPS con CIE-10 Z300, Z304, Z308; Z309
890201 (consulta de primera vez por medicina general)
890301 (Consulta de control o seguimiento por medicina general)
890283 (consulta de primera vez por especialista en pediatría)
890383 (Consulta de control o seguimiento por especialista en pediatría)
890250 (consulta de primera vez por especialista en ginecología y obstetricia)
890350 (consulta de control o seguimiento por especialista en ginecología y obstetricia)
890263 (consulta de primera vez por especialista en medicina familiar)
890363 (Consulta de control o seguimiento por especialista en medicina familiar)
890205 (Consulta de primera vez por enfermería)
890305 (Consulta de control o de seguimiento por enfermería)
* Res 2275 CUPS con Finalidad 19 o CUPS con CIE-10 Z300, Z304, Z308; Z309
890201 (consulta de primera vez por medicina general)
890301 (Consulta de control o seguimiento por medicina general)
890283 (consulta de primera vez por especialista en pediatría)
890383 (Consulta de control o seguimiento por especialista en pediatría)
890250 (consulta de primera vez por especialista en ginecología y obstetricia)
890350 (consulta de control o seguimiento por especialista en ginecología y obstetricia)
890263 (consulta de primera vez por especialista en medicina familiar)
890363 (Consulta de control o seguimiento por especialista en medicina familiar)
890205 (Consulta de primera vez por enfermería)
890305 (Consulta de control o de seguimiento por enfermería)
2- Res 202 Variable 53 - fecha válida </t>
  </si>
  <si>
    <t>1- RIPS: 
* CUPS con Finalidad 3 o CUPS con CIE-10 Z300, Z304, Z308; Z309
890201 (consulta de primera vez por medicina general)
890301 (Consulta de control o seguimiento por medicina general)
890263 (consulta de primera vez por especialista en medicina familiar)
890363 (Consulta de control o seguimiento por especialista en medicina familiar)
890205 (Consulta de primera vez por enfermería)
890305 (Consulta de control o de seguimiento por enfermería)
* Res 2275 CUPS con Finalidad 19 o CUPS con CIE-10 Z300, Z304, Z308; Z309
890201 (consulta de primera vez por medicina general)
890301 (Consulta de control o seguimiento por medicina general)
890263 (consulta de primera vez por especialista en medicina familiar)
890363 (Consulta de control o seguimiento por especialista en medicina familiar)
890205 (Consulta de primera vez por enfermería)
890305 (Consulta de control o de seguimiento por enfermería)
2- Res 202 Variable 53 - fecha válida</t>
  </si>
  <si>
    <t>1- RIPS AP - CUPS: 637300
2 - RES 202: Variable 54: 13, 14</t>
  </si>
  <si>
    <t>1- RIPS 
* CUPS: MEDICINA 
890201 (consulta de primera vez por medicina general)
890301 (Consulta de control o seguimiento por medicina general)
890263 (consulta de primera vez por especialista en medicina familiar)
890363 (Consulta de control o seguimiento por especialista en medicina familiar)
890254 (consulta de primera vez por especialista en infectologia)
890354 (Consulta de control o seguimiento por especialista en infectologia)
890266	CONSULTA DE PRIMERA VEZ POR ESPECIALISTA EN MEDICINA INTERNA
890366	CONSULTA DE CONTROL O DE SEGUIMIENTO POR ESPECIALISTA EN MEDICINA INTERNA
890250	CONSULTA DE PRIMERA VEZ POR ESPECIALISTA EN GINECOLOGIA Y OBSTETRICIA
890350	CONSULTA DE CONTROL O DE SEGUIMIENTO POR ESPECIALISTA EN GINECOLOGIA Y OBSTETRICIA</t>
  </si>
  <si>
    <t>1- RIPS 
* CUPS: MEDICINA 
890201 (consulta de primera vez por medicina general)
890301 (Consulta de control o seguimiento por medicina general)
890263 (consulta de primera vez por especialista en medicina familiar)
890363 (Consulta de control o seguimiento por especialista en medicina familiar)
890254 (consulta de primera vez por especialista en infectologia)
890354 (Consulta de control o seguimiento por especialista en infectologia)
890246	CONSULTA DE PRIMERA VEZ POR ESPECIALISTA EN GASTROENTEROLOGIA
890346	CONSULTA DE CONTROL O DE SEGUIMIENTO POR ESPECIALISTA EN GASTROENTEROLOGIA
890266	CONSULTA DE PRIMERA VEZ POR ESPECIALISTA EN MEDICINA INTERNA
890366	CONSULTA DE CONTROL O DE SEGUIMIENTO POR ESPECIALISTA EN MEDICINA INTERNA
890250	CONSULTA DE PRIMERA VEZ POR ESPECIALISTA EN GINECOLOGIA Y OBSTETRICIA
890350	CONSULTA DE CONTROL O DE SEGUIMIENTO POR ESPECIALISTA EN GINECOLOGIA Y OBSTETRICIA</t>
  </si>
  <si>
    <t xml:space="preserve">1- RIPS: 
* CUPS con  Finalidad 19 (anterior Finalidad 3) o CUPS con CIE-10 Z300, Z304, Z308, Z309
890201 (consulta de primera vez por medicina general)
890301 (Consulta de control o seguimiento por medicina general)
890250 (consulta de primera vez por especialista en ginecología y obstetricia)
890350 (consulta de control o seguimiento por especialista en ginecología y obstetricia)
890263 (consulta de primera vez por especialista en medicina familiar)
890363 (Consulta de control o seguimiento por especialista en medicina familiar)
890205 (Consulta de primera vez por enfermería)
890305 (Consulta de control o de seguimiento por enfermería)
2- Res 202 Variable 53 - fecha válida </t>
  </si>
  <si>
    <t xml:space="preserve">1- Res 202: Variable 91 "colposcopia" - fecha valida
2- Modulo de gestión: Pestaña colposcopia- fecha válida
3- RIPS CUPS: 702200 -702201 
El CUPS se toman como última opción, debe primar 202 y se toma siempre y cuando se tenga una fecha de una CCV inferior; Los resultados obtenidos con ese CUPS se deben llevar a la cohorte con el fin de que se realice la gestión de la IPS para el resultado en el modulo
</t>
  </si>
  <si>
    <t>1- Modulo de gestión: Pestaña biopsia- fecha válida
2- Res 202: Variable 93 "biopsia cervical" - fecha valida
3-  RIPS CUPS: 702201- 671200- 671201 -671202</t>
  </si>
  <si>
    <t>1- RIPS: CUPS Consulta: 890250, 890350, 890450 
CUPS Conización: 
672001 CONIZACION NCOC
673230 CONIZACION LASER
673400 CONIZACION CON RADIOFRECUENCIA (LETZ) SOD
673401 CONIZACION CON RADIOFRECUENCIA (LETZ) BAJO COLPOSCOPIA
683101	HISTERECTOMÍA SUBTOTAL O SUPRACERVICAL POR LAPAROTOMÍA
683111	HISTERECTOMÍA SUBTOTAL O SUPRACERVICAL, POR LAPAROSCOPIA
684001	HISTERECTOMÍA TOTAL ABDOMINAL CON REMOCIÓN DE MOLA O FETO MUERTO POR LAPAROTOMÍA
684003	HISTERECTOMÍA TOTAL POR LAPAROTOMÍA
684020	HISTERECTOMÍA TOTAL POR LAPAROSCOPIA
684103	HISTERECTOMÍA TOTAL ABDOMINAL AMPLIADA POR LAPAROTOMÍA
684104	HISTERECTOMÍA TOTAL ABDOMINAL AMPLIADA POR LAPAROSCOPIA
672001	CONIZACIÓN CERVICAL
673102	RESECCIÓN DE LESIÓN CUELLO UTERINO
673201	ABLACIÓN DE LESIÓN O TEJIDO DE CUELLO UTERINO
863101	RESECCIÓN DE LESIONES CUTÁNEAS POR CAUTERIZACIÓN, FULGURACIÓN O CRIOTERAPIA EN ÁREA GENERAL, HASTA SEIS LESIONES
863102	RESECCIÓN DE LESIONES CUTÁNEAS POR CAUTERIZACIÓN, FULGURACIÓN O CRIOTERAPIA EN ÁREA GENERAL, MÁS DE SEIS LESIONES
863103	RESECCIÓN DE LESIONES CUTÁNEAS POR CAUTERIZACIÓN, FULGURACIÓN O CRIOTERAPIA EN ÁREA ESPECIAL, HASTA TRES LESIONES
863104	RESECCIÓN DE LESIONES CUTÁNEAS POR CAUTERIZACIÓN, FULGURACIÓN O CRIOTERAPIA EN ÁREA ESPECIAL, ENTRE TRES A DIEZ LESIONES
863105	RESECCIÓN DE LESIONES CUTÁNEAS POR CAUTERIZACIÓN, FULGURACIÓN O CRIOTERAPIA EN ÁREA ESPECIAL, MÁS DE DIEZ LESIONES
2- Módulo de Gestión de casos: Pestaña Cervix/ Complementarios/ : Manejo y direccionamiento: Conducta inicial: (cualquier opción)
Pestaña Tratamiento: Tratamiento (cualquier opción excepto No Aplica y Desconocido)
3- Cargue información adicional cérvix</t>
  </si>
  <si>
    <t>Primera Infancia - Infancia
- Medicina General, Medicina Familiar o Pediatría:
*RIPS: CUPS más la finalidad 4 o (Res 2275 - CUPS con finalidad 11) o CUPS más CIE-10: Z001
890201 (consulta de primera vez por medicina general)
890301 (Consulta de control o seguimiento por medicina general)
890283 (consulta de primera vez por especialista en pediatría)
890383 (Consulta de control o seguimiento por especialista en pediatría)
890263 (consulta de primera vez por especialista en medicina familiar)
890363 (Consulta de control o seguimiento por especialista en medicina familiar)
- Enfermería:
*RIPS: CUPS 
890205 (Consulta de primera vez por enfermería)
890305 (Consulta de control o de seguimiento por enfermería)
Adolescencia:
- Medicina General o Medicina Familiar:
*RIPS: CUPS más finalidad 5 o (Res 2275 - CUPS con finalidad 11)  o CUPS más CIE-10: Z003
890201 (consulta de primera vez por medicina general)
890301 (Consulta de control o seguimiento por medicina general)
890263 (consulta de primera vez por especialista en medicina familiar)
890363 (Consulta de control o seguimiento por especialista en medicina familiar)
- Enfermería:
*RIPS: CUPS más finalidad 4 o 5 o (Res 2275 - CUPS con finalidad 11)  o CUPS más CIE-10: Z003
890205 (Consulta de primera vez por enfermería)
890305 (Consulta de control o de seguimiento por enfermería)
Juventud:
- Medicina General o Medicina Familiar:
*CUPS más finalidad 5  o (Res 2275 - CUPS con finalidad 11) o CUPS más CIE-10: Z003
890201 (consulta de primera vez por medicina general)
890301 (Consulta de control o seguimiento por medicina general)
890263 (consulta de primera vez por especialista en medicina familiar)
890363 (Consulta de control o seguimiento por especialista en medicina familiar)
*RES 202: Variable 52 - Fecha Valida
Adultez y Vejez
- Medicina General o Medicina Familiar:
*RIPS:  CUPS más finalidad 7 o (Res 2275 - CUPS con finalidad 11):
890201 (consulta de primera vez por medicina general)
890301 (Consulta de control o seguimiento por medicina general)
890263 (consulta de primera vez por especialista en medicina familiar)
890363 (Consulta de control o seguimiento por especialista en medicina familiar)
*RES 202: Variable 52 - Fecha Valida
NOTA: Se tiene en cuenta la edad a la fecha de afiliación y edad a entrada en vigencia de la RPYMS (01/02/2019)</t>
  </si>
  <si>
    <t>Número de niños y niñas  de 0 a 59 meses con desnutrición aguda moderada o severa que registran al menos una atención por medicina, enfermería o nutrición menor o igual 15 días posterior a la fecha del egreso hospitalario
1 RIPS: fecha de atención hasta 15 días posterior a la fecha del egreso hospitalario, correspondientes a las atenciones de los siguientes CUPS:
*CUPS:
890283 - CONSULTA DE PRIMERA VEZ POR ESPECIALISTA EN PEDIATRIA
890383 - CONSULTA DE CONTROL O DE SEGUIMIENTO POR ESPECIALISTA EN PEDIATRIA
890483 - INTERCONSULTA POR ESPECIALISTA EN PEDIATRIA
890783 - CONSULTA DE URGENCIAS POR ESPECIALISTA EN PEDIATRIA
890205 - CONSULTA DE PRIMERA VEZ POR ENFERMERIA
890305 - CONSULTA DE CONTROL O DE SEGUIMIENTO POR ENFERMERIA
990204 - EDUCACION INDIVIDUAL EN SALUD, POR ENFERMERIA
E890157 - VISITA DOMICILIARIA POR AUXILIAR DE ENFERMERIA
890263 - CONSULTA DE PRIMERA VEZ POR ESPECIALISTA EN MEDICINA FAMILIAR
890363 - CONSULTA DE CONTROL O DE SEGUIMIENTO POR ESPECIALISTA EN MEDICINA FAMILIAR
890216 - CONSULTA DE PRIMERA VEZ POR ESPECIALISTA EN SALUD FAMILIAR Y COMUNITARIA
890316 - CONSULTA DE CONTROL O DE SEGUIMIENTO POR ESPECIALISTA EN SALUD FAMILIAR Y COMUNITARIA
890416 - INTERCONSULTA POR ESPECIALISTA EN SALUD FAMILIAR Y COMUNITARIA
890463 - INTERCONSULTA POR ESPECIALISTA EN MEDICINA FAMILIAR
890763 - CONSULTA DE URGENCIAS POR ESPECIALISTA EN MEDICINA FAMILIAR
E890201 - CONSULTA DE PRIMERA VEZ POR ESPECIALISTA EN PEDIATRIA POR TELESALUD O TELEMEDICINA
E890383 - CONSULTA DE CONTROL O DE SEGUIMIENTO POR ESPECIALISTA EN PEDIATRIA POR TELESALUD O TELEMEDICINA
890201 - CONSULTA DE PRIMERA VEZ POR MEDICINA  GENERAL
890301 - CONSULTA DE CONTROL O DE SEGUIMIENTO POR   MEDICINA GENERAL
890306 - CONSULTA DE CONTROL O DE SEGUIMIENTO POR  NUTRICIÓN O DIETÉTICA
890101 - ATENCIÓN VISITA DOMICILIARIA POR MEDICINA GENERAL
890105 - ATENCIÓN VISITA DOMICILIARIA POR ENFERMERÍA
890106 - ATENCIÓN VISITA DOMICILIARIA POR NUTRICIÓN Y DIETÉTICA
890206 - CONSULTA DE PRIMERA VEZ POR NUTRICIÓN Y DIETÉTICA</t>
  </si>
  <si>
    <t>Número de niños y niñas  de 0 a 59 meses con desnutrición aguda moderada o severa que registran al menos una atención por medicina, enfermería o nutrición menor o igual 30 días posterior a la fecha del egreso hospitalario
1 RIPS: fecha de atención menor o igual a 30 días posterior a la fecha del egreso hospitalario, correspondientes a las atenciones de los siguientes CUPS:
*CUPS:
890283 - CONSULTA DE PRIMERA VEZ POR ESPECIALISTA EN PEDIATRIA
890383 - CONSULTA DE CONTROL O DE SEGUIMIENTO POR ESPECIALISTA EN PEDIATRIA
890483 - INTERCONSULTA POR ESPECIALISTA EN PEDIATRIA
890783 - CONSULTA DE URGENCIAS POR ESPECIALISTA EN PEDIATRIA
890205 - CONSULTA DE PRIMERA VEZ POR ENFERMERIA
890305 - CONSULTA DE CONTROL O DE SEGUIMIENTO POR ENFERMERIA
990204 - EDUCACION INDIVIDUAL EN SALUD, POR ENFERMERIA
E890157 - VISITA DOMICILIARIA POR AUXILIAR DE ENFERMERIA
890263 - CONSULTA DE PRIMERA VEZ POR ESPECIALISTA EN MEDICINA FAMILIAR
890363 - CONSULTA DE CONTROL O DE SEGUIMIENTO POR ESPECIALISTA EN MEDICINA FAMILIAR
890216 - CONSULTA DE PRIMERA VEZ POR ESPECIALISTA EN SALUD FAMILIAR Y COMUNITARIA
890316 - CONSULTA DE CONTROL O DE SEGUIMIENTO POR ESPECIALISTA EN SALUD FAMILIAR Y COMUNITARIA
890416 - INTERCONSULTA POR ESPECIALISTA EN SALUD FAMILIAR Y COMUNITARIA
890463 - INTERCONSULTA POR ESPECIALISTA EN MEDICINA FAMILIAR
890763 - CONSULTA DE URGENCIAS POR ESPECIALISTA EN MEDICINA FAMILIAR
E890201 - CONSULTA DE PRIMERA VEZ POR ESPECIALISTA EN PEDIATRIA POR TELESALUD O TELEMEDICINA
E890383 - CONSULTA DE CONTROL O DE SEGUIMIENTO POR ESPECIALISTA EN PEDIATRIA POR TELESALUD O TELEMEDICINA
890201 - CONSULTA DE PRIMERA VEZ POR MEDICINA  GENERAL
890301 - CONSULTA DE CONTROL O DE SEGUIMIENTO POR   MEDICINA GENERAL
890306 - CONSULTA DE CONTROL O DE SEGUIMIENTO POR  NUTRICIÓN O DIETÉTICA
890101 - ATENCIÓN VISITA DOMICILIARIA POR MEDICINA GENERAL
890105 - ATENCIÓN VISITA DOMICILIARIA POR ENFERMERÍA
890106 - ATENCIÓN VISITA DOMICILIARIA POR NUTRICIÓN Y DIETÉTICA
890206 - CONSULTA DE PRIMERA VEZ POR NUTRICIÓN Y DIETÉTICA</t>
  </si>
  <si>
    <t>1 - RIPS (AC)
CUPS: alguna atención por medicina:
 - 890201 consulta de primera vez por medicina general
 - 890301 consulta de control o de seguimiento por medicina general
 - 890263 consulta de primera vez por especialista en medicina familiar
 - 890363 consulta de control o seguimiento por especialista en medicina familiar
-C40147; EVALUACION INTEGRAL POR PACIENTE
-890216; CONSULTA DE PRIMERA VEZ POR ESPECIALISTA EN SALUD FAMILIAR Y COMUNITARIA
-890316; CONSULTA DE CONTROL O DE SEGUIMIENTO POR ESPECIALISTA EN SALUD FAMILIAR Y COMUNITARIA
y alguna atención por enfermería:
- 890205 consulta de primera vez por enfermería
- 890305 consulta de control o de seguimiento por enfermería
y alguna atención por psicología y/o psiquiatría:
890208 consulta de primera vez por psicología
890308 consulta de control o de seguimiento por psicología
890284 consulta de primera vez por especialista en psiquiatría
890285 consulta de primera vez por especialista en psiquiatría pediátrica
890384 consulta de control o de seguimiento por especialista en psiquiatría
890385 consulta de control o de seguimiento por especialista en psiquiatría pediátrica
890484 interconsulta por especialista en psiquiatría
890485 interconsulta por especialista en psiquiatría pediátrica
943101 psicoterapia individual por psiquiatría
941101; DETERMINACION DEL ESTADO MENTAL POR PSIQUIATRIA
E890284; CONSULTA DE PRIMERA VEZ POR ESPECIALISTA EN PSIQUIATRIA POR TELESALUD O TELEMEDICINA
E890384; CONSULTA DE CONTROL O DE SEGUIMIENTO POR ESPECIALISTA EN PSIQUIATRIA POR TELESALUD O TELEMEDICINA
890108; ATENCION [VISITA] DOMICILIARIA POR PSICOLOGIA
890297; CONSULTA DE PRIMERA VEZ POR OTRAS ESPECIALIDADES DE PSICOLOGIA
890397; CONSULTA DE CONTROL O DE SEGUIMIENTO POR OTRAS ESPECIALIDADES DE PSICOLOGIA
940901; DETERMINACION DEL ESTADO MENTAL POR PSICOLOGIA
943102; PSICOTERAPIA INDIVIDUAL POR PSICOLOGIA
E890208; CONSULTA DE PRIMERA VEZ POR PSICOLOGIA POR TELESALUD O TELEMEDICINA
E890310; CONSULTA DE CONTROL O DE SEGUIMIENTO POR PSICOLOGIA POR TELESALUD O TELEMEDICINA</t>
  </si>
  <si>
    <t>1 - RIPS (AC)
CUPS:
890208 consulta de primera vez por psicología
890308 consulta de control o de seguimiento por psicología
890284 consulta de primera vez por especialista en psiquiatría
890285 consulta de primera vez por especialista en psiquiatría pediátrica
890384 consulta de control o de seguimiento por especialista en psiquiatría
890385 consulta de control o de seguimiento por especialista en psiquiatría pediátrica
890484 interconsulta por especialista en psiquiatría
890485 interconsulta por especialista en psiquiatría pediátrica
943101 psicoterapia individual por psiquiatría
941101; DETERMINACION DEL ESTADO MENTAL POR PSIQUIATRIA
E890284; CONSULTA DE PRIMERA VEZ POR ESPECIALISTA EN PSIQUIATRIA POR TELESALUD O TELEMEDICINA
E890384; CONSULTA DE CONTROL O DE SEGUIMIENTO POR ESPECIALISTA EN PSIQUIATRIA POR TELESALUD O TELEMEDICINA
890108; ATENCION [VISITA] DOMICILIARIA POR PSICOLOGIA
890297; CONSULTA DE PRIMERA VEZ POR OTRAS ESPECIALIDADES DE PSICOLOGIA
890397; CONSULTA DE CONTROL O DE SEGUIMIENTO POR OTRAS ESPECIALIDADES DE PSICOLOGIA
940901; DETERMINACION DEL ESTADO MENTAL POR PSICOLOGIA
943102; PSICOTERAPIA INDIVIDUAL POR PSICOLOGIA
E890208; CONSULTA DE PRIMERA VEZ POR PSICOLOGIA POR TELESALUD O TELEMEDICINA
E890310; CONSULTA DE CONTROL O DE SEGUIMIENTO POR PSICOLOGIA POR TELESALUD O TELEMEDICINA</t>
  </si>
  <si>
    <t>1 - RIPS (AC)
CUPS: alguna atención por medicina:
 - 890201 consulta de primera vez por medicina general
 - 890301 consulta de control o de seguimiento por medicina general
 - 890263 consulta de primera vez por especialista en medicina familiar
 - 890363 consulta de control o seguimiento por especialista en medicina familiar
-C40147; EVALUACION INTEGRAL POR PACIENTE
-890216; CONSULTA DE PRIMERA VEZ POR ESPECIALISTA EN SALUD FAMILIAR Y COMUNITARIA
-890316; CONSULTA DE CONTROL O DE SEGUIMIENTO POR ESPECIALISTA EN SALUD FAMILIAR Y COMUNITARIA
y alguna atención por enfermería:
- 890205 consulta de primera vez por enfermería
- 890305 consulta de control o de seguimiento por enfermería
y alguna atención por psicología y/o psiquiatría:
890208 consulta de primera vez por psicología
890308 consulta de control o de seguimiento por psicología
890284 consulta de primera vez por especialista en psiquiatría
890285 consulta de primera vez por especialista en psiquiatría pediátrica
890384 consulta de control o de seguimiento por especialista en psiquiatría
890385 consulta de control o de seguimiento por especialista en psiquiatría pediátrica
890484 interconsulta por especialista en psiquiatría
890485 interconsulta por especialista en psiquiatría pediátrica
941101; DETERMINACION DEL ESTADO MENTAL POR PSIQUIATRIA
E890284; CONSULTA DE PRIMERA VEZ POR ESPECIALISTA EN PSIQUIATRIA POR TELESALUD O TELEMEDICINA
E890384; CONSULTA DE CONTROL O DE SEGUIMIENTO POR ESPECIALISTA EN PSIQUIATRIA POR TELESALUD O TELEMEDICINA
890108; ATENCION [VISITA] DOMICILIARIA POR PSICOLOGIA
890297; CONSULTA DE PRIMERA VEZ POR OTRAS ESPECIALIDADES DE PSICOLOGIA
890397; CONSULTA DE CONTROL O DE SEGUIMIENTO POR OTRAS ESPECIALIDADES DE PSICOLOGIA
940901; DETERMINACION DEL ESTADO MENTAL POR PSICOLOGIA
943102; PSICOTERAPIA INDIVIDUAL POR PSICOLOGIA
E890208; CONSULTA DE PRIMERA VEZ POR PSICOLOGIA POR TELESALUD O TELEMEDICINA
E890310; CONSULTA DE CONTROL O DE SEGUIMIENTO POR PSICOLOGIA POR TELESALUD O TELEMEDICINA
943101 psicoterapia individual por psiquiatría</t>
  </si>
  <si>
    <t>1 CIE10 DX1 Trastornos mentales: F320, F321, F322, F323, F328, F329, F330, F331, F332, F333, F334, F338, F339
2 Información de fuentes adicionales (trastornos mentales) clasificación trastornos depresivos</t>
  </si>
  <si>
    <t>1 CIE10 DX1 Trastornos mentales: F400, F401, F402, F408, F409, F410, F411, F412, F413, F418, F419
2 Información de fuentes adicionales (trastornos mentales) clasificación trastornos de ansiedad</t>
  </si>
  <si>
    <t xml:space="preserve">1 - RIPS (AC)
CUPS:
890208 consulta de primera vez por psicología
890308 consulta de control o de seguimiento por psicología
890284 consulta de primera vez por especialista en psiquiatría
890285 consulta de primera vez por especialista en psiquiatría pediátrica
890384 consulta de control o de seguimiento por especialista en psiquiatría
890385 consulta de control o de seguimiento por especialista en psiquiatría pediátrica
890484 interconsulta por especialista en psiquiatría
890485 interconsulta por especialista en psiquiatría pediátrica
943101 psicoterapia individual por psiquiatría
941101; DETERMINACION DEL ESTADO MENTAL POR PSIQUIATRIA
941301; OTRA ENTREVISTA Y EVALUACION PSIQUIATRICAS
944001; PSICOTERAPIA DE PAREJA POR PSIQUIATRIA
944101; PSICOTERAPIA FAMILIAR POR PSIQUIATRIA
944201; PSICOTERAPIA DE GRUPO POR PSIQUIATRIA
944902; INTERVENCION EN SALUD MENTAL COMUNITARIA, POR PSIQUIATRIA
E890284; CONSULTA DE PRIMERA VEZ POR ESPECIALISTA EN PSIQUIATRIA POR TELESALUD O TELEMEDICINA
E890384; CONSULTA DE CONTROL O DE SEGUIMIENTO POR ESPECIALISTA EN PSIQUIATRIA POR TELESALUD O TELEMEDICINA
890108; ATENCION [VISITA] DOMICILIARIA POR PSICOLOGIA
890297; CONSULTA DE PRIMERA VEZ POR OTRAS ESPECIALIDADES DE PSICOLOGIA
890397; CONSULTA DE CONTROL O DE SEGUIMIENTO POR OTRAS ESPECIALIDADES DE PSICOLOGIA
890408; INTERCONSULTA POR PSICOLOGÍA
890608; ASISTENCIA INTRAHOSPITALARIA POR PSICOLOGIA
940901; DETERMINACION DEL ESTADO MENTAL POR PSICOLOGIA
943102; PSICOTERAPIA INDIVIDUAL POR PSICOLOGIA
944002; PSICOTERAPIA DE PAREJA POR PSICOLOGIA
944102; PSICOTERAPIA FAMILIAR POR PSICOLOGIA
944202; PSICOTERAPIA DE GRUPO POR PSICOLOGIA
944904; INTERVENCION EN SALUD MENTAL COMUNITARIA, POR PSICOLOGIA
E890208; CONSULTA DE PRIMERA VEZ POR PSICOLOGIA POR TELESALUD O TELEMEDICINA
E890310; CONSULTA DE CONTROL O DE SEGUIMIENTO POR PSICOLOGIA POR TELESALUD O TELEMEDICINA
</t>
  </si>
  <si>
    <t>1 - RIPS (AC)
CUPS:
890208 consulta de primera vez por psicología
890308 consulta de control o de seguimiento por psicología
890284 consulta de primera vez por especialista en psiquiatría
890285 consulta de primera vez por especialista en psiquiatría pediátrica
890384 consulta de control o de seguimiento por especialista en psiquiatría
890385 consulta de control o de seguimiento por especialista en psiquiatría pediátrica
890484 interconsulta por especialista en psiquiatría
890485 interconsulta por especialista en psiquiatría pediátrica
943101 psicoterapia individual por psiquiatría
941101; DETERMINACION DEL ESTADO MENTAL POR PSIQUIATRIA
941301; OTRA ENTREVISTA Y EVALUACION PSIQUIATRICAS
944001; PSICOTERAPIA DE PAREJA POR PSIQUIATRIA
944101; PSICOTERAPIA FAMILIAR POR PSIQUIATRIA
944201; PSICOTERAPIA DE GRUPO POR PSIQUIATRIA
944902; INTERVENCION EN SALUD MENTAL COMUNITARIA, POR PSIQUIATRIA
E890284; CONSULTA DE PRIMERA VEZ POR ESPECIALISTA EN PSIQUIATRIA POR TELESALUD O TELEMEDICINA
E890384; CONSULTA DE CONTROL O DE SEGUIMIENTO POR ESPECIALISTA EN PSIQUIATRIA POR TELESALUD O TELEMEDICINA
890108; ATENCION [VISITA] DOMICILIARIA POR PSICOLOGIA
890297; CONSULTA DE PRIMERA VEZ POR OTRAS ESPECIALIDADES DE PSICOLOGIA
890397; CONSULTA DE CONTROL O DE SEGUIMIENTO POR OTRAS ESPECIALIDADES DE PSICOLOGIA
890408; INTERCONSULTA POR PSICOLOGÍA
890608; ASISTENCIA INTRAHOSPITALARIA POR PSICOLOGIA
940901; DETERMINACION DEL ESTADO MENTAL POR PSICOLOGIA
943102; PSICOTERAPIA INDIVIDUAL POR PSICOLOGIA
944002; PSICOTERAPIA DE PAREJA POR PSICOLOGIA
944102; PSICOTERAPIA FAMILIAR POR PSICOLOGIA
944202; PSICOTERAPIA DE GRUPO POR PSICOLOGIA
944904; INTERVENCION EN SALUD MENTAL COMUNITARIA, POR PSICOLOGIA
E890208; CONSULTA DE PRIMERA VEZ POR PSICOLOGIA POR TELESALUD O TELEMEDICINA
E890310; CONSULTA DE CONTROL O DE SEGUIMIENTO POR PSICOLOGIA POR TELESALUD O TELEMEDICINA</t>
  </si>
  <si>
    <t xml:space="preserve">1- RIPS - CUPS 
890207 Consulta de primera vez por Optometría
890307 Consulta de control o de seguimiento por optometría
890276 Consulta de primera vez por especialista por en oftalmologia
890376 Consulta de control o seguimiento por especialista en Oftalmología
 </t>
  </si>
  <si>
    <t xml:space="preserve">1- Resolución 202: Variable 87 "Fecha tamizaje de cancer de cuello uterino" opción (fecha valida)
2- Modulo de gestión: "Pestaña tamizaje"- Fecha valida para Citología cérvico uterina, prueba ADN-VPH, Técnica de inspección visual
3- RIPS, codigo CUPS:
892904 TÉCNICAS DE INSPECCIÓN VISUAL CON ÁCIDO ACETICO Y LUGOL
898001 ESTUDIO DE COLORACION BASICA EN CITOLOGIA VAGINAL TUMORAL Y/O FUNCIONAL
908436  PAPILOMA VIRUS POR PCR
908890 DETECCION VIRUS DEL PAPILOMA HUMANO POR PRUEBAS MOLECULARES (ESPECIFICO)
Nota: Dentro de la definición de metodología de evaluación de los indicadores de Modelo se tiene contemplada la evaluación de las actividades realizadas a los usuarios, por ende, lo que se debe tener en cuenta para el numerador en ambos casos es una fecha de toma valida, sin importar el resultado Por esta razón para nuestros indicadores si se tiene en cuenta la fuente RIPS, por lo que solicitamos se incluya para la correcta medición
</t>
  </si>
  <si>
    <t>1- Resolución 202: Variable 96: "Fecha de toma de mamografía" opción (fecha valida)
2- Modulo de gestión:
3- RIPS: 876802 XEROMAMOGRAFIA O MAMOGRAFIA, BILATERAL (opción fecha valida)
Nota: Dentro de la definición de metodología de evaluación de los indicadores de Modelo se tiene contemplada la evaluación de las actividades realizadas a los usuarios, por ende, lo que se debe tener en cuenta para el numerador en ambos casos es una fecha de toma valida, sin importar el resultado Por esta razón para nuestros indicadores si se tiene en cuenta la fuente RIPS, por lo que solicitamos se incluya para la correcta medición</t>
  </si>
  <si>
    <t>Resolucion 202:
1Variable: 67 Fecha valida mayor o igual a la fecha de la visita
2Modulo colorectal 
3RIPS-CUPS 907009
Nota: Dentro de la definición de metodología de evaluación de los indicadores de Modelo se tiene contemplada la evaluación de las actividades realizadas a los usuarios, por ende, lo que se debe tener en cuenta para el numerador en ambos casos es una fecha de toma valida, sin importar el resultado Por esta razón para nuestros indicadores si se tiene en cuenta la fuente RIPS, por lo que solicitamos se incluya para la correcta medición</t>
  </si>
  <si>
    <t>1- Resolución 202: Variable 64: "Fecha de toma de tacto rectal" opción (fecha valida)
2- Modulo de gestión:
3- RIPS: TACTO RECTAL (opción fecha valida)
4-Resolucion 202: Variable 73: "Fecha de toma de PSA" opción (fecha valida)
5- RIPS: PSA (opcion fecha valida)
Nota: Dentro de la definición de metodología de evaluación de los indicadores de Modelo se tiene contemplada la evaluación de las actividades realizadas a los usuarios, por ende, lo que se debe tener en cuenta para el numerador en ambos casos es una fecha de toma valida, sin importar el resultado Por esta razón para nuestros indicadores si se tiene en cuenta la fuente RIPS, por lo que solicitamos se incluya para la correcta medición</t>
  </si>
  <si>
    <t>1- RIPS: 
* CUPS con Finalidad 3 o CUPS con CIE-10 Z300, Z304, Z308; Z309
890201 (consulta de primera vez por medicina general)
890301 (Consulta de control o seguimiento por medicina general)
890283 (consulta de primera vez por especialista en pediatría)
890383 (Consulta de control o seguimiento por especialista en pediatría)
890250 (consulta de primera vez por especialista en ginecología y obstetricia)
890350 (consulta de control o seguimiento por especialista en ginecología y obstetricia)
890263 (consulta de primera vez por especialista en medicina familiar)
890363 (Consulta de control o seguimiento por especialista en medicina familiar)
890205 (Consulta de primera vez por enfermería)
890305 (Consulta de control o de seguimiento por enfermería)
* Res 2275 CUPS con Finalidad 19 o CUPS con CIE-10 Z300, Z304, Z308; Z309
890201 (consulta de primera vez por medicina general)
890301 (Consulta de control o seguimiento por medicina general)
890283 (consulta de primera vez por especialista en pediatría)
890383 (Consulta de control o seguimiento por especialista en pediatría)
890250 (consulta de primera vez por especialista en ginecología y obstetricia)
890350 (consulta de control o seguimiento por especialista en ginecología y obstetricia)
890263 (consulta de primera vez por especialista en medicina familiar)
890363 (Consulta de control o seguimiento por especialista en medicina familiar)
890205 (Consulta de primera vez por enfermería)
890305 (Consulta de control o de seguimiento por enfermería)
2- Res 202 Variable 53 - fecha válida (mas antigua)</t>
  </si>
  <si>
    <t>1- RIPS: 
* CUPS con Finalidad 3 o CUPS con CIE-10 Z300, Z304, Z308; Z309
890201 (consulta de primera vez por medicina general)
890301 (Consulta de control o seguimiento por medicina general)
890283 (consulta de primera vez por especialista en pediatría)
890383 (Consulta de control o seguimiento por especialista en pediatría)
890250 (consulta de primera vez por especialista en ginecología y obstetricia)
890350 (consulta de control o seguimiento por especialista en ginecología y obstetricia)
890263 (consulta de primera vez por especialista en medicina familiar)
890363 (Consulta de control o seguimiento por especialista en medicina familiar)
890205 (Consulta de primera vez por enfermería)
890305 (Consulta de control o de seguimiento por enfermería)
* Res 2275 CUPS con Finalidad 19 o CUPS con CIE-10 Z300, Z304, Z308; Z309
890201 (consulta de primera vez por medicina general)
890301 (Consulta de control o seguimiento por medicina general)
890283 (consulta de primera vez por especialista en pediatría)
890383 (Consulta de control o seguimiento por especialista en pediatría)
890250 (consulta de primera vez por especialista en ginecología y obstetricia)
890350 (consulta de control o seguimiento por especialista en ginecología y obstetricia)
890263 (consulta de primera vez por especialista en medicina familiar)
890363 (Consulta de control o seguimiento por especialista en medicina familiar)
890205 (Consulta de primera vez por enfermería)
890305 (Consulta de control o de seguimiento por enfermería)
2- Res 202 Variable 53 - fecha válida (mas antigua)</t>
  </si>
  <si>
    <t>1- RIPS 
* CUPS: MEDICINA 
890201 (consulta de primera vez por medicina general)
890301 (Consulta de control o seguimiento por medicina general)
890263 (consulta de primera vez por especialista en medicina familiar)
890363 (Consulta de control o seguimiento por especialista en medicina familiar)
890254 (consulta de primera vez por especialista en infectologia)
890354 (Consulta de control o seguimiento por especialista en infectologia)
890246	CONSULTA DE PRIMERA VEZ POR ESPECIALISTA EN GASTROENTEROLOGIA
890346	CONSULTA DE CONTROL O DE SEGUIMIENTO POR ESPECIALISTA EN GASTROENTEROLOGIA
890266	CONSULTA DE PRIMERA VEZ POR ESPECIALISTA EN MEDICINA INTERNA
890366	CONSULTA DE CONTROL O DE SEGUIMIENTO POR ESPECIALISTA EN MEDICINA INTERNA</t>
  </si>
  <si>
    <t>1- RIPS: 
* FInalidad "22" nueva Res ó CUPS con CIE-10: Z316, Z318, Z319
890201 (consulta de primera vez por medicina general)
890301 (Consulta de control o seguimiento por medicina general)
890250 (consulta de primera vez por especialista en ginecología y obstetricia)
890350 (consulta de control o seguimiento por especialista en ginecología y obstetricia)
890263 (consulta de primera vez por especialista en medicina familiar)
890363 (Consulta de control o seguimiento por especialista en medicina familiar)
890205 (Consulta de primera vez por enfermería)
890305 (Consulta de control o de seguimiento por enfermería)</t>
  </si>
  <si>
    <t>1- RIPS:
MEDICINA:
* CUPS Finalidad 5 o CIE-10: Z003
890201 (consulta de primera vez por medicina general)
890301 (Consulta de control o seguimiento por medicina general)
890263 (consulta de primera vez por especialista en medicina familiar)
890363 (Consulta de control o seguimiento por especialista en medicina familiar)
* Res 2275 - CUPS con finalidad 11 o CIE-10: Z003
890201 (consulta de primera vez por medicina general)
890301 (Consulta de control o seguimiento por medicina general)
890263 (consulta de primera vez por especialista en medicina familiar)
890363 (Consulta de control o seguimiento por especialista en medicina familiar)
2- Res 202: Variable 52 - Fecha valida
Edad a la fecha de corte y a la fecha de la consulta</t>
  </si>
  <si>
    <t>Para resultado  de la biopsia se puede obtener de:
1- CAC
2- RIPS 601101  BIOPSIA CERRADA (PERCUTÁNEA) (AGUJA) DE PRÓSTATA POR ABORDAJE TRANSRECTAL
3- Modulo de gestión- variable: Fecha resultado biopsia de próstata</t>
  </si>
  <si>
    <t>1- RIPS: 
* CUPS con Finalidad 12 Detección temprana de enfermedad general (anterior Finalidad 8) o CIE-10 Z010
950601 MEDICION DE AGUDEZA VISUAL
2- RES 202 Variable 62 fecha válida</t>
  </si>
  <si>
    <t>Primera Infancia
- Medicina General, Medicina Familiar o Pediatría:
*RIPS: CUPS más la finalidad 4 o (Res 2275 - CUPS con finalidad 11) o CUPS más CIE-10: Z001
890201 (consulta de primera vez por medicina general)
890301 (Consulta de control o seguimiento por medicina general)
890283 (consulta de primera vez por especialista en pediatría)
890383 (Consulta de control o seguimiento por especialista en pediatría)
890263 (consulta de primera vez por especialista en medicina familiar)
890363 (Consulta de control o seguimiento por especialista en medicina familiar)
- Enfermería:
*RIPS: CUPS 
890205 (Consulta de primera vez por enfermería)
890305 (Consulta de control o de seguimiento por enfermería)
NOTA: Se tiene en cuenta la edad a la fecha de afiliación y edad a entrada en vigencia de la RPYMS (01/02/2019)</t>
  </si>
  <si>
    <t>Infancia
- Medicina General, Medicina Familiar, Pediatría, enfermeria:
*RIPS: CUPS más la finalidad 4 o (Res 2275 - CUPS con finalidad 11) o CUPS más CIE-10: Z001 o Z002
890201 (consulta de primera vez por medicina general)
890301 (Consulta de control o seguimiento por medicina general)
890283 (consulta de primera vez por especialista en pediatría)
890383 (Consulta de control o seguimiento por especialista en pediatría)
890263 (consulta de primera vez por especialista en medicina familiar)
890363 (Consulta de control o seguimiento por especialista en medicina familiar)
- Enfermería:
*RIPS: CUPS 
890205 (Consulta de primera vez por enfermería)
890305 (Consulta de control o de seguimiento por enfermería)
NOTA: Se tiene en cuenta la edad a la fecha de afiliación y edad a entrada en vigencia de la RPYMS (01/02/2019)</t>
  </si>
  <si>
    <t>Adolescencia:
- Medicina General o Medicina Familiar:
*RIPS: CUPS más finalidad 5 o (Res 2275 - CUPS con finalidad 11)  o CUPS más CIE-10: Z003
890201 (consulta de primera vez por medicina general)
890301 (Consulta de control o seguimiento por medicina general)
890263 (consulta de primera vez por especialista en medicina familiar)
890363 (Consulta de control o seguimiento por especialista en medicina familiar)
- Enfermería:
*RIPS: CUPS más finalidad 4 o 5 o (Res 2275 - CUPS con finalidad 11)  o CUPS más CIE-10: Z003
890205 (Consulta de primera vez por enfermería)
890305 (Consulta de control o de seguimiento por enfermería)
NOTA: Se tiene en cuenta la edad a la fecha de afiliación y edad a entrada en vigencia de la RPYMS (01/02/2019)</t>
  </si>
  <si>
    <t>Juventud:
- Medicina General o Medicina Familiar:
*CUPS más finalidad 5  o (Res 2275 - CUPS con finalidad 11) o CUPS más CIE-10: Z003
890201 (consulta de primera vez por medicina general)
890301 (Consulta de control o seguimiento por medicina general)
890263 (consulta de primera vez por especialista en medicina familiar)
890363 (Consulta de control o seguimiento por especialista en medicina familiar)
*RES 202: Variable 52 - Fecha Valida
NOTA: Se tiene en cuenta la edad a la fecha de afiliación y edad a entrada en vigencia de la RPYMS (01/02/2019)</t>
  </si>
  <si>
    <t>Adultez
- Medicina General o Medicina Familiar:
*RIPS:  CUPS más finalidad 7 o (Res 2275 - CUPS con finalidad 11):
890201 (consulta de primera vez por medicina general)
890301 (Consulta de control o seguimiento por medicina general)
890263 (consulta de primera vez por especialista en medicina familiar)
890363 (Consulta de control o seguimiento por especialista en medicina familiar)
*RES 202: Variable 52 - Fecha Valida
NOTA: Se tiene en cuenta la edad a la fecha de afiliación y edad a entrada en vigencia de la RPYMS (01/02/2019)</t>
  </si>
  <si>
    <t xml:space="preserve"> Vejez
- Medicina General o Medicina Familiar:
*RIPS:  CUPS más finalidad 7 o (Res 2275 - CUPS con finalidad 11):
890201 (consulta de primera vez por medicina general)
890301 (Consulta de control o seguimiento por medicina general)
890263 (consulta de primera vez por especialista en medicina familiar)
890363 (Consulta de control o seguimiento por especialista en medicina familiar)
*RES 202: Variable 52 - Fecha Valida
NOTA: Se tiene en cuenta la edad a la fecha de afiliación y edad a entrada en vigencia de la RPYMS (01/02/2019)</t>
  </si>
  <si>
    <t>1- RIPS: 
* CUPS 
890201 (consulta de primera vez por medicina general)
890301 (Consulta de control o seguimiento por medicina general)
890263 (consulta de primera vez por especialista en medicina familiar)
890363 (Consulta de control o seguimiento por especialista en medicina familiar)
890205 (Consulta de primera vez por enfermería)
890305 (Consulta de control o de seguimiento por enfermería)
890 266(Consulta de primera vez por especialista en medicina interna)
89 0 3 66 (Consulta de control por espeicalista en medicina interna)</t>
  </si>
  <si>
    <t>IndicadoresRPYMS213X, RPYMS214X, RPYMS216X y RPYMS217X
1 - RIPS (AC)
CUPS:
890208 consulta de primera vez por psicología
890308 consulta de control o de seguimiento por psicología
890284 consulta de primera vez por especialista en psiquiatría
890285 consulta de primera vez por especialista en psiquiatría pediátrica
890384 consulta de control o de seguimiento por especialista en psiquiatría
890385 consulta de control o de seguimiento por especialista en psiquiatría pediátrica
890484 interconsulta por especialista en psiquiatría
890485 interconsulta por especialista en psiquiatría pediátrica
943101 psicoterapia individual por psiquiatría
941101; DETERMINACION DEL ESTADO MENTAL POR PSIQUIATRIA
941301; OTRA ENTREVISTA Y EVALUACION PSIQUIATRICAS
944001; PSICOTERAPIA DE PAREJA POR PSIQUIATRIA
944101; PSICOTERAPIA FAMILIAR POR PSIQUIATRIA
944201; PSICOTERAPIA DE GRUPO POR PSIQUIATRIA
944902; INTERVENCION EN SALUD MENTAL COMUNITARIA, POR PSIQUIATRIA
E890284; CONSULTA DE PRIMERA VEZ POR ESPECIALISTA EN PSIQUIATRIA POR TELESALUD O TELEMEDICINA
E890384; CONSULTA DE CONTROL O DE SEGUIMIENTO POR ESPECIALISTA EN PSIQUIATRIA POR TELESALUD O TELEMEDICINA
890108; ATENCION [VISITA] DOMICILIARIA POR PSICOLOGIA
890297; CONSULTA DE PRIMERA VEZ POR OTRAS ESPECIALIDADES DE PSICOLOGIA
890397; CONSULTA DE CONTROL O DE SEGUIMIENTO POR OTRAS ESPECIALIDADES DE PSICOLOGIA
890408; INTERCONSULTA POR PSICOLOGÍA
890608; ASISTENCIA INTRAHOSPITALARIA POR PSICOLOGIA
940901; DETERMINACION DEL ESTADO MENTAL POR PSICOLOGIA
943102; PSICOTERAPIA INDIVIDUAL POR PSICOLOGIA
944002; PSICOTERAPIA DE PAREJA POR PSICOLOGIA
944102; PSICOTERAPIA FAMILIAR POR PSICOLOGIA
944202; PSICOTERAPIA DE GRUPO POR PSICOLOGIA
944904; INTERVENCION EN SALUD MENTAL COMUNITARIA, POR PSICOLOGIA
E890208; CONSULTA DE PRIMERA VEZ POR PSICOLOGIA POR TELESALUD O TELEMEDICINA
E890310; CONSULTA DE CONTROL O DE SEGUIMIENTO POR PSICOLOGIA POR TELESALUD O TELEMEDICINA</t>
  </si>
  <si>
    <t xml:space="preserve">1- RIPS:
MEDICINA:
* CUPS Finalidad 5 o CIE-10: Z003
890201 (consulta de primera vez por medicina general)
890301 (Consulta de control o seguimiento por medicina general)
890263 (consulta de primera vez por especialista en medicina familiar)
890363 (Consulta de control o seguimiento por especialista en medicina familiar)
* Res 2275 - CUPS con finalidad 11 o CIE-10: Z003
890201 (consulta de primera vez por medicina general)
890301 (Consulta de control o seguimiento por medicina general)
890263 (consulta de primera vez por especialista en medicina familiar)
890363 (Consulta de control o seguimiento por especialista en medicina familiar)
</t>
  </si>
  <si>
    <t>1 - RIPS:
Fecha de suministro:
*CUMS: 140402 - CODIGO NEPS: MD012653 y MD012654</t>
  </si>
  <si>
    <t>1 - RIPS:
*CUMS: 140402 - CODIGO NEPS: MD012653 y MD012654</t>
  </si>
  <si>
    <r>
      <t xml:space="preserve">Población del denominador </t>
    </r>
    <r>
      <rPr>
        <strike/>
        <sz val="10"/>
        <rFont val="Calibri Light"/>
        <family val="2"/>
        <scheme val="major"/>
      </rPr>
      <t xml:space="preserve"> </t>
    </r>
    <r>
      <rPr>
        <sz val="10"/>
        <rFont val="Calibri Light"/>
        <family val="2"/>
        <scheme val="major"/>
      </rPr>
      <t xml:space="preserve">
con valoración por pediatría y EAD alterada
</t>
    </r>
  </si>
  <si>
    <t>población del denominador
Registro de consultas según esquema</t>
  </si>
  <si>
    <t>población de denominador
Registro de consultas según esquema</t>
  </si>
  <si>
    <r>
      <t>COHORTE MEF</t>
    </r>
    <r>
      <rPr>
        <strike/>
        <sz val="10"/>
        <rFont val="Calibri Light"/>
        <family val="2"/>
        <scheme val="major"/>
      </rPr>
      <t xml:space="preserve">
</t>
    </r>
    <r>
      <rPr>
        <sz val="10"/>
        <rFont val="Calibri Light"/>
        <family val="2"/>
        <scheme val="major"/>
      </rPr>
      <t>(CIERRE MES)</t>
    </r>
  </si>
  <si>
    <r>
      <t xml:space="preserve">Mujeres del denominador </t>
    </r>
    <r>
      <rPr>
        <strike/>
        <sz val="10"/>
        <rFont val="Calibri Light"/>
        <family val="2"/>
        <scheme val="major"/>
      </rPr>
      <t xml:space="preserve">
</t>
    </r>
    <r>
      <rPr>
        <sz val="10"/>
        <rFont val="Calibri Light"/>
        <family val="2"/>
        <scheme val="major"/>
      </rPr>
      <t>Registró de uso de método anticonceptivo</t>
    </r>
  </si>
  <si>
    <t>Proporción en la toma de colposcopia</t>
  </si>
  <si>
    <t>Proporción en la toma de biopsia de cuello uterino en CCU alterada</t>
  </si>
  <si>
    <t xml:space="preserve"> SIVIGILA Datos basicos eventos: 345, 346, 348, 
RIPS CIE 10: J00-J22</t>
  </si>
  <si>
    <t xml:space="preserve"> SIVIGILA Datos basicos evento 605
RIPS CIE 10: A00-A09</t>
  </si>
  <si>
    <t>Población denominador con registro de atención por profesional de salud:
*Menor o igual a 90 días (3 meses) a la variable "fecha de consulta"  de la cohorte que corresponde a fecha registrada en SIVIGILA
*Menor o igual a 90 días a la fecha de identificación del caso si la fuente es VBC
*Menor o igual a 90 días de la "fecha de la consulta" si la fuente es RIPS
Estado activo y suspendido</t>
  </si>
  <si>
    <t>Población denominador con registro de atención por profesional de salud
Menor o igual a 90 días (3 meses) a la variable "fecha de consulta"  de la cohorte que corresponde a fecha registrada en SIVIGILA
Menor o igual a 90 días a la fecha de identificación del caso si la fuente es VBC
Menor o igual a 90 días de la "fecha de prestación" si la fuente es RIPS
Estado activo y suspendido</t>
  </si>
  <si>
    <t>Población denominador con registro de atención por profesional de salud
Menor o igual a 90 días (3 meses) a la variable "fecha de consulta"  de la cohorte que corresponde a fecha registrada en SIVIGILA
Menor o igual a 90 días a la fecha de identificación del caso si la fuente es VBC
Estado activo y suspendido</t>
  </si>
  <si>
    <t>La población del denominador que cumple con consulta por psicología y/o psiquiatría según los criterios del indicador
Menor o igual a 90 días (3 meses) a la variable "fecha de consulta"  de la cohorte que corresponde a fecha registrada en SIVIGILA
Menor o igual a 90 días a la fecha de identificación del caso si la fuente es VBC
Estado activo y suspendido</t>
  </si>
  <si>
    <t>La población del denominador que cumple con consulta por psicología y/o psiquiatría según los criterios del indicador:
Menor o igual a 90 días (3 meses) a la variable "fecha de consulta"  de la cohorte que corresponde a fecha registrada en SIVIGILA
Menor o igual a 90 días a la fecha de identificación del caso si la fuente es VBC
Estado activo y suspendido</t>
  </si>
  <si>
    <t>1- RIPS: CUPS: 890203 (Consulta primera vez)</t>
  </si>
  <si>
    <r>
      <t xml:space="preserve">Cumplimiento </t>
    </r>
    <r>
      <rPr>
        <strike/>
        <sz val="10"/>
        <rFont val="Calibri Light"/>
        <family val="2"/>
        <scheme val="major"/>
      </rPr>
      <t xml:space="preserve"> </t>
    </r>
    <r>
      <rPr>
        <sz val="10"/>
        <rFont val="Calibri Light"/>
        <family val="2"/>
        <scheme val="major"/>
      </rPr>
      <t>de personas entre 50 y 75 años tamizadas con SOMFI en el año</t>
    </r>
  </si>
  <si>
    <r>
      <t xml:space="preserve">1- Res 202: </t>
    </r>
    <r>
      <rPr>
        <sz val="10"/>
        <rFont val="Calibri Light"/>
        <family val="2"/>
      </rPr>
      <t>Variable 67 Fecha SOMF</t>
    </r>
    <r>
      <rPr>
        <sz val="10"/>
        <rFont val="Calibri Light"/>
        <family val="2"/>
        <scheme val="major"/>
      </rPr>
      <t xml:space="preserve">
2- Modulo colorrectal: Pestaña fecha SOMF
3- RIPS  CUPS: 907009</t>
    </r>
  </si>
  <si>
    <r>
      <t xml:space="preserve">1- RIPS: CUPS 892904 </t>
    </r>
    <r>
      <rPr>
        <b/>
        <sz val="10"/>
        <rFont val="Calibri Light"/>
        <family val="2"/>
      </rPr>
      <t xml:space="preserve">(hace referencia a la técnica de inspección visual ver y tratar)
</t>
    </r>
    <r>
      <rPr>
        <sz val="10"/>
        <rFont val="Calibri Light"/>
        <family val="2"/>
      </rPr>
      <t>2- Modulo de gestión: Pestaña tamizaje- Citología cérvico uterina, prueba ADN-VPH, Técnica de inspección visual; Fecha valida
3- Cargue información adicional cérvix
4- Res 202: Prueba Tamizaje 
   * Variable 86= 1 o 3 o 4,  Fecha tamizaje (Variable 87): Últimos 3 años
   * Variable 86 = 2   Fecha tamizaje(Variable 87): Últimos 5 años
5- Res 202: Resultado tamizaje cáncer de cuello uterino
     * Variable 88= 
      Resultado citología cérvico uterina
     Escamosas:
      1  - ASC-US (células escamosas atípicas de significado indeterminado)
      2  - ASC-H (células escamosas atípicas, de significado indeterminado sugestivo de LEI de alto grado)
      3  - Lesión intraepitelial escamosa (LEI) de bajo grado- HPV (NIC I) (LEI BG)
      4  - Lesión intraepitelial escamosa (LEI) de alto grado (NIC II-III CA INSITU) (LEI AG)
      5  - Lesión intraepitelial escamosa de alto grado sospechosa de infiltración
      6  - Carcinoma de células escamosas (Escamocelular)
      Glandulares:
      7  - Células endocervicales atípicas sin ningún otro significado
      8  - Células endometriales atípicas sin ningún otro significado
      9  - Células glandulares atípicas sin ningún otro significado
      10 - Células endocervicales atípicas sospechosas de neoplasia
      11 - Células endometriales atípicas sospechosas de neoplasia
      12 - Células glandulares atípicas sospechosas de neoplasia
      13 - Adenocarcinoma endocervical in situ
      14 - Adenocarcinoma endocervical
      15 - Adenocarcinoma endometrial
      16 - Otras neoplasias
      17 - Negativa para lesión intraepitelial o neoplasia
      18 - Inadecuada para lectura
      Resultado para prueba AND-VPH ó inspección visual
      19 - Positivo 
      20 - Negativo
Edad al procedimiento 25 - 65 años</t>
    </r>
  </si>
  <si>
    <r>
      <t>1- RIPS: CUPS:</t>
    </r>
    <r>
      <rPr>
        <b/>
        <sz val="10"/>
        <rFont val="Calibri Light"/>
        <family val="2"/>
      </rPr>
      <t xml:space="preserve"> 890203 
</t>
    </r>
    <r>
      <rPr>
        <sz val="10"/>
        <rFont val="Calibri Light"/>
        <family val="2"/>
      </rPr>
      <t xml:space="preserve">
2- Res 202 Variable 76: Fecha Valida</t>
    </r>
  </si>
  <si>
    <r>
      <t>Población actual al mes a evaluar activos y nuevos
3 años</t>
    </r>
    <r>
      <rPr>
        <strike/>
        <sz val="10"/>
        <rFont val="Calibri Light"/>
        <family val="2"/>
      </rPr>
      <t xml:space="preserve"> y 6</t>
    </r>
    <r>
      <rPr>
        <sz val="10"/>
        <rFont val="Calibri Light"/>
        <family val="2"/>
      </rPr>
      <t xml:space="preserve"> a 5 años</t>
    </r>
  </si>
  <si>
    <r>
      <t xml:space="preserve">Población actual al mes a evaluar activos y nuevos
</t>
    </r>
    <r>
      <rPr>
        <strike/>
        <sz val="10"/>
        <rFont val="Calibri Light"/>
        <family val="2"/>
        <scheme val="major"/>
      </rPr>
      <t>6 años y 12 años entre</t>
    </r>
    <r>
      <rPr>
        <sz val="10"/>
        <rFont val="Calibri Light"/>
        <family val="2"/>
        <scheme val="major"/>
      </rPr>
      <t xml:space="preserve">  6 y 11 años</t>
    </r>
  </si>
  <si>
    <r>
      <t xml:space="preserve">Población actual al mes a evaluar activos y nuevos
12 años </t>
    </r>
    <r>
      <rPr>
        <strike/>
        <sz val="10"/>
        <rFont val="Calibri Light"/>
        <family val="2"/>
        <scheme val="major"/>
      </rPr>
      <t>y 18</t>
    </r>
    <r>
      <rPr>
        <sz val="10"/>
        <rFont val="Calibri Light"/>
        <family val="2"/>
        <scheme val="major"/>
      </rPr>
      <t xml:space="preserve"> a 17 años</t>
    </r>
  </si>
  <si>
    <r>
      <t xml:space="preserve">Población actual al mes a evaluar activos y nuevos
Entre 18 años y 28 </t>
    </r>
    <r>
      <rPr>
        <strike/>
        <sz val="10"/>
        <rFont val="Calibri Light"/>
        <family val="2"/>
      </rPr>
      <t>29</t>
    </r>
    <r>
      <rPr>
        <sz val="10"/>
        <rFont val="Calibri Light"/>
        <family val="2"/>
      </rPr>
      <t xml:space="preserve"> años</t>
    </r>
  </si>
  <si>
    <r>
      <t xml:space="preserve">Población actual al mes a evaluar activos y nuevos
29 años y </t>
    </r>
    <r>
      <rPr>
        <strike/>
        <sz val="10"/>
        <rFont val="Calibri Light"/>
        <family val="2"/>
        <scheme val="major"/>
      </rPr>
      <t>60</t>
    </r>
    <r>
      <rPr>
        <sz val="10"/>
        <rFont val="Calibri Light"/>
        <family val="2"/>
        <scheme val="major"/>
      </rPr>
      <t xml:space="preserve"> 59 años</t>
    </r>
  </si>
  <si>
    <r>
      <t xml:space="preserve">Cobertura </t>
    </r>
    <r>
      <rPr>
        <strike/>
        <sz val="10"/>
        <rFont val="Calibri Light"/>
        <family val="2"/>
        <scheme val="major"/>
      </rPr>
      <t>cumplimiento</t>
    </r>
    <r>
      <rPr>
        <sz val="10"/>
        <rFont val="Calibri Light"/>
        <family val="2"/>
        <scheme val="major"/>
      </rPr>
      <t xml:space="preserve"> de valoración integral en la primera infancia</t>
    </r>
  </si>
  <si>
    <t xml:space="preserve">
Afiliados con atenciones por profesional de medicina general o medicina familiar de acuerdo al esquema definido en la RPYMS</t>
  </si>
  <si>
    <r>
      <t>Fuente: ADICIONALES- PATOLOGIAS
COHORTE MEF CON COMORBILIDAD</t>
    </r>
    <r>
      <rPr>
        <strike/>
        <sz val="10"/>
        <rFont val="Calibri Light"/>
        <family val="2"/>
        <scheme val="major"/>
      </rPr>
      <t xml:space="preserve">
</t>
    </r>
    <r>
      <rPr>
        <sz val="10"/>
        <rFont val="Calibri Light"/>
        <family val="2"/>
        <scheme val="major"/>
      </rPr>
      <t>(CIERRE MES)</t>
    </r>
  </si>
  <si>
    <r>
      <t xml:space="preserve">Variable:
Total de Mujeres de 15 a 49 años con comorbilidad, 
Incluye mujeres con método PNF posterior  a cita preconcepcional
</t>
    </r>
    <r>
      <rPr>
        <strike/>
        <sz val="10"/>
        <rFont val="Calibri Light"/>
        <family val="2"/>
        <scheme val="major"/>
      </rPr>
      <t xml:space="preserve">
</t>
    </r>
    <r>
      <rPr>
        <sz val="10"/>
        <rFont val="Calibri Light"/>
        <family val="2"/>
        <scheme val="major"/>
      </rPr>
      <t>Dividido en 12 multiplicado por mes a evaluar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</si>
</sst>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43" formatCode="_-* #,##0.00_-;\-* #,##0.00_-;_-* &quot;-&quot;??_-;_-@_-"/>
    <numFmt numFmtId="164" formatCode="0.0%"/>
    <numFmt numFmtId="165" formatCode="_(* #,##0.00_);_(* \(#,##0.00\);_(* &quot;-&quot;??_);_(@_)"/>
    <numFmt numFmtId="166" formatCode="0.0"/>
    <numFmt numFmtId="167" formatCode="_(* #,##0_);_(* \(#,##0\);_(* &quot;-&quot;_);_(@_)"/>
  </numFmts>
  <fonts count="55" x14ac:knownFonts="1">
    <font>
      <sz val="11"/>
      <color theme="1"/>
      <name val="Calibri"/>
      <family val="2"/>
      <scheme val="minor"/>
    </font>
    <font>
      <sz val="11"/>
      <color theme="1"/>
      <name val="Calibri"/>
      <family val="2"/>
      <scheme val="minor"/>
    </font>
    <font>
      <sz val="10"/>
      <color theme="1"/>
      <name val="Calibri"/>
      <family val="2"/>
      <scheme val="minor"/>
    </font>
    <font>
      <sz val="9"/>
      <color indexed="81"/>
      <name val="Tahoma"/>
      <family val="2"/>
    </font>
    <font>
      <b/>
      <sz val="9"/>
      <color indexed="81"/>
      <name val="Tahoma"/>
      <family val="2"/>
    </font>
    <font>
      <sz val="10"/>
      <name val="Calibri Light"/>
      <family val="2"/>
      <scheme val="major"/>
    </font>
    <font>
      <sz val="10"/>
      <color theme="1"/>
      <name val="Calibri Light"/>
      <family val="2"/>
      <scheme val="major"/>
    </font>
    <font>
      <b/>
      <sz val="10"/>
      <color theme="1"/>
      <name val="Calibri Light"/>
      <family val="2"/>
      <scheme val="major"/>
    </font>
    <font>
      <sz val="10"/>
      <color rgb="FFFF0000"/>
      <name val="Calibri Light"/>
      <family val="2"/>
      <scheme val="major"/>
    </font>
    <font>
      <b/>
      <sz val="10"/>
      <name val="Calibri Light"/>
      <family val="2"/>
      <scheme val="major"/>
    </font>
    <font>
      <b/>
      <sz val="10"/>
      <color rgb="FFFF0000"/>
      <name val="Calibri Light"/>
      <family val="2"/>
      <scheme val="major"/>
    </font>
    <font>
      <sz val="11"/>
      <color theme="1"/>
      <name val="Calibri Light"/>
      <family val="2"/>
      <scheme val="major"/>
    </font>
    <font>
      <b/>
      <sz val="11"/>
      <color theme="1"/>
      <name val="Calibri Light"/>
      <family val="2"/>
      <scheme val="major"/>
    </font>
    <font>
      <strike/>
      <sz val="10"/>
      <name val="Calibri Light"/>
      <family val="2"/>
      <scheme val="major"/>
    </font>
    <font>
      <sz val="10"/>
      <color rgb="FFFF0000"/>
      <name val="Calibri Light"/>
      <family val="2"/>
    </font>
    <font>
      <sz val="10"/>
      <name val="Calibri Light"/>
      <family val="2"/>
    </font>
    <font>
      <strike/>
      <sz val="10"/>
      <color rgb="FFFF0000"/>
      <name val="Calibri Light"/>
      <family val="2"/>
      <scheme val="major"/>
    </font>
    <font>
      <sz val="10"/>
      <color rgb="FF000000"/>
      <name val="Calibri Light"/>
      <family val="2"/>
      <scheme val="major"/>
    </font>
    <font>
      <u/>
      <sz val="10"/>
      <name val="Calibri Light"/>
      <family val="2"/>
      <scheme val="major"/>
    </font>
    <font>
      <sz val="11"/>
      <name val="Calibri Light"/>
      <family val="2"/>
      <scheme val="major"/>
    </font>
    <font>
      <b/>
      <u/>
      <sz val="10"/>
      <name val="Calibri Light"/>
      <family val="2"/>
      <scheme val="major"/>
    </font>
    <font>
      <sz val="10"/>
      <color theme="1"/>
      <name val="Calibri Light"/>
      <family val="2"/>
    </font>
    <font>
      <sz val="10"/>
      <color rgb="FF000000"/>
      <name val="Calibri Light"/>
      <family val="2"/>
    </font>
    <font>
      <strike/>
      <sz val="10"/>
      <color theme="1"/>
      <name val="Calibri Light"/>
      <family val="2"/>
      <scheme val="major"/>
    </font>
    <font>
      <sz val="11"/>
      <color rgb="FFFF0000"/>
      <name val="Calibri Light"/>
      <family val="2"/>
      <scheme val="major"/>
    </font>
    <font>
      <sz val="10"/>
      <color rgb="FFA6088F"/>
      <name val="Calibri Light"/>
      <family val="2"/>
      <scheme val="major"/>
    </font>
    <font>
      <sz val="10"/>
      <color rgb="FF7030A0"/>
      <name val="Calibri Light"/>
      <family val="2"/>
      <scheme val="major"/>
    </font>
    <font>
      <sz val="10"/>
      <color rgb="FF002060"/>
      <name val="Calibri Light"/>
      <family val="2"/>
      <scheme val="major"/>
    </font>
    <font>
      <i/>
      <sz val="10"/>
      <color theme="1"/>
      <name val="Calibri Light"/>
      <family val="2"/>
      <scheme val="major"/>
    </font>
    <font>
      <u/>
      <sz val="10"/>
      <color theme="1"/>
      <name val="Calibri Light"/>
      <family val="2"/>
      <scheme val="major"/>
    </font>
    <font>
      <b/>
      <u/>
      <sz val="10"/>
      <color theme="1"/>
      <name val="Calibri Light"/>
      <family val="2"/>
      <scheme val="major"/>
    </font>
    <font>
      <sz val="10"/>
      <color rgb="FFC00000"/>
      <name val="Calibri Light"/>
      <family val="2"/>
      <scheme val="major"/>
    </font>
    <font>
      <b/>
      <sz val="10"/>
      <color theme="0" tint="-4.9989318521683403E-2"/>
      <name val="Calibri Light"/>
      <family val="2"/>
      <scheme val="major"/>
    </font>
    <font>
      <b/>
      <sz val="10"/>
      <color rgb="FFC00000"/>
      <name val="Calibri Light"/>
      <family val="2"/>
      <scheme val="major"/>
    </font>
    <font>
      <sz val="8"/>
      <color rgb="FF000000"/>
      <name val="Arial"/>
      <family val="2"/>
    </font>
    <font>
      <b/>
      <sz val="10"/>
      <color theme="0"/>
      <name val="Arial"/>
      <family val="2"/>
    </font>
    <font>
      <sz val="10"/>
      <color theme="0"/>
      <name val="Arial"/>
      <family val="2"/>
    </font>
    <font>
      <strike/>
      <sz val="10"/>
      <color rgb="FF000000"/>
      <name val="Calibri Light"/>
      <family val="2"/>
      <scheme val="major"/>
    </font>
    <font>
      <b/>
      <sz val="10"/>
      <color theme="0"/>
      <name val="Calibri Light"/>
      <family val="2"/>
      <scheme val="major"/>
    </font>
    <font>
      <sz val="10"/>
      <color theme="0"/>
      <name val="Calibri Light"/>
      <family val="2"/>
      <scheme val="major"/>
    </font>
    <font>
      <i/>
      <sz val="10"/>
      <name val="Calibri Light"/>
      <family val="2"/>
      <scheme val="major"/>
    </font>
    <font>
      <b/>
      <sz val="10"/>
      <color rgb="FF000000"/>
      <name val="Calibri Light"/>
      <family val="2"/>
      <scheme val="major"/>
    </font>
    <font>
      <sz val="10"/>
      <color rgb="FF000000"/>
      <name val="Calibri Light"/>
      <family val="2"/>
      <scheme val="major"/>
    </font>
    <font>
      <sz val="10"/>
      <color rgb="FFFF0000"/>
      <name val="Calibri Light"/>
      <family val="2"/>
      <scheme val="major"/>
    </font>
    <font>
      <sz val="10"/>
      <name val="Calibri Light"/>
      <family val="2"/>
      <scheme val="major"/>
    </font>
    <font>
      <sz val="10"/>
      <color theme="1"/>
      <name val="Calibri Light"/>
      <family val="2"/>
      <scheme val="major"/>
    </font>
    <font>
      <i/>
      <sz val="10"/>
      <color rgb="FF000000"/>
      <name val="Calibri Light"/>
      <family val="2"/>
      <scheme val="major"/>
    </font>
    <font>
      <sz val="10"/>
      <color theme="1"/>
      <name val="Calibri Light"/>
      <family val="2"/>
    </font>
    <font>
      <sz val="8"/>
      <name val="Calibri"/>
      <family val="2"/>
      <scheme val="minor"/>
    </font>
    <font>
      <b/>
      <sz val="11"/>
      <name val="Calibri Light"/>
      <family val="2"/>
      <scheme val="major"/>
    </font>
    <font>
      <b/>
      <sz val="9"/>
      <name val="Calibri Light"/>
      <family val="2"/>
      <scheme val="major"/>
    </font>
    <font>
      <b/>
      <sz val="10"/>
      <name val="Calibri Light"/>
      <family val="2"/>
    </font>
    <font>
      <strike/>
      <sz val="10"/>
      <name val="Calibri Light"/>
      <family val="2"/>
    </font>
    <font>
      <sz val="11"/>
      <name val="Calibri"/>
      <family val="2"/>
      <scheme val="minor"/>
    </font>
    <font>
      <sz val="10"/>
      <name val="Calibri"/>
      <family val="2"/>
      <scheme val="minor"/>
    </font>
  </fonts>
  <fills count="14">
    <fill>
      <patternFill patternType="none"/>
    </fill>
    <fill>
      <patternFill patternType="gray125"/>
    </fill>
    <fill>
      <patternFill patternType="solid">
        <fgColor rgb="FFC00000"/>
        <bgColor indexed="64"/>
      </patternFill>
    </fill>
    <fill>
      <patternFill patternType="solid">
        <fgColor rgb="FF00B050"/>
        <bgColor indexed="64"/>
      </patternFill>
    </fill>
    <fill>
      <patternFill patternType="solid">
        <fgColor rgb="FFFFFF00"/>
        <bgColor indexed="64"/>
      </patternFill>
    </fill>
    <fill>
      <patternFill patternType="solid">
        <fgColor theme="5"/>
        <bgColor indexed="64"/>
      </patternFill>
    </fill>
    <fill>
      <patternFill patternType="solid">
        <fgColor theme="0" tint="-0.499984740745262"/>
        <bgColor indexed="64"/>
      </patternFill>
    </fill>
    <fill>
      <patternFill patternType="solid">
        <fgColor rgb="FF0070C0"/>
        <bgColor indexed="64"/>
      </patternFill>
    </fill>
    <fill>
      <patternFill patternType="solid">
        <fgColor theme="8" tint="-0.499984740745262"/>
        <bgColor indexed="64"/>
      </patternFill>
    </fill>
    <fill>
      <patternFill patternType="solid">
        <fgColor theme="7" tint="0.79998168889431442"/>
        <bgColor indexed="64"/>
      </patternFill>
    </fill>
    <fill>
      <patternFill patternType="solid">
        <fgColor theme="6" tint="0.59999389629810485"/>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rgb="FFFF3399"/>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s>
  <cellStyleXfs count="6">
    <xf numFmtId="0" fontId="0" fillId="0" borderId="0"/>
    <xf numFmtId="9" fontId="1" fillId="0" borderId="0" applyFont="0" applyFill="0" applyBorder="0" applyAlignment="0" applyProtection="0"/>
    <xf numFmtId="165"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256">
    <xf numFmtId="0" fontId="0" fillId="0" borderId="0" xfId="0"/>
    <xf numFmtId="0" fontId="0" fillId="0" borderId="0" xfId="0" applyAlignment="1">
      <alignment vertical="center"/>
    </xf>
    <xf numFmtId="0" fontId="5" fillId="0" borderId="1" xfId="0" applyFont="1" applyBorder="1" applyAlignment="1">
      <alignment horizontal="left" vertical="center" wrapText="1"/>
    </xf>
    <xf numFmtId="10" fontId="6" fillId="0" borderId="1" xfId="1" applyNumberFormat="1" applyFont="1" applyFill="1" applyBorder="1" applyAlignment="1">
      <alignment horizontal="center" vertical="center" wrapText="1"/>
    </xf>
    <xf numFmtId="49" fontId="6" fillId="0" borderId="1" xfId="0" applyNumberFormat="1" applyFont="1" applyBorder="1" applyAlignment="1">
      <alignment horizontal="left" vertical="center"/>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5" fillId="0" borderId="1" xfId="0" applyFont="1" applyBorder="1" applyAlignment="1">
      <alignment horizontal="center" vertical="center" wrapText="1"/>
    </xf>
    <xf numFmtId="9" fontId="5" fillId="0" borderId="1" xfId="1" applyFont="1" applyFill="1" applyBorder="1" applyAlignment="1">
      <alignment horizontal="center" vertical="center" wrapText="1"/>
    </xf>
    <xf numFmtId="10" fontId="5" fillId="0" borderId="1" xfId="1" applyNumberFormat="1" applyFont="1" applyFill="1" applyBorder="1" applyAlignment="1">
      <alignment horizontal="center" vertical="center" wrapText="1"/>
    </xf>
    <xf numFmtId="164" fontId="5" fillId="0" borderId="1" xfId="1" applyNumberFormat="1" applyFont="1" applyFill="1" applyBorder="1" applyAlignment="1">
      <alignment horizontal="center" vertical="center" wrapText="1"/>
    </xf>
    <xf numFmtId="0" fontId="5" fillId="0" borderId="1" xfId="0" applyFont="1" applyBorder="1" applyAlignment="1">
      <alignment vertical="center" wrapText="1"/>
    </xf>
    <xf numFmtId="49" fontId="5" fillId="0" borderId="1" xfId="0" applyNumberFormat="1" applyFont="1" applyBorder="1" applyAlignment="1">
      <alignment horizontal="left" vertical="center"/>
    </xf>
    <xf numFmtId="49" fontId="5" fillId="0" borderId="1" xfId="0" applyNumberFormat="1" applyFont="1" applyBorder="1" applyAlignment="1">
      <alignment horizontal="left" vertical="center" wrapText="1"/>
    </xf>
    <xf numFmtId="0" fontId="8" fillId="0" borderId="1" xfId="0" applyFont="1" applyBorder="1" applyAlignment="1">
      <alignment horizontal="left" vertical="center" wrapText="1"/>
    </xf>
    <xf numFmtId="0" fontId="8" fillId="0" borderId="1" xfId="0" applyFont="1" applyBorder="1" applyAlignment="1">
      <alignment vertical="center" wrapText="1"/>
    </xf>
    <xf numFmtId="0" fontId="11" fillId="0" borderId="0" xfId="0" applyFont="1" applyAlignment="1">
      <alignment vertical="center"/>
    </xf>
    <xf numFmtId="0" fontId="12" fillId="0" borderId="0" xfId="0" applyFont="1" applyAlignment="1">
      <alignment horizontal="center" vertical="center" wrapText="1"/>
    </xf>
    <xf numFmtId="0" fontId="5" fillId="0" borderId="0" xfId="0" applyFont="1" applyAlignment="1">
      <alignment vertical="center"/>
    </xf>
    <xf numFmtId="0" fontId="5" fillId="0" borderId="1" xfId="0" applyFont="1" applyBorder="1" applyAlignment="1">
      <alignment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3" fontId="5" fillId="0" borderId="1" xfId="0" applyNumberFormat="1" applyFont="1" applyBorder="1" applyAlignment="1">
      <alignment horizontal="center" vertical="center"/>
    </xf>
    <xf numFmtId="0" fontId="5" fillId="0" borderId="1" xfId="0" applyFont="1" applyBorder="1" applyAlignment="1">
      <alignment horizontal="justify" vertical="center"/>
    </xf>
    <xf numFmtId="9" fontId="5" fillId="0" borderId="1" xfId="1" applyFont="1" applyFill="1" applyBorder="1" applyAlignment="1">
      <alignment horizontal="center" vertical="center"/>
    </xf>
    <xf numFmtId="10" fontId="5" fillId="0" borderId="1" xfId="1" applyNumberFormat="1" applyFont="1" applyFill="1" applyBorder="1" applyAlignment="1">
      <alignment horizontal="center" vertical="center"/>
    </xf>
    <xf numFmtId="1" fontId="5" fillId="0" borderId="1" xfId="1" applyNumberFormat="1" applyFont="1" applyFill="1" applyBorder="1" applyAlignment="1">
      <alignment horizontal="center" vertical="center"/>
    </xf>
    <xf numFmtId="164" fontId="5" fillId="0" borderId="1" xfId="1" applyNumberFormat="1" applyFont="1" applyFill="1" applyBorder="1" applyAlignment="1">
      <alignment horizontal="center" vertical="center"/>
    </xf>
    <xf numFmtId="14" fontId="5" fillId="0" borderId="1" xfId="0" applyNumberFormat="1" applyFont="1" applyBorder="1" applyAlignment="1">
      <alignment horizontal="center" vertical="center"/>
    </xf>
    <xf numFmtId="14" fontId="5" fillId="0" borderId="1" xfId="0" applyNumberFormat="1" applyFont="1" applyBorder="1" applyAlignment="1">
      <alignment horizontal="left" vertical="center"/>
    </xf>
    <xf numFmtId="14" fontId="5" fillId="0" borderId="1" xfId="0" applyNumberFormat="1" applyFont="1" applyBorder="1" applyAlignment="1">
      <alignment vertical="center" wrapText="1"/>
    </xf>
    <xf numFmtId="0" fontId="5" fillId="0" borderId="1" xfId="0" applyFont="1" applyBorder="1" applyAlignment="1">
      <alignment horizontal="justify" vertical="center" wrapText="1"/>
    </xf>
    <xf numFmtId="14" fontId="5" fillId="0" borderId="1" xfId="0" applyNumberFormat="1" applyFont="1" applyBorder="1" applyAlignment="1">
      <alignment vertical="top" wrapText="1"/>
    </xf>
    <xf numFmtId="0" fontId="6" fillId="0" borderId="1" xfId="0" applyFont="1" applyBorder="1" applyAlignment="1">
      <alignment horizontal="center" vertical="center"/>
    </xf>
    <xf numFmtId="1" fontId="5" fillId="0" borderId="1" xfId="0" applyNumberFormat="1" applyFont="1" applyBorder="1" applyAlignment="1">
      <alignment horizontal="center" vertical="center"/>
    </xf>
    <xf numFmtId="14" fontId="5" fillId="0" borderId="1" xfId="0" applyNumberFormat="1" applyFont="1" applyBorder="1" applyAlignment="1">
      <alignment horizontal="left" vertical="center" wrapText="1"/>
    </xf>
    <xf numFmtId="0" fontId="5" fillId="0" borderId="1" xfId="0" applyFont="1" applyBorder="1" applyAlignment="1">
      <alignment vertical="top" wrapText="1"/>
    </xf>
    <xf numFmtId="0" fontId="8" fillId="0" borderId="1" xfId="0" applyFont="1" applyBorder="1" applyAlignment="1">
      <alignment horizontal="left" vertical="center"/>
    </xf>
    <xf numFmtId="1" fontId="8" fillId="0" borderId="1" xfId="1" applyNumberFormat="1" applyFont="1" applyFill="1" applyBorder="1" applyAlignment="1">
      <alignment horizontal="center" vertical="center"/>
    </xf>
    <xf numFmtId="0" fontId="8" fillId="0" borderId="1" xfId="0" applyFont="1" applyBorder="1" applyAlignment="1">
      <alignment horizontal="center" vertical="center" wrapText="1"/>
    </xf>
    <xf numFmtId="14" fontId="5" fillId="0" borderId="1" xfId="0" applyNumberFormat="1" applyFont="1" applyBorder="1" applyAlignment="1">
      <alignment horizontal="left" vertical="top" wrapText="1"/>
    </xf>
    <xf numFmtId="9" fontId="8" fillId="0" borderId="1" xfId="1" applyFont="1" applyFill="1" applyBorder="1" applyAlignment="1">
      <alignment horizontal="center" vertical="center"/>
    </xf>
    <xf numFmtId="0" fontId="5" fillId="0" borderId="1" xfId="0" applyFont="1" applyBorder="1" applyAlignment="1">
      <alignment horizontal="left" vertical="top" wrapText="1"/>
    </xf>
    <xf numFmtId="1" fontId="8" fillId="0" borderId="1" xfId="0" applyNumberFormat="1" applyFont="1" applyBorder="1" applyAlignment="1">
      <alignment horizontal="center" vertical="center"/>
    </xf>
    <xf numFmtId="14" fontId="5" fillId="4" borderId="1" xfId="0" applyNumberFormat="1" applyFont="1" applyFill="1" applyBorder="1" applyAlignment="1">
      <alignment horizontal="left" vertical="center"/>
    </xf>
    <xf numFmtId="0" fontId="5" fillId="0" borderId="1" xfId="0" applyFont="1" applyBorder="1" applyAlignment="1">
      <alignment horizontal="center" vertical="top" wrapText="1"/>
    </xf>
    <xf numFmtId="14" fontId="5" fillId="0" borderId="1" xfId="1" applyNumberFormat="1" applyFont="1" applyFill="1" applyBorder="1" applyAlignment="1">
      <alignment horizontal="left" vertical="center"/>
    </xf>
    <xf numFmtId="0" fontId="6" fillId="0" borderId="1" xfId="0" applyFont="1" applyBorder="1" applyAlignment="1">
      <alignment horizontal="left" vertical="top" wrapText="1"/>
    </xf>
    <xf numFmtId="0" fontId="6" fillId="0" borderId="1" xfId="0" applyFont="1" applyBorder="1" applyAlignment="1">
      <alignment horizontal="justify" vertical="center"/>
    </xf>
    <xf numFmtId="0" fontId="6" fillId="0" borderId="1" xfId="0" applyFont="1" applyBorder="1" applyAlignment="1">
      <alignment horizontal="left" vertical="center"/>
    </xf>
    <xf numFmtId="0" fontId="5" fillId="0" borderId="1" xfId="1" applyNumberFormat="1" applyFont="1" applyFill="1" applyBorder="1" applyAlignment="1">
      <alignment horizontal="center" vertical="center"/>
    </xf>
    <xf numFmtId="14" fontId="5" fillId="0" borderId="1" xfId="1" applyNumberFormat="1" applyFont="1" applyFill="1" applyBorder="1" applyAlignment="1">
      <alignment horizontal="left" vertical="top" wrapText="1"/>
    </xf>
    <xf numFmtId="1" fontId="5" fillId="0" borderId="1" xfId="1" applyNumberFormat="1" applyFont="1" applyFill="1" applyBorder="1" applyAlignment="1">
      <alignment horizontal="left" vertical="center"/>
    </xf>
    <xf numFmtId="0" fontId="13" fillId="0" borderId="1" xfId="0" applyFont="1" applyBorder="1" applyAlignment="1">
      <alignment horizontal="left" vertical="center"/>
    </xf>
    <xf numFmtId="0" fontId="8" fillId="0" borderId="1" xfId="0" applyFont="1" applyBorder="1" applyAlignment="1">
      <alignment horizontal="center" vertical="center"/>
    </xf>
    <xf numFmtId="1" fontId="5" fillId="0" borderId="1" xfId="0" applyNumberFormat="1" applyFont="1" applyBorder="1" applyAlignment="1">
      <alignment horizontal="left" vertical="center"/>
    </xf>
    <xf numFmtId="164" fontId="5" fillId="0" borderId="1" xfId="1" applyNumberFormat="1" applyFont="1" applyFill="1" applyBorder="1" applyAlignment="1">
      <alignment horizontal="left" vertical="center"/>
    </xf>
    <xf numFmtId="1" fontId="5" fillId="0" borderId="1" xfId="1" applyNumberFormat="1" applyFont="1" applyFill="1" applyBorder="1" applyAlignment="1">
      <alignment horizontal="left" vertical="center" wrapText="1"/>
    </xf>
    <xf numFmtId="0" fontId="19" fillId="0" borderId="0" xfId="0" applyFont="1" applyAlignment="1">
      <alignment vertical="center"/>
    </xf>
    <xf numFmtId="9" fontId="5" fillId="0" borderId="1" xfId="0" applyNumberFormat="1" applyFont="1" applyBorder="1" applyAlignment="1">
      <alignment horizontal="center" vertical="center"/>
    </xf>
    <xf numFmtId="10" fontId="5" fillId="0" borderId="1" xfId="0" applyNumberFormat="1" applyFont="1" applyBorder="1" applyAlignment="1">
      <alignment vertical="center"/>
    </xf>
    <xf numFmtId="1" fontId="5" fillId="0" borderId="1" xfId="1" applyNumberFormat="1" applyFont="1" applyFill="1" applyBorder="1" applyAlignment="1">
      <alignment horizontal="left" vertical="top" wrapText="1"/>
    </xf>
    <xf numFmtId="10" fontId="8" fillId="0" borderId="1" xfId="1" applyNumberFormat="1" applyFont="1" applyFill="1" applyBorder="1" applyAlignment="1">
      <alignment horizontal="center" vertical="center"/>
    </xf>
    <xf numFmtId="10" fontId="5" fillId="0" borderId="1" xfId="0" applyNumberFormat="1" applyFont="1" applyBorder="1" applyAlignment="1">
      <alignment horizontal="left" vertical="center"/>
    </xf>
    <xf numFmtId="0" fontId="5" fillId="0" borderId="0" xfId="0" applyFont="1" applyAlignment="1">
      <alignment horizontal="left" vertical="center"/>
    </xf>
    <xf numFmtId="0" fontId="8" fillId="0" borderId="1" xfId="0" applyFont="1" applyBorder="1" applyAlignment="1">
      <alignment vertical="center"/>
    </xf>
    <xf numFmtId="9" fontId="5" fillId="0" borderId="1" xfId="0" applyNumberFormat="1" applyFont="1" applyBorder="1" applyAlignment="1">
      <alignment horizontal="left" vertical="center"/>
    </xf>
    <xf numFmtId="164" fontId="5" fillId="0" borderId="1" xfId="0" applyNumberFormat="1" applyFont="1" applyBorder="1" applyAlignment="1">
      <alignment horizontal="left" vertical="center"/>
    </xf>
    <xf numFmtId="9" fontId="6" fillId="0" borderId="1" xfId="1" applyFont="1" applyFill="1" applyBorder="1" applyAlignment="1">
      <alignment horizontal="center" vertical="center"/>
    </xf>
    <xf numFmtId="10" fontId="6" fillId="0" borderId="1" xfId="1" applyNumberFormat="1" applyFont="1" applyFill="1" applyBorder="1" applyAlignment="1">
      <alignment horizontal="center" vertical="center"/>
    </xf>
    <xf numFmtId="49" fontId="8" fillId="0" borderId="1" xfId="3" applyNumberFormat="1" applyFont="1" applyFill="1" applyBorder="1" applyAlignment="1">
      <alignment horizontal="left" vertical="center" wrapText="1"/>
    </xf>
    <xf numFmtId="14" fontId="5" fillId="0" borderId="1" xfId="1" applyNumberFormat="1" applyFont="1" applyFill="1" applyBorder="1" applyAlignment="1">
      <alignment horizontal="left" vertical="center" wrapText="1"/>
    </xf>
    <xf numFmtId="2" fontId="5" fillId="0" borderId="1" xfId="1" applyNumberFormat="1" applyFont="1" applyFill="1" applyBorder="1" applyAlignment="1">
      <alignment horizontal="center" vertical="center"/>
    </xf>
    <xf numFmtId="1" fontId="6" fillId="0" borderId="1" xfId="1" applyNumberFormat="1" applyFont="1" applyFill="1" applyBorder="1" applyAlignment="1">
      <alignment horizontal="center" vertical="center"/>
    </xf>
    <xf numFmtId="49" fontId="5" fillId="0" borderId="1" xfId="3" applyNumberFormat="1" applyFont="1" applyFill="1" applyBorder="1" applyAlignment="1">
      <alignment horizontal="left" vertical="center" wrapText="1"/>
    </xf>
    <xf numFmtId="0" fontId="6" fillId="0" borderId="1" xfId="0" applyFont="1" applyBorder="1" applyAlignment="1">
      <alignment vertical="center"/>
    </xf>
    <xf numFmtId="0" fontId="0" fillId="0" borderId="0" xfId="0" applyAlignment="1">
      <alignment vertical="center" wrapText="1"/>
    </xf>
    <xf numFmtId="0" fontId="2" fillId="0" borderId="0" xfId="0" applyFont="1" applyAlignment="1">
      <alignment vertical="center"/>
    </xf>
    <xf numFmtId="3" fontId="6" fillId="0" borderId="1" xfId="0" applyNumberFormat="1" applyFont="1" applyBorder="1" applyAlignment="1">
      <alignment horizontal="center" vertical="center"/>
    </xf>
    <xf numFmtId="0" fontId="6" fillId="0" borderId="1" xfId="0" applyFont="1" applyBorder="1" applyAlignment="1">
      <alignment horizontal="justify" vertical="center" wrapText="1"/>
    </xf>
    <xf numFmtId="164" fontId="8" fillId="0" borderId="1" xfId="1" applyNumberFormat="1" applyFont="1" applyFill="1" applyBorder="1" applyAlignment="1">
      <alignment horizontal="center" vertical="center"/>
    </xf>
    <xf numFmtId="0" fontId="24" fillId="0" borderId="0" xfId="0" applyFont="1" applyAlignment="1">
      <alignment vertical="center"/>
    </xf>
    <xf numFmtId="0" fontId="6" fillId="0" borderId="1" xfId="0" applyFont="1" applyBorder="1" applyAlignment="1">
      <alignment vertical="center" wrapText="1"/>
    </xf>
    <xf numFmtId="0" fontId="0" fillId="0" borderId="1" xfId="0" applyBorder="1" applyAlignment="1">
      <alignment vertical="center" wrapText="1"/>
    </xf>
    <xf numFmtId="0" fontId="16" fillId="0" borderId="1" xfId="0" applyFont="1" applyBorder="1" applyAlignment="1">
      <alignment horizontal="left" vertical="center" wrapText="1"/>
    </xf>
    <xf numFmtId="49" fontId="5" fillId="0" borderId="1" xfId="0" applyNumberFormat="1" applyFont="1" applyBorder="1" applyAlignment="1">
      <alignment horizontal="center" vertical="center" wrapText="1"/>
    </xf>
    <xf numFmtId="0" fontId="7" fillId="0" borderId="1" xfId="0" applyFont="1" applyBorder="1" applyAlignment="1">
      <alignment horizontal="left" vertical="center" wrapText="1"/>
    </xf>
    <xf numFmtId="49" fontId="6" fillId="0" borderId="1" xfId="0" applyNumberFormat="1" applyFont="1" applyBorder="1" applyAlignment="1">
      <alignment horizontal="center" vertical="center"/>
    </xf>
    <xf numFmtId="0" fontId="6" fillId="0" borderId="1" xfId="0" applyFont="1" applyBorder="1" applyAlignment="1">
      <alignment vertical="top" wrapText="1"/>
    </xf>
    <xf numFmtId="0" fontId="23" fillId="0" borderId="1" xfId="0" applyFont="1" applyBorder="1" applyAlignment="1">
      <alignment horizontal="justify" vertical="center" wrapText="1"/>
    </xf>
    <xf numFmtId="49" fontId="6" fillId="0" borderId="1" xfId="0" applyNumberFormat="1" applyFont="1" applyBorder="1" applyAlignment="1">
      <alignment horizontal="left" vertical="center" wrapText="1"/>
    </xf>
    <xf numFmtId="3" fontId="6" fillId="0" borderId="1" xfId="0" applyNumberFormat="1" applyFont="1" applyBorder="1" applyAlignment="1">
      <alignment horizontal="center" vertical="center" wrapText="1"/>
    </xf>
    <xf numFmtId="49" fontId="6" fillId="0" borderId="1" xfId="3" applyNumberFormat="1" applyFont="1" applyFill="1" applyBorder="1" applyAlignment="1">
      <alignment horizontal="left" vertical="center"/>
    </xf>
    <xf numFmtId="49" fontId="6" fillId="0" borderId="1" xfId="3" applyNumberFormat="1" applyFont="1" applyFill="1" applyBorder="1" applyAlignment="1">
      <alignment horizontal="left" wrapText="1"/>
    </xf>
    <xf numFmtId="0" fontId="23" fillId="0" borderId="1" xfId="0" applyFont="1" applyBorder="1" applyAlignment="1">
      <alignment horizontal="left" vertical="center" wrapText="1"/>
    </xf>
    <xf numFmtId="49" fontId="6" fillId="0" borderId="1" xfId="3" applyNumberFormat="1" applyFont="1" applyFill="1" applyBorder="1" applyAlignment="1">
      <alignment horizontal="left" vertical="center" wrapText="1"/>
    </xf>
    <xf numFmtId="0" fontId="6" fillId="0" borderId="1" xfId="0" applyFont="1" applyBorder="1" applyAlignment="1">
      <alignment horizontal="center" vertical="top" wrapText="1"/>
    </xf>
    <xf numFmtId="0" fontId="6" fillId="0" borderId="1" xfId="0" applyFont="1" applyBorder="1" applyAlignment="1">
      <alignment horizontal="justify" vertical="top" wrapText="1"/>
    </xf>
    <xf numFmtId="0" fontId="23" fillId="0" borderId="1" xfId="0" applyFont="1" applyBorder="1" applyAlignment="1">
      <alignment horizontal="center" vertical="center" wrapText="1"/>
    </xf>
    <xf numFmtId="0" fontId="21" fillId="0" borderId="1" xfId="0" applyFont="1" applyBorder="1" applyAlignment="1">
      <alignment horizontal="justify" vertical="center" wrapText="1"/>
    </xf>
    <xf numFmtId="0" fontId="7" fillId="0" borderId="1" xfId="0" applyFont="1" applyBorder="1" applyAlignment="1">
      <alignment horizontal="center" vertical="center"/>
    </xf>
    <xf numFmtId="0" fontId="21" fillId="0" borderId="1" xfId="0" applyFont="1" applyBorder="1" applyAlignment="1">
      <alignment horizontal="justify" vertical="center"/>
    </xf>
    <xf numFmtId="0" fontId="15" fillId="0" borderId="1" xfId="0" applyFont="1" applyBorder="1" applyAlignment="1">
      <alignment horizontal="left" vertical="center" wrapText="1"/>
    </xf>
    <xf numFmtId="164" fontId="5" fillId="0" borderId="6" xfId="1" applyNumberFormat="1" applyFont="1" applyFill="1" applyBorder="1" applyAlignment="1">
      <alignment horizontal="center" vertical="center"/>
    </xf>
    <xf numFmtId="0" fontId="22" fillId="0" borderId="1" xfId="0" applyFont="1" applyBorder="1" applyAlignment="1">
      <alignment vertical="center" wrapText="1"/>
    </xf>
    <xf numFmtId="9" fontId="5" fillId="0" borderId="1" xfId="0" applyNumberFormat="1" applyFont="1" applyBorder="1" applyAlignment="1">
      <alignment vertical="center"/>
    </xf>
    <xf numFmtId="14" fontId="5" fillId="0" borderId="1" xfId="0" applyNumberFormat="1" applyFont="1" applyBorder="1" applyAlignment="1">
      <alignment horizontal="center" vertical="center" wrapText="1"/>
    </xf>
    <xf numFmtId="0" fontId="5" fillId="0" borderId="1" xfId="0" applyFont="1" applyBorder="1" applyAlignment="1">
      <alignment vertical="top"/>
    </xf>
    <xf numFmtId="9" fontId="16" fillId="0" borderId="1" xfId="1" applyFont="1" applyFill="1" applyBorder="1" applyAlignment="1">
      <alignment horizontal="center" vertical="center"/>
    </xf>
    <xf numFmtId="14" fontId="5" fillId="0" borderId="1" xfId="1" applyNumberFormat="1" applyFont="1" applyFill="1" applyBorder="1" applyAlignment="1">
      <alignment horizontal="center" vertical="center"/>
    </xf>
    <xf numFmtId="10" fontId="16" fillId="0" borderId="1" xfId="1" applyNumberFormat="1" applyFont="1" applyFill="1" applyBorder="1" applyAlignment="1">
      <alignment horizontal="center" vertical="center"/>
    </xf>
    <xf numFmtId="0" fontId="27" fillId="0" borderId="1" xfId="0" applyFont="1" applyBorder="1" applyAlignment="1">
      <alignment vertical="center"/>
    </xf>
    <xf numFmtId="1" fontId="27" fillId="0" borderId="1" xfId="0" applyNumberFormat="1" applyFont="1" applyBorder="1" applyAlignment="1">
      <alignment horizontal="center" vertical="center"/>
    </xf>
    <xf numFmtId="0" fontId="31" fillId="0" borderId="1" xfId="0" applyFont="1" applyBorder="1" applyAlignment="1">
      <alignment horizontal="center" vertical="center" wrapText="1"/>
    </xf>
    <xf numFmtId="3" fontId="8" fillId="0" borderId="1" xfId="0" applyNumberFormat="1" applyFont="1" applyBorder="1" applyAlignment="1">
      <alignment horizontal="center" vertical="center"/>
    </xf>
    <xf numFmtId="0" fontId="8" fillId="0" borderId="1" xfId="0" applyFont="1" applyBorder="1" applyAlignment="1">
      <alignment horizontal="justify" vertical="center"/>
    </xf>
    <xf numFmtId="0" fontId="8" fillId="0" borderId="0" xfId="0" applyFont="1" applyAlignment="1">
      <alignment vertical="center"/>
    </xf>
    <xf numFmtId="0" fontId="8" fillId="0" borderId="1" xfId="0" applyFont="1" applyBorder="1" applyAlignment="1">
      <alignment horizontal="justify" vertical="center" wrapText="1"/>
    </xf>
    <xf numFmtId="0" fontId="34" fillId="0" borderId="1" xfId="0" applyFont="1" applyBorder="1" applyAlignment="1">
      <alignment horizontal="center" vertical="center" wrapText="1"/>
    </xf>
    <xf numFmtId="49" fontId="34" fillId="0" borderId="1" xfId="0" applyNumberFormat="1" applyFont="1" applyBorder="1" applyAlignment="1">
      <alignment horizontal="center" vertical="center"/>
    </xf>
    <xf numFmtId="0" fontId="34" fillId="0" borderId="1" xfId="0" applyFont="1" applyBorder="1" applyAlignment="1">
      <alignment vertical="center"/>
    </xf>
    <xf numFmtId="49" fontId="6" fillId="10" borderId="1" xfId="0" applyNumberFormat="1" applyFont="1" applyFill="1" applyBorder="1" applyAlignment="1">
      <alignment horizontal="center" vertical="center"/>
    </xf>
    <xf numFmtId="0" fontId="6" fillId="10" borderId="1" xfId="0" applyFont="1" applyFill="1" applyBorder="1" applyAlignment="1">
      <alignment horizontal="left" vertical="center" wrapText="1"/>
    </xf>
    <xf numFmtId="0" fontId="6" fillId="10" borderId="1" xfId="0" applyFont="1" applyFill="1" applyBorder="1" applyAlignment="1">
      <alignment vertical="center"/>
    </xf>
    <xf numFmtId="49" fontId="6" fillId="10" borderId="1" xfId="0" applyNumberFormat="1" applyFont="1" applyFill="1" applyBorder="1" applyAlignment="1">
      <alignment horizontal="left" vertical="center"/>
    </xf>
    <xf numFmtId="0" fontId="6" fillId="10" borderId="1" xfId="0" applyFont="1" applyFill="1" applyBorder="1" applyAlignment="1">
      <alignment horizontal="center" vertical="center"/>
    </xf>
    <xf numFmtId="0" fontId="6" fillId="10" borderId="1" xfId="0" applyFont="1" applyFill="1" applyBorder="1" applyAlignment="1">
      <alignment horizontal="left" vertical="center"/>
    </xf>
    <xf numFmtId="3" fontId="6" fillId="10" borderId="1" xfId="0" applyNumberFormat="1" applyFont="1" applyFill="1" applyBorder="1" applyAlignment="1">
      <alignment horizontal="center" vertical="center"/>
    </xf>
    <xf numFmtId="0" fontId="6" fillId="10" borderId="1" xfId="0" applyFont="1" applyFill="1" applyBorder="1" applyAlignment="1">
      <alignment horizontal="justify" vertical="center"/>
    </xf>
    <xf numFmtId="0" fontId="6" fillId="10" borderId="1" xfId="0" applyFont="1" applyFill="1" applyBorder="1" applyAlignment="1">
      <alignment horizontal="center" vertical="center" wrapText="1"/>
    </xf>
    <xf numFmtId="0" fontId="5" fillId="10" borderId="1" xfId="0" applyFont="1" applyFill="1" applyBorder="1" applyAlignment="1">
      <alignment horizontal="center" vertical="center"/>
    </xf>
    <xf numFmtId="9" fontId="5" fillId="10" borderId="1" xfId="1" applyFont="1" applyFill="1" applyBorder="1" applyAlignment="1">
      <alignment horizontal="center" vertical="center"/>
    </xf>
    <xf numFmtId="10" fontId="5" fillId="10" borderId="1" xfId="1" applyNumberFormat="1" applyFont="1" applyFill="1" applyBorder="1" applyAlignment="1">
      <alignment horizontal="center" vertical="center"/>
    </xf>
    <xf numFmtId="1" fontId="5" fillId="10" borderId="1" xfId="0" applyNumberFormat="1" applyFont="1" applyFill="1" applyBorder="1" applyAlignment="1">
      <alignment horizontal="center" vertical="center"/>
    </xf>
    <xf numFmtId="164" fontId="5" fillId="10" borderId="1" xfId="1" applyNumberFormat="1" applyFont="1" applyFill="1" applyBorder="1" applyAlignment="1">
      <alignment horizontal="center" vertical="center"/>
    </xf>
    <xf numFmtId="1" fontId="5" fillId="10" borderId="1" xfId="1" applyNumberFormat="1" applyFont="1" applyFill="1" applyBorder="1" applyAlignment="1">
      <alignment horizontal="center" vertical="center"/>
    </xf>
    <xf numFmtId="14" fontId="5" fillId="10" borderId="1" xfId="0" applyNumberFormat="1" applyFont="1" applyFill="1" applyBorder="1" applyAlignment="1">
      <alignment horizontal="left" vertical="center"/>
    </xf>
    <xf numFmtId="0" fontId="35" fillId="11" borderId="1" xfId="0" applyFont="1" applyFill="1" applyBorder="1" applyAlignment="1">
      <alignment horizontal="center" vertical="center"/>
    </xf>
    <xf numFmtId="49" fontId="35" fillId="11" borderId="1" xfId="0" applyNumberFormat="1" applyFont="1" applyFill="1" applyBorder="1" applyAlignment="1">
      <alignment horizontal="center" vertical="center"/>
    </xf>
    <xf numFmtId="0" fontId="2" fillId="0" borderId="0" xfId="0" applyFont="1" applyAlignment="1">
      <alignment horizontal="center" vertical="center"/>
    </xf>
    <xf numFmtId="0" fontId="36" fillId="11" borderId="1" xfId="0" applyFont="1" applyFill="1" applyBorder="1" applyAlignment="1">
      <alignment horizontal="center" vertical="center" wrapText="1"/>
    </xf>
    <xf numFmtId="49" fontId="6" fillId="9" borderId="1" xfId="0" applyNumberFormat="1" applyFont="1" applyFill="1" applyBorder="1" applyAlignment="1">
      <alignment horizontal="center" vertical="center"/>
    </xf>
    <xf numFmtId="49" fontId="5" fillId="9" borderId="1" xfId="0" applyNumberFormat="1" applyFont="1" applyFill="1" applyBorder="1" applyAlignment="1">
      <alignment horizontal="center" vertical="center"/>
    </xf>
    <xf numFmtId="0" fontId="6" fillId="9" borderId="1" xfId="0" applyFont="1" applyFill="1" applyBorder="1" applyAlignment="1">
      <alignment horizontal="left" vertical="center"/>
    </xf>
    <xf numFmtId="0" fontId="5" fillId="9" borderId="1" xfId="0" applyFont="1" applyFill="1" applyBorder="1" applyAlignment="1">
      <alignment horizontal="center" vertical="center"/>
    </xf>
    <xf numFmtId="0" fontId="6" fillId="9" borderId="1" xfId="0" applyFont="1" applyFill="1" applyBorder="1" applyAlignment="1">
      <alignment horizontal="center" vertical="center"/>
    </xf>
    <xf numFmtId="49" fontId="6" fillId="9" borderId="1" xfId="0" applyNumberFormat="1" applyFont="1" applyFill="1" applyBorder="1" applyAlignment="1">
      <alignment horizontal="center" vertical="center" wrapText="1"/>
    </xf>
    <xf numFmtId="2" fontId="6" fillId="9" borderId="1" xfId="0" applyNumberFormat="1" applyFont="1" applyFill="1" applyBorder="1" applyAlignment="1">
      <alignment horizontal="center" vertical="center"/>
    </xf>
    <xf numFmtId="0" fontId="6" fillId="0" borderId="1" xfId="0" applyFont="1" applyBorder="1" applyAlignment="1">
      <alignment wrapText="1"/>
    </xf>
    <xf numFmtId="0" fontId="5" fillId="0" borderId="1" xfId="0" applyFont="1" applyBorder="1" applyAlignment="1">
      <alignment wrapText="1"/>
    </xf>
    <xf numFmtId="0" fontId="6" fillId="0" borderId="0" xfId="0" applyFont="1" applyAlignment="1">
      <alignment vertical="center"/>
    </xf>
    <xf numFmtId="0" fontId="17" fillId="0" borderId="1" xfId="0" applyFont="1" applyBorder="1" applyAlignment="1">
      <alignment vertical="center" wrapText="1"/>
    </xf>
    <xf numFmtId="1" fontId="39" fillId="11" borderId="1" xfId="0" applyNumberFormat="1" applyFont="1" applyFill="1" applyBorder="1" applyAlignment="1">
      <alignment horizontal="center" vertical="center" wrapText="1"/>
    </xf>
    <xf numFmtId="0" fontId="39" fillId="7" borderId="1" xfId="0" applyFont="1" applyFill="1" applyBorder="1" applyAlignment="1">
      <alignment horizontal="center" vertical="center" wrapText="1"/>
    </xf>
    <xf numFmtId="0" fontId="38" fillId="11" borderId="1" xfId="0" applyFont="1" applyFill="1" applyBorder="1" applyAlignment="1">
      <alignment horizontal="center" vertical="center" wrapText="1"/>
    </xf>
    <xf numFmtId="0" fontId="38" fillId="3" borderId="1" xfId="0" applyFont="1" applyFill="1" applyBorder="1" applyAlignment="1">
      <alignment horizontal="center" vertical="center" wrapText="1"/>
    </xf>
    <xf numFmtId="0" fontId="39" fillId="12" borderId="1" xfId="0" applyFont="1" applyFill="1" applyBorder="1" applyAlignment="1">
      <alignment horizontal="center" vertical="center" wrapText="1"/>
    </xf>
    <xf numFmtId="0" fontId="39" fillId="3" borderId="1" xfId="0" applyFont="1" applyFill="1" applyBorder="1" applyAlignment="1">
      <alignment horizontal="center" vertical="center" wrapText="1"/>
    </xf>
    <xf numFmtId="0" fontId="6" fillId="3" borderId="1" xfId="0" applyFont="1" applyFill="1" applyBorder="1" applyAlignment="1">
      <alignment horizontal="center" textRotation="90" wrapText="1"/>
    </xf>
    <xf numFmtId="0" fontId="6" fillId="4" borderId="1" xfId="0" applyFont="1" applyFill="1" applyBorder="1" applyAlignment="1">
      <alignment horizontal="center" textRotation="90" wrapText="1"/>
    </xf>
    <xf numFmtId="0" fontId="6" fillId="5" borderId="1" xfId="0" applyFont="1" applyFill="1" applyBorder="1" applyAlignment="1">
      <alignment horizontal="center" textRotation="90" wrapText="1"/>
    </xf>
    <xf numFmtId="0" fontId="39" fillId="2" borderId="1" xfId="0" applyFont="1" applyFill="1" applyBorder="1" applyAlignment="1">
      <alignment horizontal="center" textRotation="90" wrapText="1"/>
    </xf>
    <xf numFmtId="0" fontId="39" fillId="6" borderId="1" xfId="0" applyFont="1" applyFill="1" applyBorder="1" applyAlignment="1">
      <alignment horizontal="center" textRotation="90" wrapText="1"/>
    </xf>
    <xf numFmtId="0" fontId="39" fillId="8" borderId="1" xfId="0" applyFont="1" applyFill="1" applyBorder="1" applyAlignment="1">
      <alignment horizontal="center" vertical="center" wrapText="1"/>
    </xf>
    <xf numFmtId="0" fontId="39" fillId="11" borderId="1" xfId="0" applyFont="1" applyFill="1" applyBorder="1" applyAlignment="1">
      <alignment horizontal="center" vertical="center" textRotation="90" wrapText="1"/>
    </xf>
    <xf numFmtId="0" fontId="39" fillId="11" borderId="1" xfId="0" applyFont="1" applyFill="1" applyBorder="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vertical="center" wrapText="1"/>
    </xf>
    <xf numFmtId="0" fontId="6" fillId="0" borderId="1" xfId="0" applyFont="1" applyBorder="1"/>
    <xf numFmtId="0" fontId="6" fillId="0" borderId="0" xfId="0" applyFont="1" applyAlignment="1">
      <alignment horizontal="center" vertical="center"/>
    </xf>
    <xf numFmtId="3" fontId="6" fillId="0" borderId="0" xfId="0" applyNumberFormat="1" applyFont="1" applyAlignment="1">
      <alignment horizontal="center" vertical="center"/>
    </xf>
    <xf numFmtId="0" fontId="6" fillId="0" borderId="0" xfId="0" applyFont="1" applyAlignment="1">
      <alignment horizontal="justify" vertical="center"/>
    </xf>
    <xf numFmtId="14" fontId="6" fillId="0" borderId="0" xfId="0" applyNumberFormat="1" applyFont="1" applyAlignment="1">
      <alignment horizontal="center" vertical="center"/>
    </xf>
    <xf numFmtId="164" fontId="5" fillId="4" borderId="1" xfId="1" applyNumberFormat="1" applyFont="1" applyFill="1" applyBorder="1" applyAlignment="1">
      <alignment horizontal="center" vertical="center"/>
    </xf>
    <xf numFmtId="0" fontId="38" fillId="13" borderId="1" xfId="0" applyFont="1" applyFill="1" applyBorder="1" applyAlignment="1">
      <alignment horizontal="center" vertical="center" wrapText="1"/>
    </xf>
    <xf numFmtId="0" fontId="8" fillId="0" borderId="1" xfId="0" applyFont="1" applyBorder="1" applyAlignment="1">
      <alignment horizontal="left" vertical="top" wrapText="1"/>
    </xf>
    <xf numFmtId="0" fontId="17" fillId="0" borderId="1" xfId="0" applyFont="1" applyBorder="1" applyAlignment="1">
      <alignment horizontal="left" vertical="center" wrapText="1"/>
    </xf>
    <xf numFmtId="0" fontId="5" fillId="0" borderId="1" xfId="0" applyFont="1" applyBorder="1" applyAlignment="1">
      <alignment horizontal="justify" vertical="top" wrapText="1"/>
    </xf>
    <xf numFmtId="49" fontId="5" fillId="0" borderId="1" xfId="3" applyNumberFormat="1" applyFont="1" applyFill="1" applyBorder="1" applyAlignment="1">
      <alignment horizontal="left" vertical="center"/>
    </xf>
    <xf numFmtId="0" fontId="8" fillId="0" borderId="1" xfId="0" applyFont="1" applyBorder="1" applyAlignment="1">
      <alignment horizontal="center" vertical="top" wrapText="1"/>
    </xf>
    <xf numFmtId="0" fontId="17" fillId="0" borderId="1" xfId="0" applyFont="1" applyBorder="1" applyAlignment="1">
      <alignment horizontal="left" vertical="top" wrapText="1"/>
    </xf>
    <xf numFmtId="3" fontId="5" fillId="0" borderId="1" xfId="0" applyNumberFormat="1" applyFont="1" applyBorder="1" applyAlignment="1">
      <alignment horizontal="center" vertical="center" wrapText="1"/>
    </xf>
    <xf numFmtId="0" fontId="17" fillId="0" borderId="1" xfId="0" applyFont="1" applyBorder="1" applyAlignment="1">
      <alignment horizontal="justify" vertical="center" wrapText="1"/>
    </xf>
    <xf numFmtId="0" fontId="42" fillId="0" borderId="1" xfId="0" applyFont="1" applyBorder="1" applyAlignment="1">
      <alignment horizontal="left" vertical="center" wrapText="1"/>
    </xf>
    <xf numFmtId="0" fontId="44" fillId="0" borderId="1" xfId="0" applyFont="1" applyBorder="1" applyAlignment="1">
      <alignment horizontal="left" vertical="center" wrapText="1"/>
    </xf>
    <xf numFmtId="0" fontId="44" fillId="0" borderId="1" xfId="0" applyFont="1" applyBorder="1" applyAlignment="1">
      <alignment horizontal="center" vertical="top" wrapText="1"/>
    </xf>
    <xf numFmtId="0" fontId="45" fillId="0" borderId="1" xfId="0" applyFont="1" applyBorder="1" applyAlignment="1">
      <alignment vertical="center" wrapText="1"/>
    </xf>
    <xf numFmtId="0" fontId="42" fillId="0" borderId="1" xfId="0" applyFont="1" applyBorder="1" applyAlignment="1">
      <alignment vertical="top" wrapText="1"/>
    </xf>
    <xf numFmtId="0" fontId="17" fillId="0" borderId="1" xfId="0" applyFont="1" applyBorder="1" applyAlignment="1">
      <alignment horizontal="center" vertical="center" wrapText="1"/>
    </xf>
    <xf numFmtId="0" fontId="42" fillId="0" borderId="1" xfId="0" applyFont="1" applyBorder="1" applyAlignment="1">
      <alignment horizontal="left" vertical="top" wrapText="1"/>
    </xf>
    <xf numFmtId="0" fontId="45" fillId="0" borderId="1" xfId="0" applyFont="1" applyBorder="1" applyAlignment="1">
      <alignment horizontal="left" vertical="center" wrapText="1"/>
    </xf>
    <xf numFmtId="49" fontId="6" fillId="0" borderId="1" xfId="3" applyNumberFormat="1" applyFont="1" applyFill="1" applyBorder="1" applyAlignment="1">
      <alignment horizontal="left" vertical="top" wrapText="1"/>
    </xf>
    <xf numFmtId="167" fontId="5" fillId="0" borderId="1" xfId="3" applyFont="1" applyFill="1" applyBorder="1" applyAlignment="1">
      <alignment horizontal="left" vertical="top" wrapText="1"/>
    </xf>
    <xf numFmtId="49" fontId="5" fillId="0" borderId="1" xfId="3" applyNumberFormat="1" applyFont="1" applyFill="1" applyBorder="1" applyAlignment="1">
      <alignment horizontal="left" vertical="top" wrapText="1"/>
    </xf>
    <xf numFmtId="14" fontId="6" fillId="0" borderId="1" xfId="0" applyNumberFormat="1" applyFont="1" applyBorder="1" applyAlignment="1">
      <alignment horizontal="center" vertical="center"/>
    </xf>
    <xf numFmtId="0" fontId="44" fillId="0" borderId="1" xfId="0" applyFont="1" applyBorder="1" applyAlignment="1">
      <alignment horizontal="justify" vertical="center" wrapText="1"/>
    </xf>
    <xf numFmtId="0" fontId="43" fillId="0" borderId="1" xfId="0" applyFont="1" applyBorder="1" applyAlignment="1">
      <alignment vertical="top" wrapText="1"/>
    </xf>
    <xf numFmtId="0" fontId="44" fillId="0" borderId="1" xfId="0" applyFont="1" applyBorder="1" applyAlignment="1">
      <alignment horizontal="center" vertical="center" wrapText="1"/>
    </xf>
    <xf numFmtId="0" fontId="43" fillId="0" borderId="1" xfId="0" applyFont="1" applyBorder="1" applyAlignment="1">
      <alignment horizontal="center" vertical="top" wrapText="1"/>
    </xf>
    <xf numFmtId="0" fontId="43" fillId="0" borderId="1" xfId="0" applyFont="1" applyBorder="1" applyAlignment="1">
      <alignment horizontal="center" vertical="center" wrapText="1"/>
    </xf>
    <xf numFmtId="0" fontId="44" fillId="0" borderId="1" xfId="0" applyFont="1" applyBorder="1" applyAlignment="1">
      <alignment vertical="center" wrapText="1"/>
    </xf>
    <xf numFmtId="0" fontId="45" fillId="0" borderId="1" xfId="0" applyFont="1" applyBorder="1" applyAlignment="1">
      <alignment horizontal="justify" vertical="center"/>
    </xf>
    <xf numFmtId="0" fontId="47" fillId="0" borderId="1" xfId="0" applyFont="1" applyBorder="1" applyAlignment="1">
      <alignment horizontal="justify" vertical="center" wrapText="1"/>
    </xf>
    <xf numFmtId="0" fontId="47" fillId="0" borderId="1" xfId="0" applyFont="1" applyBorder="1" applyAlignment="1">
      <alignment horizontal="left" vertical="top" wrapText="1"/>
    </xf>
    <xf numFmtId="0" fontId="14" fillId="0" borderId="1" xfId="0" applyFont="1" applyBorder="1" applyAlignment="1">
      <alignment horizontal="left" vertical="top" wrapText="1"/>
    </xf>
    <xf numFmtId="14" fontId="5" fillId="0" borderId="4" xfId="1" applyNumberFormat="1" applyFont="1" applyFill="1" applyBorder="1" applyAlignment="1">
      <alignment horizontal="left" vertical="center"/>
    </xf>
    <xf numFmtId="0" fontId="21" fillId="0" borderId="0" xfId="0" applyFont="1" applyAlignment="1">
      <alignment wrapText="1"/>
    </xf>
    <xf numFmtId="0" fontId="21" fillId="0" borderId="1" xfId="0" applyFont="1" applyBorder="1" applyAlignment="1">
      <alignment vertical="top" wrapText="1"/>
    </xf>
    <xf numFmtId="0" fontId="15" fillId="0" borderId="1" xfId="0" applyFont="1" applyBorder="1" applyAlignment="1">
      <alignment vertical="top" wrapText="1"/>
    </xf>
    <xf numFmtId="164" fontId="13" fillId="0" borderId="1" xfId="1" applyNumberFormat="1" applyFont="1" applyFill="1" applyBorder="1" applyAlignment="1">
      <alignment horizontal="center" vertical="center" wrapText="1"/>
    </xf>
    <xf numFmtId="14" fontId="5" fillId="10" borderId="1" xfId="0" applyNumberFormat="1" applyFont="1" applyFill="1" applyBorder="1" applyAlignment="1">
      <alignment horizontal="left" vertical="center" wrapText="1"/>
    </xf>
    <xf numFmtId="14" fontId="6" fillId="0" borderId="1" xfId="0" applyNumberFormat="1" applyFont="1" applyBorder="1" applyAlignment="1">
      <alignment vertical="center"/>
    </xf>
    <xf numFmtId="0" fontId="31" fillId="0" borderId="1" xfId="0" applyFont="1" applyBorder="1" applyAlignment="1">
      <alignment vertical="center"/>
    </xf>
    <xf numFmtId="0" fontId="22" fillId="0" borderId="1" xfId="0" applyFont="1" applyBorder="1" applyAlignment="1">
      <alignment wrapText="1"/>
    </xf>
    <xf numFmtId="0" fontId="45" fillId="0" borderId="1" xfId="0" applyFont="1" applyBorder="1" applyAlignment="1">
      <alignment horizontal="left" vertical="top" wrapText="1"/>
    </xf>
    <xf numFmtId="0" fontId="27" fillId="0" borderId="1" xfId="0" applyFont="1" applyBorder="1" applyAlignment="1">
      <alignment horizontal="left" vertical="center" wrapText="1"/>
    </xf>
    <xf numFmtId="0" fontId="10" fillId="0" borderId="1" xfId="0" applyFont="1" applyBorder="1" applyAlignment="1">
      <alignment horizontal="center" vertical="center" wrapText="1"/>
    </xf>
    <xf numFmtId="14" fontId="6" fillId="0" borderId="1" xfId="1" applyNumberFormat="1" applyFont="1" applyFill="1" applyBorder="1" applyAlignment="1">
      <alignment horizontal="left" vertical="center"/>
    </xf>
    <xf numFmtId="14" fontId="6" fillId="0" borderId="1" xfId="0" applyNumberFormat="1" applyFont="1" applyBorder="1" applyAlignment="1">
      <alignment horizontal="left" vertical="center"/>
    </xf>
    <xf numFmtId="14" fontId="5" fillId="4" borderId="1" xfId="1" applyNumberFormat="1" applyFont="1" applyFill="1" applyBorder="1" applyAlignment="1">
      <alignment horizontal="center" vertical="center"/>
    </xf>
    <xf numFmtId="9" fontId="8" fillId="0" borderId="1" xfId="1" applyFont="1" applyFill="1" applyBorder="1" applyAlignment="1">
      <alignment horizontal="center" vertical="center" wrapText="1"/>
    </xf>
    <xf numFmtId="9" fontId="5" fillId="0" borderId="1" xfId="1" applyFont="1" applyFill="1" applyBorder="1" applyAlignment="1">
      <alignment horizontal="left" vertical="center" wrapText="1"/>
    </xf>
    <xf numFmtId="166" fontId="5" fillId="0" borderId="1" xfId="1" applyNumberFormat="1" applyFont="1" applyFill="1" applyBorder="1" applyAlignment="1">
      <alignment horizontal="left" vertical="center" wrapText="1"/>
    </xf>
    <xf numFmtId="49" fontId="5" fillId="0" borderId="1" xfId="0" applyNumberFormat="1" applyFont="1" applyBorder="1" applyAlignment="1">
      <alignment horizontal="center" vertical="center"/>
    </xf>
    <xf numFmtId="2" fontId="5" fillId="0" borderId="1" xfId="0" applyNumberFormat="1" applyFont="1" applyBorder="1" applyAlignment="1">
      <alignment horizontal="center" vertical="center"/>
    </xf>
    <xf numFmtId="0" fontId="13" fillId="0" borderId="1" xfId="0" applyFont="1" applyBorder="1" applyAlignment="1">
      <alignment horizontal="left" vertical="center" wrapText="1"/>
    </xf>
    <xf numFmtId="0" fontId="15" fillId="0" borderId="1" xfId="0" applyFont="1" applyBorder="1" applyAlignment="1">
      <alignment vertical="center"/>
    </xf>
    <xf numFmtId="0" fontId="49" fillId="0" borderId="2" xfId="0" applyFont="1" applyBorder="1" applyAlignment="1">
      <alignment vertical="center"/>
    </xf>
    <xf numFmtId="0" fontId="49" fillId="0" borderId="2" xfId="0" applyFont="1" applyBorder="1" applyAlignment="1">
      <alignment vertical="center" wrapText="1"/>
    </xf>
    <xf numFmtId="0" fontId="49" fillId="0" borderId="1" xfId="0" applyFont="1" applyBorder="1" applyAlignment="1">
      <alignment horizontal="center" vertical="center" wrapText="1"/>
    </xf>
    <xf numFmtId="0" fontId="50" fillId="0" borderId="1" xfId="0" applyFont="1" applyBorder="1" applyAlignment="1">
      <alignment horizontal="center" vertical="center" wrapText="1"/>
    </xf>
    <xf numFmtId="0" fontId="49" fillId="0" borderId="0" xfId="0" applyFont="1" applyAlignment="1">
      <alignment horizontal="center" vertical="center" wrapText="1"/>
    </xf>
    <xf numFmtId="0" fontId="53" fillId="0" borderId="0" xfId="0" applyFont="1" applyAlignment="1">
      <alignment vertical="center" wrapText="1"/>
    </xf>
    <xf numFmtId="0" fontId="54" fillId="0" borderId="1" xfId="0" applyFont="1" applyBorder="1" applyAlignment="1">
      <alignment vertical="center" wrapText="1"/>
    </xf>
    <xf numFmtId="0" fontId="54" fillId="0" borderId="1" xfId="0" applyFont="1" applyBorder="1" applyAlignment="1">
      <alignment horizontal="center" vertical="center" wrapText="1"/>
    </xf>
    <xf numFmtId="0" fontId="54" fillId="0" borderId="1" xfId="0" applyFont="1" applyBorder="1" applyAlignment="1">
      <alignment horizontal="left" vertical="center" wrapText="1"/>
    </xf>
    <xf numFmtId="0" fontId="54" fillId="0" borderId="0" xfId="0" applyFont="1" applyAlignment="1">
      <alignment vertical="center"/>
    </xf>
    <xf numFmtId="0" fontId="53" fillId="0" borderId="0" xfId="0" applyFont="1" applyAlignment="1">
      <alignment horizontal="center" vertical="center"/>
    </xf>
    <xf numFmtId="0" fontId="53" fillId="0" borderId="0" xfId="0" applyFont="1" applyAlignment="1">
      <alignment vertical="center"/>
    </xf>
    <xf numFmtId="0" fontId="38" fillId="11" borderId="1" xfId="0" applyFont="1" applyFill="1" applyBorder="1" applyAlignment="1">
      <alignment horizontal="center" vertical="center"/>
    </xf>
    <xf numFmtId="0" fontId="38" fillId="12" borderId="3" xfId="0" applyFont="1" applyFill="1" applyBorder="1" applyAlignment="1">
      <alignment horizontal="center" vertical="center" wrapText="1"/>
    </xf>
    <xf numFmtId="0" fontId="38" fillId="12" borderId="4" xfId="0" applyFont="1" applyFill="1" applyBorder="1" applyAlignment="1">
      <alignment horizontal="center" vertical="center" wrapText="1"/>
    </xf>
    <xf numFmtId="0" fontId="38" fillId="12" borderId="3" xfId="0" applyFont="1" applyFill="1" applyBorder="1" applyAlignment="1">
      <alignment horizontal="center" vertical="center"/>
    </xf>
    <xf numFmtId="0" fontId="38" fillId="12" borderId="4" xfId="0" applyFont="1" applyFill="1" applyBorder="1" applyAlignment="1">
      <alignment horizontal="center" vertical="center"/>
    </xf>
    <xf numFmtId="0" fontId="38" fillId="12" borderId="1" xfId="0" applyFont="1" applyFill="1" applyBorder="1" applyAlignment="1">
      <alignment horizontal="center" vertical="center"/>
    </xf>
    <xf numFmtId="164" fontId="38" fillId="12" borderId="1" xfId="1" applyNumberFormat="1" applyFont="1" applyFill="1" applyBorder="1" applyAlignment="1">
      <alignment horizontal="center" vertical="center"/>
    </xf>
    <xf numFmtId="0" fontId="38" fillId="11" borderId="1" xfId="0" applyFont="1" applyFill="1" applyBorder="1" applyAlignment="1">
      <alignment horizontal="left" vertical="center"/>
    </xf>
    <xf numFmtId="0" fontId="38" fillId="12" borderId="1" xfId="0" applyFont="1" applyFill="1" applyBorder="1" applyAlignment="1">
      <alignment horizontal="left" vertical="center" wrapText="1"/>
    </xf>
    <xf numFmtId="0" fontId="38" fillId="12" borderId="1" xfId="0" applyFont="1" applyFill="1" applyBorder="1" applyAlignment="1">
      <alignment horizontal="center" vertical="center" wrapText="1"/>
    </xf>
    <xf numFmtId="164" fontId="32" fillId="11" borderId="1" xfId="1" applyNumberFormat="1" applyFont="1" applyFill="1" applyBorder="1" applyAlignment="1">
      <alignment horizontal="center" vertical="center" wrapText="1"/>
    </xf>
    <xf numFmtId="0" fontId="38" fillId="11" borderId="3" xfId="0" applyFont="1" applyFill="1" applyBorder="1" applyAlignment="1">
      <alignment horizontal="left" vertical="center"/>
    </xf>
    <xf numFmtId="0" fontId="38" fillId="11" borderId="5" xfId="0" applyFont="1" applyFill="1" applyBorder="1" applyAlignment="1">
      <alignment horizontal="left" vertical="center"/>
    </xf>
    <xf numFmtId="0" fontId="38" fillId="11" borderId="4" xfId="0" applyFont="1" applyFill="1" applyBorder="1" applyAlignment="1">
      <alignment horizontal="left" vertical="center"/>
    </xf>
    <xf numFmtId="0" fontId="38" fillId="11" borderId="3" xfId="0" applyFont="1" applyFill="1" applyBorder="1" applyAlignment="1">
      <alignment horizontal="left" vertical="center" wrapText="1"/>
    </xf>
    <xf numFmtId="0" fontId="38" fillId="11" borderId="5" xfId="0" applyFont="1" applyFill="1" applyBorder="1" applyAlignment="1">
      <alignment horizontal="left" vertical="center" wrapText="1"/>
    </xf>
    <xf numFmtId="0" fontId="38" fillId="11" borderId="4" xfId="0" applyFont="1" applyFill="1" applyBorder="1" applyAlignment="1">
      <alignment horizontal="left" vertical="center" wrapText="1"/>
    </xf>
  </cellXfs>
  <cellStyles count="6">
    <cellStyle name="Millares [0] 2" xfId="3" xr:uid="{C9084D07-BEAB-4C3F-9DE1-AB0F4E8A045F}"/>
    <cellStyle name="Millares [0] 2 2" xfId="5" xr:uid="{322CB4EA-90C0-41B1-8FC5-0E3239BD4EBB}"/>
    <cellStyle name="Millares 2" xfId="2" xr:uid="{00000000-0005-0000-0000-000000000000}"/>
    <cellStyle name="Millares 2 2" xfId="4" xr:uid="{FECF81E3-3F1C-40AC-A748-4CE5F98B8326}"/>
    <cellStyle name="Normal" xfId="0" builtinId="0"/>
    <cellStyle name="Porcentaje" xfId="1" builtinId="5"/>
  </cellStyles>
  <dxfs count="2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E7E6E6"/>
          <bgColor rgb="FF000000"/>
        </patternFill>
      </fill>
    </dxf>
  </dxfs>
  <tableStyles count="0" defaultTableStyle="TableStyleMedium2" defaultPivotStyle="PivotStyleLight16"/>
  <colors>
    <mruColors>
      <color rgb="FFFFD3A7"/>
      <color rgb="FFFFCCFF"/>
      <color rgb="FFFF3399"/>
      <color rgb="FFA6088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7D878-2D5C-48D6-827F-6888D8FBCC77}">
  <sheetPr>
    <tabColor rgb="FFFF0000"/>
  </sheetPr>
  <dimension ref="A1:CD635"/>
  <sheetViews>
    <sheetView zoomScale="90" zoomScaleNormal="90" workbookViewId="0">
      <pane xSplit="6" ySplit="3" topLeftCell="G4" activePane="bottomRight" state="frozen"/>
      <selection pane="topRight"/>
      <selection pane="bottomLeft" activeCell="A4" sqref="A4"/>
      <selection pane="bottomRight" activeCell="A5" sqref="A5"/>
    </sheetView>
  </sheetViews>
  <sheetFormatPr baseColWidth="10" defaultColWidth="11.42578125" defaultRowHeight="66.75" customHeight="1" x14ac:dyDescent="0.25"/>
  <cols>
    <col min="1" max="1" width="6.42578125" style="150" customWidth="1"/>
    <col min="2" max="2" width="16.85546875" style="169" customWidth="1"/>
    <col min="3" max="3" width="21.42578125" style="167" customWidth="1"/>
    <col min="4" max="4" width="24.7109375" style="167" customWidth="1"/>
    <col min="5" max="5" width="13.28515625" style="150" customWidth="1"/>
    <col min="6" max="6" width="20.5703125" style="169" customWidth="1"/>
    <col min="7" max="7" width="8.42578125" style="169" customWidth="1"/>
    <col min="8" max="8" width="20" style="150" customWidth="1"/>
    <col min="9" max="9" width="15.28515625" style="150" customWidth="1"/>
    <col min="10" max="10" width="10.7109375" style="167" customWidth="1"/>
    <col min="11" max="13" width="9.42578125" style="150" customWidth="1"/>
    <col min="14" max="14" width="12" style="150" customWidth="1"/>
    <col min="15" max="15" width="14.5703125" style="150" customWidth="1"/>
    <col min="16" max="16" width="12.28515625" style="167" customWidth="1"/>
    <col min="17" max="17" width="12.28515625" style="150" customWidth="1"/>
    <col min="18" max="18" width="14.140625" style="150" customWidth="1"/>
    <col min="19" max="19" width="11.28515625" style="150" customWidth="1"/>
    <col min="20" max="20" width="11" style="150" customWidth="1"/>
    <col min="21" max="21" width="13.5703125" style="170" customWidth="1"/>
    <col min="22" max="22" width="13.140625" style="169" customWidth="1"/>
    <col min="23" max="23" width="12.42578125" style="169" customWidth="1"/>
    <col min="24" max="24" width="10.42578125" style="169" customWidth="1"/>
    <col min="25" max="25" width="10.42578125" style="150" customWidth="1"/>
    <col min="26" max="26" width="14.5703125" style="169" customWidth="1"/>
    <col min="27" max="27" width="9.140625" style="169" customWidth="1"/>
    <col min="28" max="28" width="11.5703125" style="150" customWidth="1"/>
    <col min="29" max="29" width="28.5703125" style="171" customWidth="1"/>
    <col min="30" max="30" width="32.85546875" style="171" customWidth="1"/>
    <col min="31" max="31" width="29" style="169" customWidth="1"/>
    <col min="32" max="32" width="31.85546875" style="169" customWidth="1"/>
    <col min="33" max="33" width="24.7109375" style="169" customWidth="1"/>
    <col min="34" max="34" width="16.42578125" style="169" customWidth="1"/>
    <col min="35" max="35" width="20.7109375" style="150" customWidth="1"/>
    <col min="36" max="36" width="23.7109375" style="150" customWidth="1"/>
    <col min="37" max="37" width="22.42578125" style="169" customWidth="1"/>
    <col min="38" max="38" width="17.140625" style="150" customWidth="1"/>
    <col min="39" max="39" width="23.42578125" style="166" customWidth="1"/>
    <col min="40" max="40" width="16.42578125" style="166" customWidth="1"/>
    <col min="41" max="42" width="18.7109375" style="166" customWidth="1"/>
    <col min="43" max="43" width="15.42578125" style="150" customWidth="1"/>
    <col min="44" max="46" width="11.42578125" style="169" customWidth="1"/>
    <col min="47" max="47" width="9.28515625" style="169" customWidth="1"/>
    <col min="48" max="48" width="6.85546875" style="169" customWidth="1"/>
    <col min="49" max="49" width="4.85546875" style="169" customWidth="1"/>
    <col min="50" max="50" width="6.28515625" style="169" customWidth="1"/>
    <col min="51" max="51" width="4.85546875" style="169" customWidth="1"/>
    <col min="52" max="52" width="8.5703125" style="169" customWidth="1"/>
    <col min="53" max="54" width="4.85546875" style="169" customWidth="1"/>
    <col min="55" max="55" width="6" style="169" customWidth="1"/>
    <col min="56" max="61" width="4.85546875" style="169" customWidth="1"/>
    <col min="62" max="63" width="7.140625" style="169" customWidth="1"/>
    <col min="64" max="64" width="9.85546875" style="169" customWidth="1"/>
    <col min="65" max="65" width="9.42578125" style="169" customWidth="1"/>
    <col min="66" max="66" width="7.5703125" style="169" hidden="1" customWidth="1"/>
    <col min="67" max="68" width="5.42578125" style="172" hidden="1" customWidth="1"/>
    <col min="69" max="69" width="9.42578125" style="172" hidden="1" customWidth="1"/>
    <col min="70" max="70" width="5.42578125" style="172" hidden="1" customWidth="1"/>
    <col min="71" max="74" width="5.42578125" style="169" hidden="1" customWidth="1"/>
    <col min="75" max="75" width="5.5703125" style="169" hidden="1" customWidth="1"/>
    <col min="76" max="77" width="5.42578125" style="169" hidden="1" customWidth="1"/>
    <col min="78" max="79" width="5.5703125" style="169" hidden="1" customWidth="1"/>
    <col min="80" max="80" width="5.85546875" style="169" hidden="1" customWidth="1"/>
    <col min="81" max="81" width="11.42578125" style="150"/>
    <col min="82" max="82" width="33.140625" style="150" customWidth="1"/>
    <col min="83" max="16359" width="11.42578125" style="150"/>
    <col min="16360" max="16360" width="11.42578125" style="150" bestFit="1" customWidth="1"/>
    <col min="16361" max="16384" width="11.42578125" style="150"/>
  </cols>
  <sheetData>
    <row r="1" spans="1:82" ht="23.25" customHeight="1" x14ac:dyDescent="0.25">
      <c r="A1" s="246" t="s">
        <v>0</v>
      </c>
      <c r="B1" s="246"/>
      <c r="C1" s="246"/>
      <c r="D1" s="246"/>
      <c r="E1" s="246"/>
      <c r="F1" s="246"/>
      <c r="G1" s="246"/>
      <c r="H1" s="246"/>
      <c r="I1" s="246"/>
      <c r="J1" s="246"/>
      <c r="K1" s="246"/>
      <c r="L1" s="246"/>
      <c r="M1" s="246"/>
      <c r="N1" s="246"/>
      <c r="O1" s="246"/>
      <c r="P1" s="246"/>
      <c r="Q1" s="246"/>
      <c r="R1" s="246"/>
      <c r="S1" s="246"/>
      <c r="T1" s="246"/>
      <c r="U1" s="246"/>
      <c r="V1" s="246"/>
      <c r="W1" s="246"/>
      <c r="X1" s="246"/>
      <c r="Y1" s="246"/>
      <c r="Z1" s="246"/>
      <c r="AA1" s="246"/>
      <c r="AB1" s="246"/>
      <c r="AC1" s="247" t="s">
        <v>1</v>
      </c>
      <c r="AD1" s="247"/>
      <c r="AE1" s="247"/>
      <c r="AF1" s="247"/>
      <c r="AG1" s="247"/>
      <c r="AH1" s="247"/>
      <c r="AI1" s="247"/>
      <c r="AJ1" s="247"/>
      <c r="AK1" s="247"/>
      <c r="AL1" s="247"/>
      <c r="AM1" s="247"/>
      <c r="AN1" s="247"/>
      <c r="AO1" s="247"/>
      <c r="AP1" s="247"/>
      <c r="AQ1" s="247"/>
      <c r="AR1" s="247"/>
      <c r="AS1" s="247"/>
      <c r="AT1" s="247"/>
      <c r="AU1" s="246" t="s">
        <v>2</v>
      </c>
      <c r="AV1" s="246"/>
      <c r="AW1" s="246"/>
      <c r="AX1" s="246"/>
      <c r="AY1" s="246"/>
      <c r="AZ1" s="246"/>
      <c r="BA1" s="246"/>
      <c r="BB1" s="246"/>
      <c r="BC1" s="246"/>
      <c r="BD1" s="246"/>
      <c r="BE1" s="246"/>
      <c r="BF1" s="246"/>
      <c r="BG1" s="246"/>
      <c r="BH1" s="246"/>
      <c r="BI1" s="246"/>
      <c r="BJ1" s="244" t="s">
        <v>3</v>
      </c>
      <c r="BK1" s="244"/>
      <c r="BL1" s="244"/>
      <c r="BM1" s="244"/>
      <c r="BN1" s="246" t="s">
        <v>4</v>
      </c>
      <c r="BO1" s="246"/>
      <c r="BP1" s="246"/>
      <c r="BQ1" s="246"/>
      <c r="BR1" s="246"/>
      <c r="BS1" s="246"/>
      <c r="BT1" s="246"/>
      <c r="BU1" s="246"/>
      <c r="BV1" s="246"/>
      <c r="BW1" s="246"/>
      <c r="BX1" s="246"/>
      <c r="BY1" s="246"/>
      <c r="BZ1" s="246"/>
      <c r="CA1" s="246"/>
      <c r="CB1" s="246"/>
      <c r="CC1" s="240" t="s">
        <v>5</v>
      </c>
      <c r="CD1" s="241"/>
    </row>
    <row r="2" spans="1:82" ht="23.25" customHeight="1" x14ac:dyDescent="0.25">
      <c r="A2" s="250" t="s">
        <v>6</v>
      </c>
      <c r="B2" s="251"/>
      <c r="C2" s="251"/>
      <c r="D2" s="251"/>
      <c r="E2" s="251"/>
      <c r="F2" s="252"/>
      <c r="G2" s="253" t="s">
        <v>7</v>
      </c>
      <c r="H2" s="254"/>
      <c r="I2" s="254"/>
      <c r="J2" s="254"/>
      <c r="K2" s="254"/>
      <c r="L2" s="254"/>
      <c r="M2" s="254"/>
      <c r="N2" s="254"/>
      <c r="O2" s="254"/>
      <c r="P2" s="254"/>
      <c r="Q2" s="254"/>
      <c r="R2" s="254"/>
      <c r="S2" s="254"/>
      <c r="T2" s="254"/>
      <c r="U2" s="254"/>
      <c r="V2" s="254"/>
      <c r="W2" s="254"/>
      <c r="X2" s="254"/>
      <c r="Y2" s="254"/>
      <c r="Z2" s="254"/>
      <c r="AA2" s="254"/>
      <c r="AB2" s="255"/>
      <c r="AC2" s="248" t="s">
        <v>8</v>
      </c>
      <c r="AD2" s="248"/>
      <c r="AE2" s="248" t="s">
        <v>9</v>
      </c>
      <c r="AF2" s="248"/>
      <c r="AG2" s="248" t="s">
        <v>10</v>
      </c>
      <c r="AH2" s="248"/>
      <c r="AI2" s="248" t="s">
        <v>11</v>
      </c>
      <c r="AJ2" s="248"/>
      <c r="AK2" s="248" t="s">
        <v>12</v>
      </c>
      <c r="AL2" s="248"/>
      <c r="AM2" s="248" t="s">
        <v>13</v>
      </c>
      <c r="AN2" s="248"/>
      <c r="AO2" s="248"/>
      <c r="AP2" s="248"/>
      <c r="AQ2" s="248"/>
      <c r="AR2" s="248" t="s">
        <v>14</v>
      </c>
      <c r="AS2" s="248"/>
      <c r="AT2" s="248"/>
      <c r="AU2" s="249" t="s">
        <v>15</v>
      </c>
      <c r="AV2" s="249"/>
      <c r="AW2" s="249"/>
      <c r="AX2" s="249"/>
      <c r="AY2" s="249"/>
      <c r="AZ2" s="249" t="s">
        <v>16</v>
      </c>
      <c r="BA2" s="249"/>
      <c r="BB2" s="249"/>
      <c r="BC2" s="249"/>
      <c r="BD2" s="249"/>
      <c r="BE2" s="249" t="s">
        <v>17</v>
      </c>
      <c r="BF2" s="249"/>
      <c r="BG2" s="249"/>
      <c r="BH2" s="249"/>
      <c r="BI2" s="249"/>
      <c r="BJ2" s="245" t="s">
        <v>15</v>
      </c>
      <c r="BK2" s="245"/>
      <c r="BL2" s="245"/>
      <c r="BM2" s="245"/>
      <c r="BN2" s="239" t="s">
        <v>18</v>
      </c>
      <c r="BO2" s="239"/>
      <c r="BP2" s="239"/>
      <c r="BQ2" s="239"/>
      <c r="BR2" s="239"/>
      <c r="BS2" s="239" t="s">
        <v>19</v>
      </c>
      <c r="BT2" s="239"/>
      <c r="BU2" s="239"/>
      <c r="BV2" s="239"/>
      <c r="BW2" s="239"/>
      <c r="BX2" s="239"/>
      <c r="BY2" s="239"/>
      <c r="BZ2" s="239"/>
      <c r="CA2" s="239"/>
      <c r="CB2" s="239"/>
      <c r="CC2" s="242" t="s">
        <v>7571</v>
      </c>
      <c r="CD2" s="243"/>
    </row>
    <row r="3" spans="1:82" s="166" customFormat="1" ht="66.75" customHeight="1" x14ac:dyDescent="0.25">
      <c r="A3" s="152" t="s">
        <v>20</v>
      </c>
      <c r="B3" s="153" t="s">
        <v>21</v>
      </c>
      <c r="C3" s="153" t="s">
        <v>22</v>
      </c>
      <c r="D3" s="153" t="s">
        <v>23</v>
      </c>
      <c r="E3" s="153" t="s">
        <v>24</v>
      </c>
      <c r="F3" s="153" t="s">
        <v>25</v>
      </c>
      <c r="G3" s="154" t="s">
        <v>26</v>
      </c>
      <c r="H3" s="155" t="s">
        <v>27</v>
      </c>
      <c r="I3" s="154" t="s">
        <v>28</v>
      </c>
      <c r="J3" s="174" t="s">
        <v>29</v>
      </c>
      <c r="K3" s="174" t="s">
        <v>30</v>
      </c>
      <c r="L3" s="174" t="s">
        <v>31</v>
      </c>
      <c r="M3" s="155" t="s">
        <v>32</v>
      </c>
      <c r="N3" s="154" t="s">
        <v>33</v>
      </c>
      <c r="O3" s="155" t="s">
        <v>34</v>
      </c>
      <c r="P3" s="154" t="s">
        <v>35</v>
      </c>
      <c r="Q3" s="155" t="s">
        <v>36</v>
      </c>
      <c r="R3" s="154" t="s">
        <v>37</v>
      </c>
      <c r="S3" s="155" t="s">
        <v>38</v>
      </c>
      <c r="T3" s="154" t="s">
        <v>39</v>
      </c>
      <c r="U3" s="155" t="s">
        <v>40</v>
      </c>
      <c r="V3" s="154" t="s">
        <v>41</v>
      </c>
      <c r="W3" s="155" t="s">
        <v>42</v>
      </c>
      <c r="X3" s="154" t="s">
        <v>43</v>
      </c>
      <c r="Y3" s="155" t="s">
        <v>44</v>
      </c>
      <c r="Z3" s="154" t="s">
        <v>45</v>
      </c>
      <c r="AA3" s="155" t="s">
        <v>46</v>
      </c>
      <c r="AB3" s="154" t="s">
        <v>47</v>
      </c>
      <c r="AC3" s="156" t="s">
        <v>48</v>
      </c>
      <c r="AD3" s="156" t="s">
        <v>49</v>
      </c>
      <c r="AE3" s="157" t="s">
        <v>48</v>
      </c>
      <c r="AF3" s="157" t="s">
        <v>49</v>
      </c>
      <c r="AG3" s="156" t="s">
        <v>48</v>
      </c>
      <c r="AH3" s="156" t="s">
        <v>49</v>
      </c>
      <c r="AI3" s="157" t="s">
        <v>48</v>
      </c>
      <c r="AJ3" s="157" t="s">
        <v>49</v>
      </c>
      <c r="AK3" s="156" t="s">
        <v>48</v>
      </c>
      <c r="AL3" s="156" t="s">
        <v>49</v>
      </c>
      <c r="AM3" s="156" t="s">
        <v>50</v>
      </c>
      <c r="AN3" s="156" t="s">
        <v>51</v>
      </c>
      <c r="AO3" s="156" t="s">
        <v>52</v>
      </c>
      <c r="AP3" s="156" t="s">
        <v>53</v>
      </c>
      <c r="AQ3" s="156" t="s">
        <v>54</v>
      </c>
      <c r="AR3" s="156" t="s">
        <v>55</v>
      </c>
      <c r="AS3" s="156" t="s">
        <v>56</v>
      </c>
      <c r="AT3" s="156" t="s">
        <v>57</v>
      </c>
      <c r="AU3" s="158" t="s">
        <v>58</v>
      </c>
      <c r="AV3" s="159" t="s">
        <v>59</v>
      </c>
      <c r="AW3" s="160" t="s">
        <v>60</v>
      </c>
      <c r="AX3" s="161" t="s">
        <v>61</v>
      </c>
      <c r="AY3" s="162" t="s">
        <v>62</v>
      </c>
      <c r="AZ3" s="158" t="s">
        <v>58</v>
      </c>
      <c r="BA3" s="159" t="s">
        <v>59</v>
      </c>
      <c r="BB3" s="160" t="s">
        <v>60</v>
      </c>
      <c r="BC3" s="161" t="s">
        <v>61</v>
      </c>
      <c r="BD3" s="162" t="s">
        <v>62</v>
      </c>
      <c r="BE3" s="158" t="s">
        <v>63</v>
      </c>
      <c r="BF3" s="159" t="s">
        <v>59</v>
      </c>
      <c r="BG3" s="160" t="s">
        <v>60</v>
      </c>
      <c r="BH3" s="161" t="s">
        <v>61</v>
      </c>
      <c r="BI3" s="162" t="s">
        <v>62</v>
      </c>
      <c r="BJ3" s="163">
        <v>2022</v>
      </c>
      <c r="BK3" s="163">
        <v>2023</v>
      </c>
      <c r="BL3" s="163">
        <v>2024</v>
      </c>
      <c r="BM3" s="163" t="s">
        <v>64</v>
      </c>
      <c r="BN3" s="164" t="s">
        <v>65</v>
      </c>
      <c r="BO3" s="164" t="s">
        <v>66</v>
      </c>
      <c r="BP3" s="164" t="s">
        <v>67</v>
      </c>
      <c r="BQ3" s="164" t="s">
        <v>68</v>
      </c>
      <c r="BR3" s="164" t="s">
        <v>69</v>
      </c>
      <c r="BS3" s="164" t="s">
        <v>70</v>
      </c>
      <c r="BT3" s="164" t="s">
        <v>71</v>
      </c>
      <c r="BU3" s="164" t="s">
        <v>72</v>
      </c>
      <c r="BV3" s="164" t="s">
        <v>73</v>
      </c>
      <c r="BW3" s="164" t="s">
        <v>74</v>
      </c>
      <c r="BX3" s="164" t="s">
        <v>75</v>
      </c>
      <c r="BY3" s="164" t="s">
        <v>76</v>
      </c>
      <c r="BZ3" s="164" t="s">
        <v>77</v>
      </c>
      <c r="CA3" s="165" t="s">
        <v>78</v>
      </c>
      <c r="CB3" s="165" t="s">
        <v>78</v>
      </c>
      <c r="CC3" s="156" t="s">
        <v>79</v>
      </c>
      <c r="CD3" s="156" t="s">
        <v>80</v>
      </c>
    </row>
    <row r="4" spans="1:82" s="18" customFormat="1" ht="66.75" customHeight="1" x14ac:dyDescent="0.25">
      <c r="A4" s="121">
        <v>0</v>
      </c>
      <c r="B4" s="129" t="s">
        <v>81</v>
      </c>
      <c r="C4" s="122" t="s">
        <v>82</v>
      </c>
      <c r="D4" s="122" t="s">
        <v>83</v>
      </c>
      <c r="E4" s="123" t="s">
        <v>84</v>
      </c>
      <c r="F4" s="124" t="s">
        <v>85</v>
      </c>
      <c r="G4" s="125" t="s">
        <v>84</v>
      </c>
      <c r="H4" s="126" t="s">
        <v>86</v>
      </c>
      <c r="I4" s="126" t="s">
        <v>87</v>
      </c>
      <c r="J4" s="126"/>
      <c r="K4" s="126"/>
      <c r="L4" s="126"/>
      <c r="M4" s="126" t="s">
        <v>88</v>
      </c>
      <c r="N4" s="126" t="s">
        <v>89</v>
      </c>
      <c r="O4" s="126" t="s">
        <v>87</v>
      </c>
      <c r="P4" s="122" t="s">
        <v>90</v>
      </c>
      <c r="Q4" s="126"/>
      <c r="R4" s="123" t="s">
        <v>91</v>
      </c>
      <c r="S4" s="125" t="s">
        <v>92</v>
      </c>
      <c r="T4" s="125" t="s">
        <v>93</v>
      </c>
      <c r="U4" s="127">
        <v>100</v>
      </c>
      <c r="V4" s="125" t="s">
        <v>94</v>
      </c>
      <c r="W4" s="125" t="s">
        <v>95</v>
      </c>
      <c r="X4" s="125">
        <v>2016</v>
      </c>
      <c r="Y4" s="125" t="s">
        <v>96</v>
      </c>
      <c r="Z4" s="125" t="s">
        <v>97</v>
      </c>
      <c r="AA4" s="125" t="s">
        <v>98</v>
      </c>
      <c r="AB4" s="126" t="s">
        <v>99</v>
      </c>
      <c r="AC4" s="128" t="s">
        <v>100</v>
      </c>
      <c r="AD4" s="128" t="s">
        <v>101</v>
      </c>
      <c r="AE4" s="126" t="s">
        <v>102</v>
      </c>
      <c r="AF4" s="126" t="s">
        <v>102</v>
      </c>
      <c r="AG4" s="126" t="s">
        <v>94</v>
      </c>
      <c r="AH4" s="126" t="s">
        <v>94</v>
      </c>
      <c r="AI4" s="126" t="s">
        <v>103</v>
      </c>
      <c r="AJ4" s="126" t="s">
        <v>103</v>
      </c>
      <c r="AK4" s="125" t="s">
        <v>104</v>
      </c>
      <c r="AL4" s="125" t="s">
        <v>104</v>
      </c>
      <c r="AM4" s="129" t="s">
        <v>105</v>
      </c>
      <c r="AN4" s="129"/>
      <c r="AO4" s="129" t="s">
        <v>84</v>
      </c>
      <c r="AP4" s="129" t="s">
        <v>84</v>
      </c>
      <c r="AQ4" s="126" t="s">
        <v>106</v>
      </c>
      <c r="AR4" s="130" t="s">
        <v>97</v>
      </c>
      <c r="AS4" s="130" t="s">
        <v>107</v>
      </c>
      <c r="AT4" s="130"/>
      <c r="AU4" s="131">
        <v>0.9</v>
      </c>
      <c r="AV4" s="131">
        <v>0.8</v>
      </c>
      <c r="AW4" s="131">
        <v>0.6</v>
      </c>
      <c r="AX4" s="132">
        <v>1E-4</v>
      </c>
      <c r="AY4" s="131">
        <v>0</v>
      </c>
      <c r="AZ4" s="131">
        <v>0.9</v>
      </c>
      <c r="BA4" s="131">
        <v>0.8</v>
      </c>
      <c r="BB4" s="131">
        <v>0.6</v>
      </c>
      <c r="BC4" s="132">
        <v>1E-4</v>
      </c>
      <c r="BD4" s="131">
        <v>0</v>
      </c>
      <c r="BE4" s="133">
        <v>0</v>
      </c>
      <c r="BF4" s="133">
        <f t="shared" ref="BF4:BF67" si="0">+BE4*80%</f>
        <v>0</v>
      </c>
      <c r="BG4" s="133">
        <f t="shared" ref="BG4:BG67" si="1">+BE4*60%</f>
        <v>0</v>
      </c>
      <c r="BH4" s="133">
        <v>0</v>
      </c>
      <c r="BI4" s="133">
        <v>0</v>
      </c>
      <c r="BJ4" s="134">
        <v>0.70399999999999996</v>
      </c>
      <c r="BK4" s="134">
        <v>0.76500000000000001</v>
      </c>
      <c r="BL4" s="134">
        <v>0.73099999999999998</v>
      </c>
      <c r="BM4" s="134">
        <v>0.624</v>
      </c>
      <c r="BN4" s="135"/>
      <c r="BO4" s="133"/>
      <c r="BP4" s="133"/>
      <c r="BQ4" s="133"/>
      <c r="BR4" s="133"/>
      <c r="BS4" s="133">
        <v>1</v>
      </c>
      <c r="BT4" s="133"/>
      <c r="BU4" s="133">
        <v>1</v>
      </c>
      <c r="BV4" s="133"/>
      <c r="BW4" s="133"/>
      <c r="BX4" s="133"/>
      <c r="BY4" s="133"/>
      <c r="BZ4" s="133"/>
      <c r="CA4" s="130"/>
      <c r="CB4" s="130"/>
      <c r="CC4" s="136">
        <v>46006</v>
      </c>
      <c r="CD4" s="210" t="s">
        <v>7346</v>
      </c>
    </row>
    <row r="5" spans="1:82" s="18" customFormat="1" ht="66.75" customHeight="1" x14ac:dyDescent="0.25">
      <c r="A5" s="87">
        <v>1</v>
      </c>
      <c r="B5" s="141" t="s">
        <v>110</v>
      </c>
      <c r="C5" s="6" t="s">
        <v>111</v>
      </c>
      <c r="D5" s="6" t="s">
        <v>112</v>
      </c>
      <c r="E5" s="75" t="s">
        <v>113</v>
      </c>
      <c r="F5" s="4" t="s">
        <v>81</v>
      </c>
      <c r="G5" s="33" t="s">
        <v>84</v>
      </c>
      <c r="H5" s="49" t="s">
        <v>114</v>
      </c>
      <c r="I5" s="49" t="s">
        <v>114</v>
      </c>
      <c r="J5" s="6" t="s">
        <v>115</v>
      </c>
      <c r="K5" s="49"/>
      <c r="L5" s="49"/>
      <c r="M5" s="49" t="s">
        <v>88</v>
      </c>
      <c r="N5" s="49" t="s">
        <v>89</v>
      </c>
      <c r="O5" s="49" t="s">
        <v>116</v>
      </c>
      <c r="P5" s="6" t="s">
        <v>115</v>
      </c>
      <c r="Q5" s="49"/>
      <c r="R5" s="75" t="s">
        <v>91</v>
      </c>
      <c r="S5" s="33" t="s">
        <v>92</v>
      </c>
      <c r="T5" s="33" t="s">
        <v>93</v>
      </c>
      <c r="U5" s="78">
        <v>100</v>
      </c>
      <c r="V5" s="33" t="s">
        <v>94</v>
      </c>
      <c r="W5" s="33" t="s">
        <v>95</v>
      </c>
      <c r="X5" s="33">
        <v>2021</v>
      </c>
      <c r="Y5" s="33" t="s">
        <v>117</v>
      </c>
      <c r="Z5" s="33" t="s">
        <v>95</v>
      </c>
      <c r="AA5" s="33" t="s">
        <v>98</v>
      </c>
      <c r="AB5" s="49" t="s">
        <v>99</v>
      </c>
      <c r="AC5" s="48" t="s">
        <v>118</v>
      </c>
      <c r="AD5" s="48" t="s">
        <v>119</v>
      </c>
      <c r="AE5" s="6" t="s">
        <v>120</v>
      </c>
      <c r="AF5" s="49" t="s">
        <v>121</v>
      </c>
      <c r="AG5" s="49" t="s">
        <v>122</v>
      </c>
      <c r="AH5" s="49" t="s">
        <v>123</v>
      </c>
      <c r="AI5" s="49" t="s">
        <v>124</v>
      </c>
      <c r="AJ5" s="6" t="s">
        <v>125</v>
      </c>
      <c r="AK5" s="33" t="s">
        <v>97</v>
      </c>
      <c r="AL5" s="33" t="s">
        <v>97</v>
      </c>
      <c r="AM5" s="5" t="s">
        <v>126</v>
      </c>
      <c r="AN5" s="5" t="s">
        <v>127</v>
      </c>
      <c r="AO5" s="5"/>
      <c r="AP5" s="5"/>
      <c r="AQ5" s="49" t="s">
        <v>128</v>
      </c>
      <c r="AR5" s="20" t="s">
        <v>97</v>
      </c>
      <c r="AS5" s="20" t="s">
        <v>107</v>
      </c>
      <c r="AT5" s="20"/>
      <c r="AU5" s="24">
        <v>0.6</v>
      </c>
      <c r="AV5" s="24">
        <f t="shared" ref="AV5:AV41" si="2">+AU5*80%</f>
        <v>0.48</v>
      </c>
      <c r="AW5" s="24">
        <f t="shared" ref="AW5:AW41" si="3">+AU5*60%</f>
        <v>0.36</v>
      </c>
      <c r="AX5" s="25">
        <v>1E-4</v>
      </c>
      <c r="AY5" s="24">
        <v>0</v>
      </c>
      <c r="AZ5" s="24">
        <f t="shared" ref="AZ5:AZ41" si="4">+AU5*90%</f>
        <v>0.54</v>
      </c>
      <c r="BA5" s="24">
        <f t="shared" ref="BA5:BA41" si="5">AZ5*80%</f>
        <v>0.43200000000000005</v>
      </c>
      <c r="BB5" s="24">
        <f t="shared" ref="BB5:BB41" si="6">AZ5*60%</f>
        <v>0.32400000000000001</v>
      </c>
      <c r="BC5" s="25">
        <v>1E-4</v>
      </c>
      <c r="BD5" s="24">
        <v>0</v>
      </c>
      <c r="BE5" s="26">
        <v>0</v>
      </c>
      <c r="BF5" s="34">
        <f t="shared" si="0"/>
        <v>0</v>
      </c>
      <c r="BG5" s="34">
        <f t="shared" si="1"/>
        <v>0</v>
      </c>
      <c r="BH5" s="26">
        <v>0</v>
      </c>
      <c r="BI5" s="26">
        <v>0</v>
      </c>
      <c r="BJ5" s="27">
        <v>0.39600000000000002</v>
      </c>
      <c r="BK5" s="27">
        <v>0.3940679201282612</v>
      </c>
      <c r="BL5" s="27" t="s">
        <v>129</v>
      </c>
      <c r="BM5" s="27" t="s">
        <v>130</v>
      </c>
      <c r="BN5" s="26"/>
      <c r="BO5" s="34"/>
      <c r="BP5" s="34"/>
      <c r="BQ5" s="34"/>
      <c r="BR5" s="34"/>
      <c r="BS5" s="34"/>
      <c r="BT5" s="34"/>
      <c r="BU5" s="34"/>
      <c r="BV5" s="34"/>
      <c r="BW5" s="34"/>
      <c r="BX5" s="34"/>
      <c r="BY5" s="34"/>
      <c r="BZ5" s="34"/>
      <c r="CA5" s="20"/>
      <c r="CB5" s="20"/>
      <c r="CC5" s="29">
        <v>46003</v>
      </c>
      <c r="CD5" s="30" t="s">
        <v>131</v>
      </c>
    </row>
    <row r="6" spans="1:82" s="18" customFormat="1" ht="66.75" customHeight="1" x14ac:dyDescent="0.25">
      <c r="A6" s="87">
        <v>2</v>
      </c>
      <c r="B6" s="141" t="s">
        <v>133</v>
      </c>
      <c r="C6" s="6" t="s">
        <v>134</v>
      </c>
      <c r="D6" s="6" t="s">
        <v>135</v>
      </c>
      <c r="E6" s="75" t="s">
        <v>113</v>
      </c>
      <c r="F6" s="4" t="s">
        <v>81</v>
      </c>
      <c r="G6" s="33">
        <v>157</v>
      </c>
      <c r="H6" s="49" t="s">
        <v>114</v>
      </c>
      <c r="I6" s="49" t="s">
        <v>114</v>
      </c>
      <c r="J6" s="6" t="s">
        <v>115</v>
      </c>
      <c r="K6" s="49"/>
      <c r="L6" s="49"/>
      <c r="M6" s="49" t="s">
        <v>136</v>
      </c>
      <c r="N6" s="49" t="s">
        <v>89</v>
      </c>
      <c r="O6" s="49" t="s">
        <v>116</v>
      </c>
      <c r="P6" s="6" t="s">
        <v>115</v>
      </c>
      <c r="Q6" s="49"/>
      <c r="R6" s="75" t="s">
        <v>91</v>
      </c>
      <c r="S6" s="33" t="s">
        <v>92</v>
      </c>
      <c r="T6" s="33" t="s">
        <v>93</v>
      </c>
      <c r="U6" s="78">
        <v>100</v>
      </c>
      <c r="V6" s="33" t="s">
        <v>94</v>
      </c>
      <c r="W6" s="33" t="s">
        <v>95</v>
      </c>
      <c r="X6" s="33">
        <v>2021</v>
      </c>
      <c r="Y6" s="33" t="s">
        <v>117</v>
      </c>
      <c r="Z6" s="33" t="s">
        <v>95</v>
      </c>
      <c r="AA6" s="33" t="s">
        <v>98</v>
      </c>
      <c r="AB6" s="49" t="s">
        <v>99</v>
      </c>
      <c r="AC6" s="79" t="s">
        <v>137</v>
      </c>
      <c r="AD6" s="79" t="s">
        <v>138</v>
      </c>
      <c r="AE6" s="6" t="s">
        <v>120</v>
      </c>
      <c r="AF6" s="49" t="s">
        <v>121</v>
      </c>
      <c r="AG6" s="49" t="s">
        <v>122</v>
      </c>
      <c r="AH6" s="49" t="s">
        <v>123</v>
      </c>
      <c r="AI6" s="6" t="s">
        <v>139</v>
      </c>
      <c r="AJ6" s="6" t="s">
        <v>140</v>
      </c>
      <c r="AK6" s="33" t="s">
        <v>97</v>
      </c>
      <c r="AL6" s="33" t="s">
        <v>97</v>
      </c>
      <c r="AM6" s="5" t="s">
        <v>141</v>
      </c>
      <c r="AN6" s="5" t="s">
        <v>142</v>
      </c>
      <c r="AO6" s="5"/>
      <c r="AP6" s="5"/>
      <c r="AQ6" s="49" t="s">
        <v>143</v>
      </c>
      <c r="AR6" s="20" t="s">
        <v>97</v>
      </c>
      <c r="AS6" s="20" t="s">
        <v>107</v>
      </c>
      <c r="AT6" s="20"/>
      <c r="AU6" s="24">
        <v>0.5</v>
      </c>
      <c r="AV6" s="24">
        <f t="shared" si="2"/>
        <v>0.4</v>
      </c>
      <c r="AW6" s="24">
        <f t="shared" si="3"/>
        <v>0.3</v>
      </c>
      <c r="AX6" s="25">
        <v>1E-4</v>
      </c>
      <c r="AY6" s="24">
        <v>0</v>
      </c>
      <c r="AZ6" s="24">
        <f t="shared" si="4"/>
        <v>0.45</v>
      </c>
      <c r="BA6" s="24">
        <f t="shared" si="5"/>
        <v>0.36000000000000004</v>
      </c>
      <c r="BB6" s="24">
        <f t="shared" si="6"/>
        <v>0.27</v>
      </c>
      <c r="BC6" s="25">
        <v>1E-4</v>
      </c>
      <c r="BD6" s="24">
        <v>0</v>
      </c>
      <c r="BE6" s="26">
        <v>0</v>
      </c>
      <c r="BF6" s="34">
        <f t="shared" si="0"/>
        <v>0</v>
      </c>
      <c r="BG6" s="34">
        <f t="shared" si="1"/>
        <v>0</v>
      </c>
      <c r="BH6" s="26">
        <v>0</v>
      </c>
      <c r="BI6" s="26">
        <v>0</v>
      </c>
      <c r="BJ6" s="27">
        <v>0.378</v>
      </c>
      <c r="BK6" s="27">
        <v>0.44546834975838823</v>
      </c>
      <c r="BL6" s="27" t="s">
        <v>144</v>
      </c>
      <c r="BM6" s="27" t="s">
        <v>145</v>
      </c>
      <c r="BN6" s="26"/>
      <c r="BO6" s="34">
        <v>1</v>
      </c>
      <c r="BP6" s="34"/>
      <c r="BQ6" s="34"/>
      <c r="BR6" s="34"/>
      <c r="BS6" s="34"/>
      <c r="BT6" s="34"/>
      <c r="BU6" s="34"/>
      <c r="BV6" s="34"/>
      <c r="BW6" s="34"/>
      <c r="BX6" s="34"/>
      <c r="BY6" s="34"/>
      <c r="BZ6" s="34"/>
      <c r="CA6" s="20"/>
      <c r="CB6" s="20"/>
      <c r="CC6" s="29">
        <v>46003</v>
      </c>
      <c r="CD6" s="30" t="s">
        <v>146</v>
      </c>
    </row>
    <row r="7" spans="1:82" s="18" customFormat="1" ht="66.75" customHeight="1" x14ac:dyDescent="0.25">
      <c r="A7" s="121">
        <v>3</v>
      </c>
      <c r="B7" s="141" t="s">
        <v>147</v>
      </c>
      <c r="C7" s="6" t="s">
        <v>148</v>
      </c>
      <c r="D7" s="6" t="s">
        <v>149</v>
      </c>
      <c r="E7" s="212" t="s">
        <v>113</v>
      </c>
      <c r="F7" s="4" t="s">
        <v>81</v>
      </c>
      <c r="G7" s="33" t="s">
        <v>84</v>
      </c>
      <c r="H7" s="49" t="s">
        <v>114</v>
      </c>
      <c r="I7" s="49" t="s">
        <v>114</v>
      </c>
      <c r="J7" s="6" t="s">
        <v>115</v>
      </c>
      <c r="K7" s="49"/>
      <c r="L7" s="49"/>
      <c r="M7" s="49" t="s">
        <v>88</v>
      </c>
      <c r="N7" s="49" t="s">
        <v>89</v>
      </c>
      <c r="O7" s="49" t="s">
        <v>116</v>
      </c>
      <c r="P7" s="6" t="s">
        <v>115</v>
      </c>
      <c r="Q7" s="49"/>
      <c r="R7" s="75" t="s">
        <v>91</v>
      </c>
      <c r="S7" s="33" t="s">
        <v>92</v>
      </c>
      <c r="T7" s="33" t="s">
        <v>93</v>
      </c>
      <c r="U7" s="78">
        <v>100</v>
      </c>
      <c r="V7" s="33" t="s">
        <v>94</v>
      </c>
      <c r="W7" s="33" t="s">
        <v>95</v>
      </c>
      <c r="X7" s="33">
        <v>2021</v>
      </c>
      <c r="Y7" s="33" t="s">
        <v>117</v>
      </c>
      <c r="Z7" s="33" t="s">
        <v>95</v>
      </c>
      <c r="AA7" s="33" t="s">
        <v>98</v>
      </c>
      <c r="AB7" s="49" t="s">
        <v>99</v>
      </c>
      <c r="AC7" s="48" t="s">
        <v>150</v>
      </c>
      <c r="AD7" s="48" t="s">
        <v>151</v>
      </c>
      <c r="AE7" s="6" t="s">
        <v>152</v>
      </c>
      <c r="AF7" s="49" t="s">
        <v>121</v>
      </c>
      <c r="AG7" s="49" t="s">
        <v>122</v>
      </c>
      <c r="AH7" s="49" t="s">
        <v>123</v>
      </c>
      <c r="AI7" s="49" t="s">
        <v>153</v>
      </c>
      <c r="AJ7" s="6" t="s">
        <v>154</v>
      </c>
      <c r="AK7" s="33" t="s">
        <v>97</v>
      </c>
      <c r="AL7" s="33" t="s">
        <v>97</v>
      </c>
      <c r="AM7" s="5" t="s">
        <v>126</v>
      </c>
      <c r="AN7" s="5" t="s">
        <v>155</v>
      </c>
      <c r="AO7" s="5"/>
      <c r="AP7" s="5"/>
      <c r="AQ7" s="49" t="s">
        <v>156</v>
      </c>
      <c r="AR7" s="20" t="s">
        <v>97</v>
      </c>
      <c r="AS7" s="20" t="s">
        <v>107</v>
      </c>
      <c r="AT7" s="20"/>
      <c r="AU7" s="24">
        <v>0.6</v>
      </c>
      <c r="AV7" s="24">
        <f t="shared" si="2"/>
        <v>0.48</v>
      </c>
      <c r="AW7" s="24">
        <f t="shared" si="3"/>
        <v>0.36</v>
      </c>
      <c r="AX7" s="25">
        <v>1E-4</v>
      </c>
      <c r="AY7" s="24">
        <v>0</v>
      </c>
      <c r="AZ7" s="24">
        <f t="shared" si="4"/>
        <v>0.54</v>
      </c>
      <c r="BA7" s="24">
        <f t="shared" si="5"/>
        <v>0.43200000000000005</v>
      </c>
      <c r="BB7" s="24">
        <f t="shared" si="6"/>
        <v>0.32400000000000001</v>
      </c>
      <c r="BC7" s="25">
        <v>1E-4</v>
      </c>
      <c r="BD7" s="24">
        <v>0</v>
      </c>
      <c r="BE7" s="26">
        <v>0</v>
      </c>
      <c r="BF7" s="34">
        <f t="shared" si="0"/>
        <v>0</v>
      </c>
      <c r="BG7" s="34">
        <f t="shared" si="1"/>
        <v>0</v>
      </c>
      <c r="BH7" s="26">
        <v>0</v>
      </c>
      <c r="BI7" s="26">
        <v>0</v>
      </c>
      <c r="BJ7" s="27">
        <v>0.439</v>
      </c>
      <c r="BK7" s="27">
        <v>0.4325384071479077</v>
      </c>
      <c r="BL7" s="27" t="s">
        <v>157</v>
      </c>
      <c r="BM7" s="27" t="s">
        <v>158</v>
      </c>
      <c r="BN7" s="26"/>
      <c r="BO7" s="34"/>
      <c r="BP7" s="34"/>
      <c r="BQ7" s="34"/>
      <c r="BR7" s="34"/>
      <c r="BS7" s="34"/>
      <c r="BT7" s="34"/>
      <c r="BU7" s="34"/>
      <c r="BV7" s="34"/>
      <c r="BW7" s="34"/>
      <c r="BX7" s="34"/>
      <c r="BY7" s="34"/>
      <c r="BZ7" s="34"/>
      <c r="CA7" s="20"/>
      <c r="CB7" s="20"/>
      <c r="CC7" s="46">
        <v>46006</v>
      </c>
      <c r="CD7" s="30" t="s">
        <v>159</v>
      </c>
    </row>
    <row r="8" spans="1:82" s="18" customFormat="1" ht="66.75" customHeight="1" x14ac:dyDescent="0.25">
      <c r="A8" s="87">
        <v>4</v>
      </c>
      <c r="B8" s="141" t="s">
        <v>160</v>
      </c>
      <c r="C8" s="6" t="s">
        <v>161</v>
      </c>
      <c r="D8" s="6" t="s">
        <v>162</v>
      </c>
      <c r="E8" s="75" t="s">
        <v>113</v>
      </c>
      <c r="F8" s="4" t="s">
        <v>81</v>
      </c>
      <c r="G8" s="33" t="s">
        <v>84</v>
      </c>
      <c r="H8" s="49" t="s">
        <v>114</v>
      </c>
      <c r="I8" s="49" t="s">
        <v>114</v>
      </c>
      <c r="J8" s="6" t="s">
        <v>115</v>
      </c>
      <c r="K8" s="49"/>
      <c r="L8" s="49"/>
      <c r="M8" s="49" t="s">
        <v>88</v>
      </c>
      <c r="N8" s="49" t="s">
        <v>89</v>
      </c>
      <c r="O8" s="49" t="s">
        <v>116</v>
      </c>
      <c r="P8" s="6" t="s">
        <v>115</v>
      </c>
      <c r="Q8" s="49"/>
      <c r="R8" s="75" t="s">
        <v>91</v>
      </c>
      <c r="S8" s="33" t="s">
        <v>92</v>
      </c>
      <c r="T8" s="33" t="s">
        <v>93</v>
      </c>
      <c r="U8" s="78">
        <v>100</v>
      </c>
      <c r="V8" s="33" t="s">
        <v>94</v>
      </c>
      <c r="W8" s="33" t="s">
        <v>95</v>
      </c>
      <c r="X8" s="33">
        <v>2021</v>
      </c>
      <c r="Y8" s="33" t="s">
        <v>117</v>
      </c>
      <c r="Z8" s="33" t="s">
        <v>95</v>
      </c>
      <c r="AA8" s="33" t="s">
        <v>98</v>
      </c>
      <c r="AB8" s="49" t="s">
        <v>99</v>
      </c>
      <c r="AC8" s="48" t="s">
        <v>163</v>
      </c>
      <c r="AD8" s="79" t="s">
        <v>164</v>
      </c>
      <c r="AE8" s="6" t="s">
        <v>152</v>
      </c>
      <c r="AF8" s="49" t="s">
        <v>121</v>
      </c>
      <c r="AG8" s="49" t="s">
        <v>122</v>
      </c>
      <c r="AH8" s="49" t="s">
        <v>123</v>
      </c>
      <c r="AI8" s="49" t="s">
        <v>165</v>
      </c>
      <c r="AJ8" s="6" t="s">
        <v>166</v>
      </c>
      <c r="AK8" s="33" t="s">
        <v>97</v>
      </c>
      <c r="AL8" s="33" t="s">
        <v>97</v>
      </c>
      <c r="AM8" s="5" t="s">
        <v>141</v>
      </c>
      <c r="AN8" s="5" t="s">
        <v>167</v>
      </c>
      <c r="AO8" s="5"/>
      <c r="AP8" s="5"/>
      <c r="AQ8" s="49" t="s">
        <v>143</v>
      </c>
      <c r="AR8" s="20" t="s">
        <v>97</v>
      </c>
      <c r="AS8" s="20" t="s">
        <v>107</v>
      </c>
      <c r="AT8" s="20"/>
      <c r="AU8" s="24">
        <v>0.5</v>
      </c>
      <c r="AV8" s="24">
        <f t="shared" si="2"/>
        <v>0.4</v>
      </c>
      <c r="AW8" s="24">
        <f t="shared" si="3"/>
        <v>0.3</v>
      </c>
      <c r="AX8" s="25">
        <v>1E-4</v>
      </c>
      <c r="AY8" s="24">
        <v>0</v>
      </c>
      <c r="AZ8" s="24">
        <f t="shared" si="4"/>
        <v>0.45</v>
      </c>
      <c r="BA8" s="24">
        <f t="shared" si="5"/>
        <v>0.36000000000000004</v>
      </c>
      <c r="BB8" s="24">
        <f t="shared" si="6"/>
        <v>0.27</v>
      </c>
      <c r="BC8" s="25">
        <v>1E-4</v>
      </c>
      <c r="BD8" s="24">
        <v>0</v>
      </c>
      <c r="BE8" s="26">
        <v>0</v>
      </c>
      <c r="BF8" s="34">
        <f t="shared" si="0"/>
        <v>0</v>
      </c>
      <c r="BG8" s="34">
        <f t="shared" si="1"/>
        <v>0</v>
      </c>
      <c r="BH8" s="26">
        <v>0</v>
      </c>
      <c r="BI8" s="26">
        <v>0</v>
      </c>
      <c r="BJ8" s="27">
        <v>0.28299999999999997</v>
      </c>
      <c r="BK8" s="27">
        <v>0.37613702502702251</v>
      </c>
      <c r="BL8" s="27" t="s">
        <v>168</v>
      </c>
      <c r="BM8" s="27" t="s">
        <v>169</v>
      </c>
      <c r="BN8" s="26"/>
      <c r="BO8" s="34"/>
      <c r="BP8" s="34"/>
      <c r="BQ8" s="34"/>
      <c r="BR8" s="34"/>
      <c r="BS8" s="34"/>
      <c r="BT8" s="34"/>
      <c r="BU8" s="34"/>
      <c r="BV8" s="34"/>
      <c r="BW8" s="34"/>
      <c r="BX8" s="34"/>
      <c r="BY8" s="34"/>
      <c r="BZ8" s="34"/>
      <c r="CA8" s="20"/>
      <c r="CB8" s="20"/>
      <c r="CC8" s="29">
        <v>46003</v>
      </c>
      <c r="CD8" s="32" t="s">
        <v>170</v>
      </c>
    </row>
    <row r="9" spans="1:82" s="18" customFormat="1" ht="66.75" customHeight="1" x14ac:dyDescent="0.25">
      <c r="A9" s="87">
        <v>5</v>
      </c>
      <c r="B9" s="141" t="s">
        <v>171</v>
      </c>
      <c r="C9" s="6" t="s">
        <v>172</v>
      </c>
      <c r="D9" s="6" t="s">
        <v>173</v>
      </c>
      <c r="E9" s="75" t="s">
        <v>174</v>
      </c>
      <c r="F9" s="4" t="s">
        <v>81</v>
      </c>
      <c r="G9" s="33" t="s">
        <v>84</v>
      </c>
      <c r="H9" s="49" t="s">
        <v>114</v>
      </c>
      <c r="I9" s="49" t="s">
        <v>114</v>
      </c>
      <c r="J9" s="49"/>
      <c r="K9" s="49"/>
      <c r="L9" s="49"/>
      <c r="M9" s="49" t="s">
        <v>88</v>
      </c>
      <c r="N9" s="49" t="s">
        <v>89</v>
      </c>
      <c r="O9" s="49" t="s">
        <v>116</v>
      </c>
      <c r="P9" s="6" t="s">
        <v>115</v>
      </c>
      <c r="Q9" s="49"/>
      <c r="R9" s="75" t="s">
        <v>175</v>
      </c>
      <c r="S9" s="33" t="s">
        <v>92</v>
      </c>
      <c r="T9" s="33" t="s">
        <v>93</v>
      </c>
      <c r="U9" s="78">
        <v>100</v>
      </c>
      <c r="V9" s="33" t="s">
        <v>94</v>
      </c>
      <c r="W9" s="33" t="s">
        <v>95</v>
      </c>
      <c r="X9" s="33">
        <v>2022</v>
      </c>
      <c r="Y9" s="33" t="s">
        <v>117</v>
      </c>
      <c r="Z9" s="33" t="s">
        <v>95</v>
      </c>
      <c r="AA9" s="33" t="s">
        <v>98</v>
      </c>
      <c r="AB9" s="49" t="s">
        <v>99</v>
      </c>
      <c r="AC9" s="79" t="s">
        <v>176</v>
      </c>
      <c r="AD9" s="79" t="s">
        <v>7544</v>
      </c>
      <c r="AE9" s="6" t="s">
        <v>177</v>
      </c>
      <c r="AF9" s="6" t="s">
        <v>121</v>
      </c>
      <c r="AG9" s="6" t="s">
        <v>178</v>
      </c>
      <c r="AH9" s="6" t="s">
        <v>123</v>
      </c>
      <c r="AI9" s="6" t="s">
        <v>179</v>
      </c>
      <c r="AJ9" s="6" t="s">
        <v>180</v>
      </c>
      <c r="AK9" s="33" t="s">
        <v>181</v>
      </c>
      <c r="AL9" s="33" t="s">
        <v>182</v>
      </c>
      <c r="AM9" s="82"/>
      <c r="AN9" s="6"/>
      <c r="AO9" s="6" t="s">
        <v>183</v>
      </c>
      <c r="AP9" s="6" t="s">
        <v>184</v>
      </c>
      <c r="AQ9" s="49" t="s">
        <v>143</v>
      </c>
      <c r="AR9" s="20" t="s">
        <v>95</v>
      </c>
      <c r="AS9" s="20" t="s">
        <v>185</v>
      </c>
      <c r="AT9" s="5" t="s">
        <v>186</v>
      </c>
      <c r="AU9" s="24">
        <v>0.8</v>
      </c>
      <c r="AV9" s="24">
        <f t="shared" si="2"/>
        <v>0.64000000000000012</v>
      </c>
      <c r="AW9" s="24">
        <f t="shared" si="3"/>
        <v>0.48</v>
      </c>
      <c r="AX9" s="25">
        <v>1E-4</v>
      </c>
      <c r="AY9" s="24">
        <v>0</v>
      </c>
      <c r="AZ9" s="24">
        <f t="shared" si="4"/>
        <v>0.72000000000000008</v>
      </c>
      <c r="BA9" s="24">
        <f t="shared" si="5"/>
        <v>0.57600000000000007</v>
      </c>
      <c r="BB9" s="24">
        <f t="shared" si="6"/>
        <v>0.43200000000000005</v>
      </c>
      <c r="BC9" s="25">
        <v>1E-4</v>
      </c>
      <c r="BD9" s="24">
        <v>0</v>
      </c>
      <c r="BE9" s="34">
        <v>40</v>
      </c>
      <c r="BF9" s="34">
        <f t="shared" si="0"/>
        <v>32</v>
      </c>
      <c r="BG9" s="34">
        <f t="shared" si="1"/>
        <v>24</v>
      </c>
      <c r="BH9" s="26">
        <v>1</v>
      </c>
      <c r="BI9" s="26">
        <v>0</v>
      </c>
      <c r="BJ9" s="27">
        <v>0.73499999999999999</v>
      </c>
      <c r="BK9" s="27">
        <v>0.76892750442539837</v>
      </c>
      <c r="BL9" s="27" t="s">
        <v>187</v>
      </c>
      <c r="BM9" s="27" t="s">
        <v>188</v>
      </c>
      <c r="BN9" s="26"/>
      <c r="BO9" s="34"/>
      <c r="BP9" s="34"/>
      <c r="BQ9" s="34"/>
      <c r="BR9" s="34"/>
      <c r="BS9" s="34"/>
      <c r="BT9" s="34"/>
      <c r="BU9" s="34"/>
      <c r="BV9" s="34"/>
      <c r="BW9" s="34"/>
      <c r="BX9" s="34"/>
      <c r="BY9" s="34"/>
      <c r="BZ9" s="34"/>
      <c r="CA9" s="20"/>
      <c r="CB9" s="20"/>
      <c r="CC9" s="219">
        <v>46097</v>
      </c>
      <c r="CD9" s="32" t="s">
        <v>7557</v>
      </c>
    </row>
    <row r="10" spans="1:82" s="18" customFormat="1" ht="66.75" customHeight="1" x14ac:dyDescent="0.25">
      <c r="A10" s="121">
        <v>6</v>
      </c>
      <c r="B10" s="141" t="s">
        <v>189</v>
      </c>
      <c r="C10" s="6" t="s">
        <v>190</v>
      </c>
      <c r="D10" s="6" t="s">
        <v>191</v>
      </c>
      <c r="E10" s="75" t="s">
        <v>113</v>
      </c>
      <c r="F10" s="4" t="s">
        <v>81</v>
      </c>
      <c r="G10" s="33" t="s">
        <v>84</v>
      </c>
      <c r="H10" s="49" t="s">
        <v>114</v>
      </c>
      <c r="I10" s="49" t="s">
        <v>114</v>
      </c>
      <c r="J10" s="6" t="s">
        <v>115</v>
      </c>
      <c r="K10" s="49"/>
      <c r="L10" s="49"/>
      <c r="M10" s="49" t="s">
        <v>88</v>
      </c>
      <c r="N10" s="49" t="s">
        <v>89</v>
      </c>
      <c r="O10" s="49" t="s">
        <v>116</v>
      </c>
      <c r="P10" s="6" t="s">
        <v>192</v>
      </c>
      <c r="Q10" s="49"/>
      <c r="R10" s="75" t="s">
        <v>175</v>
      </c>
      <c r="S10" s="33" t="s">
        <v>92</v>
      </c>
      <c r="T10" s="33" t="s">
        <v>93</v>
      </c>
      <c r="U10" s="78">
        <v>100</v>
      </c>
      <c r="V10" s="33" t="s">
        <v>94</v>
      </c>
      <c r="W10" s="33" t="s">
        <v>95</v>
      </c>
      <c r="X10" s="33">
        <v>2023</v>
      </c>
      <c r="Y10" s="33" t="s">
        <v>117</v>
      </c>
      <c r="Z10" s="33" t="s">
        <v>97</v>
      </c>
      <c r="AA10" s="33" t="s">
        <v>98</v>
      </c>
      <c r="AB10" s="49" t="s">
        <v>99</v>
      </c>
      <c r="AC10" s="48" t="s">
        <v>193</v>
      </c>
      <c r="AD10" s="79" t="s">
        <v>7545</v>
      </c>
      <c r="AE10" s="6" t="s">
        <v>194</v>
      </c>
      <c r="AF10" s="49" t="s">
        <v>121</v>
      </c>
      <c r="AG10" s="49" t="s">
        <v>178</v>
      </c>
      <c r="AH10" s="49" t="s">
        <v>123</v>
      </c>
      <c r="AI10" s="49" t="s">
        <v>195</v>
      </c>
      <c r="AJ10" s="6" t="s">
        <v>196</v>
      </c>
      <c r="AK10" s="33" t="s">
        <v>97</v>
      </c>
      <c r="AL10" s="33" t="s">
        <v>97</v>
      </c>
      <c r="AM10" s="5"/>
      <c r="AN10" s="6" t="s">
        <v>197</v>
      </c>
      <c r="AO10" s="6"/>
      <c r="AP10" s="6"/>
      <c r="AQ10" s="49" t="s">
        <v>114</v>
      </c>
      <c r="AR10" s="20" t="s">
        <v>97</v>
      </c>
      <c r="AS10" s="20" t="s">
        <v>107</v>
      </c>
      <c r="AT10" s="20"/>
      <c r="AU10" s="24">
        <v>0.7</v>
      </c>
      <c r="AV10" s="24">
        <f t="shared" si="2"/>
        <v>0.55999999999999994</v>
      </c>
      <c r="AW10" s="24">
        <f t="shared" si="3"/>
        <v>0.42</v>
      </c>
      <c r="AX10" s="25">
        <v>1E-4</v>
      </c>
      <c r="AY10" s="24">
        <v>0</v>
      </c>
      <c r="AZ10" s="24">
        <f t="shared" si="4"/>
        <v>0.63</v>
      </c>
      <c r="BA10" s="24">
        <f t="shared" si="5"/>
        <v>0.504</v>
      </c>
      <c r="BB10" s="24">
        <f t="shared" si="6"/>
        <v>0.378</v>
      </c>
      <c r="BC10" s="25">
        <v>1E-4</v>
      </c>
      <c r="BD10" s="24">
        <v>0</v>
      </c>
      <c r="BE10" s="26">
        <v>0</v>
      </c>
      <c r="BF10" s="34">
        <f t="shared" si="0"/>
        <v>0</v>
      </c>
      <c r="BG10" s="34">
        <f t="shared" si="1"/>
        <v>0</v>
      </c>
      <c r="BH10" s="26">
        <v>0</v>
      </c>
      <c r="BI10" s="26">
        <v>0</v>
      </c>
      <c r="BJ10" s="27">
        <v>0.56999999999999995</v>
      </c>
      <c r="BK10" s="27">
        <v>0.54738446376425531</v>
      </c>
      <c r="BL10" s="27" t="s">
        <v>198</v>
      </c>
      <c r="BM10" s="27" t="s">
        <v>199</v>
      </c>
      <c r="BN10" s="26"/>
      <c r="BO10" s="34"/>
      <c r="BP10" s="34"/>
      <c r="BQ10" s="34"/>
      <c r="BR10" s="34"/>
      <c r="BS10" s="34"/>
      <c r="BT10" s="34"/>
      <c r="BU10" s="34"/>
      <c r="BV10" s="34"/>
      <c r="BW10" s="34"/>
      <c r="BX10" s="34"/>
      <c r="BY10" s="34"/>
      <c r="BZ10" s="34"/>
      <c r="CA10" s="20"/>
      <c r="CB10" s="20"/>
      <c r="CC10" s="219">
        <v>46097</v>
      </c>
      <c r="CD10" s="32" t="s">
        <v>7558</v>
      </c>
    </row>
    <row r="11" spans="1:82" s="18" customFormat="1" ht="66.75" customHeight="1" x14ac:dyDescent="0.25">
      <c r="A11" s="87">
        <v>7</v>
      </c>
      <c r="B11" s="141" t="s">
        <v>200</v>
      </c>
      <c r="C11" s="6" t="s">
        <v>201</v>
      </c>
      <c r="D11" s="6" t="s">
        <v>202</v>
      </c>
      <c r="E11" s="75" t="s">
        <v>113</v>
      </c>
      <c r="F11" s="4" t="s">
        <v>81</v>
      </c>
      <c r="G11" s="33" t="s">
        <v>84</v>
      </c>
      <c r="H11" s="49" t="s">
        <v>114</v>
      </c>
      <c r="I11" s="49" t="s">
        <v>114</v>
      </c>
      <c r="J11" s="6" t="s">
        <v>115</v>
      </c>
      <c r="K11" s="49"/>
      <c r="L11" s="49"/>
      <c r="M11" s="49" t="s">
        <v>88</v>
      </c>
      <c r="N11" s="49" t="s">
        <v>89</v>
      </c>
      <c r="O11" s="49" t="s">
        <v>116</v>
      </c>
      <c r="P11" s="6" t="s">
        <v>203</v>
      </c>
      <c r="Q11" s="49"/>
      <c r="R11" s="75" t="s">
        <v>175</v>
      </c>
      <c r="S11" s="33" t="s">
        <v>92</v>
      </c>
      <c r="T11" s="33" t="s">
        <v>93</v>
      </c>
      <c r="U11" s="78">
        <v>100</v>
      </c>
      <c r="V11" s="33" t="s">
        <v>94</v>
      </c>
      <c r="W11" s="33" t="s">
        <v>95</v>
      </c>
      <c r="X11" s="33">
        <v>2023</v>
      </c>
      <c r="Y11" s="33" t="s">
        <v>117</v>
      </c>
      <c r="Z11" s="33" t="s">
        <v>97</v>
      </c>
      <c r="AA11" s="33" t="s">
        <v>98</v>
      </c>
      <c r="AB11" s="49" t="s">
        <v>99</v>
      </c>
      <c r="AC11" s="48" t="s">
        <v>204</v>
      </c>
      <c r="AD11" s="79" t="s">
        <v>7541</v>
      </c>
      <c r="AE11" s="49" t="s">
        <v>205</v>
      </c>
      <c r="AF11" s="49" t="s">
        <v>121</v>
      </c>
      <c r="AG11" s="49" t="s">
        <v>178</v>
      </c>
      <c r="AH11" s="49" t="s">
        <v>123</v>
      </c>
      <c r="AI11" s="49" t="s">
        <v>206</v>
      </c>
      <c r="AJ11" s="6" t="s">
        <v>207</v>
      </c>
      <c r="AK11" s="33" t="s">
        <v>97</v>
      </c>
      <c r="AL11" s="33" t="s">
        <v>97</v>
      </c>
      <c r="AM11" s="5"/>
      <c r="AN11" s="6"/>
      <c r="AO11" s="6"/>
      <c r="AP11" s="6"/>
      <c r="AQ11" s="49" t="s">
        <v>114</v>
      </c>
      <c r="AR11" s="20" t="s">
        <v>97</v>
      </c>
      <c r="AS11" s="20" t="s">
        <v>107</v>
      </c>
      <c r="AT11" s="20"/>
      <c r="AU11" s="24">
        <v>0.7</v>
      </c>
      <c r="AV11" s="24">
        <f t="shared" si="2"/>
        <v>0.55999999999999994</v>
      </c>
      <c r="AW11" s="24">
        <f t="shared" si="3"/>
        <v>0.42</v>
      </c>
      <c r="AX11" s="25">
        <v>1E-4</v>
      </c>
      <c r="AY11" s="24">
        <v>0</v>
      </c>
      <c r="AZ11" s="24">
        <f t="shared" si="4"/>
        <v>0.63</v>
      </c>
      <c r="BA11" s="24">
        <f t="shared" si="5"/>
        <v>0.504</v>
      </c>
      <c r="BB11" s="24">
        <f t="shared" si="6"/>
        <v>0.378</v>
      </c>
      <c r="BC11" s="25">
        <v>1E-4</v>
      </c>
      <c r="BD11" s="24">
        <v>0</v>
      </c>
      <c r="BE11" s="26">
        <v>0</v>
      </c>
      <c r="BF11" s="34">
        <f t="shared" si="0"/>
        <v>0</v>
      </c>
      <c r="BG11" s="34">
        <f t="shared" si="1"/>
        <v>0</v>
      </c>
      <c r="BH11" s="26">
        <v>0</v>
      </c>
      <c r="BI11" s="26">
        <v>0</v>
      </c>
      <c r="BJ11" s="27">
        <v>0.67600000000000005</v>
      </c>
      <c r="BK11" s="27">
        <v>0.49771664901034834</v>
      </c>
      <c r="BL11" s="27" t="s">
        <v>208</v>
      </c>
      <c r="BM11" s="27" t="s">
        <v>209</v>
      </c>
      <c r="BN11" s="26"/>
      <c r="BO11" s="34"/>
      <c r="BP11" s="34"/>
      <c r="BQ11" s="34"/>
      <c r="BR11" s="34"/>
      <c r="BS11" s="34"/>
      <c r="BT11" s="34"/>
      <c r="BU11" s="34"/>
      <c r="BV11" s="34"/>
      <c r="BW11" s="34"/>
      <c r="BX11" s="34"/>
      <c r="BY11" s="34"/>
      <c r="BZ11" s="34"/>
      <c r="CA11" s="20"/>
      <c r="CB11" s="20"/>
      <c r="CC11" s="219">
        <v>46097</v>
      </c>
      <c r="CD11" s="40" t="s">
        <v>7542</v>
      </c>
    </row>
    <row r="12" spans="1:82" s="18" customFormat="1" ht="66.75" customHeight="1" x14ac:dyDescent="0.25">
      <c r="A12" s="87">
        <v>8</v>
      </c>
      <c r="B12" s="141" t="s">
        <v>210</v>
      </c>
      <c r="C12" s="6" t="s">
        <v>211</v>
      </c>
      <c r="D12" s="6" t="s">
        <v>212</v>
      </c>
      <c r="E12" s="75" t="s">
        <v>113</v>
      </c>
      <c r="F12" s="4" t="s">
        <v>81</v>
      </c>
      <c r="G12" s="33" t="s">
        <v>84</v>
      </c>
      <c r="H12" s="49" t="s">
        <v>114</v>
      </c>
      <c r="I12" s="49" t="s">
        <v>114</v>
      </c>
      <c r="J12" s="6"/>
      <c r="K12" s="49"/>
      <c r="L12" s="49"/>
      <c r="M12" s="49" t="s">
        <v>88</v>
      </c>
      <c r="N12" s="49" t="s">
        <v>89</v>
      </c>
      <c r="O12" s="49" t="s">
        <v>213</v>
      </c>
      <c r="P12" s="6" t="s">
        <v>214</v>
      </c>
      <c r="Q12" s="49"/>
      <c r="R12" s="75" t="s">
        <v>91</v>
      </c>
      <c r="S12" s="33" t="s">
        <v>92</v>
      </c>
      <c r="T12" s="33" t="s">
        <v>93</v>
      </c>
      <c r="U12" s="78">
        <v>100</v>
      </c>
      <c r="V12" s="33" t="s">
        <v>94</v>
      </c>
      <c r="W12" s="33" t="s">
        <v>95</v>
      </c>
      <c r="X12" s="33">
        <v>2022</v>
      </c>
      <c r="Y12" s="33" t="s">
        <v>117</v>
      </c>
      <c r="Z12" s="33" t="s">
        <v>95</v>
      </c>
      <c r="AA12" s="33" t="s">
        <v>98</v>
      </c>
      <c r="AB12" s="49" t="s">
        <v>99</v>
      </c>
      <c r="AC12" s="48" t="s">
        <v>215</v>
      </c>
      <c r="AD12" s="79" t="s">
        <v>216</v>
      </c>
      <c r="AE12" s="49" t="s">
        <v>217</v>
      </c>
      <c r="AF12" s="49" t="s">
        <v>121</v>
      </c>
      <c r="AG12" s="49" t="s">
        <v>218</v>
      </c>
      <c r="AH12" s="49" t="s">
        <v>123</v>
      </c>
      <c r="AI12" s="49" t="s">
        <v>219</v>
      </c>
      <c r="AJ12" s="6" t="s">
        <v>220</v>
      </c>
      <c r="AK12" s="33" t="s">
        <v>97</v>
      </c>
      <c r="AL12" s="33" t="s">
        <v>97</v>
      </c>
      <c r="AM12" s="5" t="s">
        <v>221</v>
      </c>
      <c r="AN12" s="5"/>
      <c r="AO12" s="5"/>
      <c r="AP12" s="5"/>
      <c r="AQ12" s="49" t="s">
        <v>222</v>
      </c>
      <c r="AR12" s="20" t="s">
        <v>97</v>
      </c>
      <c r="AS12" s="20" t="s">
        <v>107</v>
      </c>
      <c r="AT12" s="20"/>
      <c r="AU12" s="24">
        <v>0.9</v>
      </c>
      <c r="AV12" s="24">
        <f t="shared" si="2"/>
        <v>0.72000000000000008</v>
      </c>
      <c r="AW12" s="24">
        <f t="shared" si="3"/>
        <v>0.54</v>
      </c>
      <c r="AX12" s="25">
        <v>1E-4</v>
      </c>
      <c r="AY12" s="24">
        <v>0</v>
      </c>
      <c r="AZ12" s="24">
        <f t="shared" si="4"/>
        <v>0.81</v>
      </c>
      <c r="BA12" s="24">
        <f t="shared" si="5"/>
        <v>0.64800000000000013</v>
      </c>
      <c r="BB12" s="24">
        <f t="shared" si="6"/>
        <v>0.48599999999999999</v>
      </c>
      <c r="BC12" s="25">
        <v>1E-4</v>
      </c>
      <c r="BD12" s="24">
        <v>0</v>
      </c>
      <c r="BE12" s="26">
        <v>0</v>
      </c>
      <c r="BF12" s="34">
        <f t="shared" si="0"/>
        <v>0</v>
      </c>
      <c r="BG12" s="34">
        <f t="shared" si="1"/>
        <v>0</v>
      </c>
      <c r="BH12" s="26">
        <v>0</v>
      </c>
      <c r="BI12" s="26">
        <v>0</v>
      </c>
      <c r="BJ12" s="27">
        <v>0.61699999999999999</v>
      </c>
      <c r="BK12" s="27">
        <v>0.78545321780148458</v>
      </c>
      <c r="BL12" s="27" t="s">
        <v>223</v>
      </c>
      <c r="BM12" s="27" t="s">
        <v>224</v>
      </c>
      <c r="BN12" s="26"/>
      <c r="BO12" s="34"/>
      <c r="BP12" s="34"/>
      <c r="BQ12" s="34"/>
      <c r="BR12" s="34"/>
      <c r="BS12" s="34"/>
      <c r="BT12" s="34"/>
      <c r="BU12" s="34"/>
      <c r="BV12" s="34"/>
      <c r="BW12" s="34"/>
      <c r="BX12" s="34"/>
      <c r="BY12" s="34"/>
      <c r="BZ12" s="34"/>
      <c r="CA12" s="20"/>
      <c r="CB12" s="20"/>
      <c r="CC12" s="46">
        <v>46006</v>
      </c>
      <c r="CD12" s="11" t="s">
        <v>225</v>
      </c>
    </row>
    <row r="13" spans="1:82" s="18" customFormat="1" ht="66.75" customHeight="1" x14ac:dyDescent="0.25">
      <c r="A13" s="121">
        <v>9</v>
      </c>
      <c r="B13" s="141" t="s">
        <v>227</v>
      </c>
      <c r="C13" s="6" t="s">
        <v>228</v>
      </c>
      <c r="D13" s="6" t="s">
        <v>229</v>
      </c>
      <c r="E13" s="75" t="s">
        <v>174</v>
      </c>
      <c r="F13" s="4" t="s">
        <v>81</v>
      </c>
      <c r="G13" s="33" t="s">
        <v>84</v>
      </c>
      <c r="H13" s="49" t="s">
        <v>114</v>
      </c>
      <c r="I13" s="49" t="s">
        <v>114</v>
      </c>
      <c r="J13" s="6"/>
      <c r="K13" s="49"/>
      <c r="L13" s="49"/>
      <c r="M13" s="49" t="s">
        <v>88</v>
      </c>
      <c r="N13" s="49" t="s">
        <v>89</v>
      </c>
      <c r="O13" s="49" t="s">
        <v>213</v>
      </c>
      <c r="P13" s="6" t="s">
        <v>214</v>
      </c>
      <c r="Q13" s="49"/>
      <c r="R13" s="75" t="s">
        <v>175</v>
      </c>
      <c r="S13" s="33" t="s">
        <v>92</v>
      </c>
      <c r="T13" s="33" t="s">
        <v>93</v>
      </c>
      <c r="U13" s="78">
        <v>100</v>
      </c>
      <c r="V13" s="33" t="s">
        <v>94</v>
      </c>
      <c r="W13" s="33" t="s">
        <v>95</v>
      </c>
      <c r="X13" s="33">
        <v>2023</v>
      </c>
      <c r="Y13" s="33" t="s">
        <v>117</v>
      </c>
      <c r="Z13" s="33" t="s">
        <v>97</v>
      </c>
      <c r="AA13" s="33" t="s">
        <v>98</v>
      </c>
      <c r="AB13" s="49" t="s">
        <v>99</v>
      </c>
      <c r="AC13" s="48" t="s">
        <v>230</v>
      </c>
      <c r="AD13" s="48" t="s">
        <v>231</v>
      </c>
      <c r="AE13" s="6" t="s">
        <v>232</v>
      </c>
      <c r="AF13" s="6" t="s">
        <v>233</v>
      </c>
      <c r="AG13" s="49" t="s">
        <v>178</v>
      </c>
      <c r="AH13" s="49" t="s">
        <v>178</v>
      </c>
      <c r="AI13" s="6" t="s">
        <v>234</v>
      </c>
      <c r="AJ13" s="6" t="s">
        <v>235</v>
      </c>
      <c r="AK13" s="33" t="s">
        <v>97</v>
      </c>
      <c r="AL13" s="33" t="s">
        <v>97</v>
      </c>
      <c r="AM13" s="5"/>
      <c r="AN13" s="5"/>
      <c r="AO13" s="5" t="s">
        <v>236</v>
      </c>
      <c r="AP13" s="5" t="s">
        <v>237</v>
      </c>
      <c r="AQ13" s="6" t="s">
        <v>222</v>
      </c>
      <c r="AR13" s="20" t="s">
        <v>97</v>
      </c>
      <c r="AS13" s="20" t="s">
        <v>107</v>
      </c>
      <c r="AT13" s="20"/>
      <c r="AU13" s="24">
        <v>0.7</v>
      </c>
      <c r="AV13" s="24">
        <f t="shared" si="2"/>
        <v>0.55999999999999994</v>
      </c>
      <c r="AW13" s="24">
        <f t="shared" si="3"/>
        <v>0.42</v>
      </c>
      <c r="AX13" s="25">
        <v>1E-4</v>
      </c>
      <c r="AY13" s="24">
        <v>0</v>
      </c>
      <c r="AZ13" s="24">
        <f t="shared" si="4"/>
        <v>0.63</v>
      </c>
      <c r="BA13" s="24">
        <f t="shared" si="5"/>
        <v>0.504</v>
      </c>
      <c r="BB13" s="24">
        <f t="shared" si="6"/>
        <v>0.378</v>
      </c>
      <c r="BC13" s="25">
        <v>1E-4</v>
      </c>
      <c r="BD13" s="24">
        <v>0</v>
      </c>
      <c r="BE13" s="34">
        <v>20</v>
      </c>
      <c r="BF13" s="34">
        <f t="shared" si="0"/>
        <v>16</v>
      </c>
      <c r="BG13" s="34">
        <f t="shared" si="1"/>
        <v>12</v>
      </c>
      <c r="BH13" s="26">
        <v>1</v>
      </c>
      <c r="BI13" s="26">
        <v>0</v>
      </c>
      <c r="BJ13" s="27">
        <v>0.63200000000000001</v>
      </c>
      <c r="BK13" s="27">
        <v>0.63307720433443393</v>
      </c>
      <c r="BL13" s="27" t="s">
        <v>238</v>
      </c>
      <c r="BM13" s="27" t="s">
        <v>239</v>
      </c>
      <c r="BN13" s="26"/>
      <c r="BO13" s="34"/>
      <c r="BP13" s="34"/>
      <c r="BQ13" s="34"/>
      <c r="BR13" s="34"/>
      <c r="BS13" s="34"/>
      <c r="BT13" s="34"/>
      <c r="BU13" s="34"/>
      <c r="BV13" s="34"/>
      <c r="BW13" s="34"/>
      <c r="BX13" s="34"/>
      <c r="BY13" s="34"/>
      <c r="BZ13" s="34">
        <v>1</v>
      </c>
      <c r="CA13" s="20" t="s">
        <v>240</v>
      </c>
      <c r="CB13" s="20" t="s">
        <v>240</v>
      </c>
      <c r="CC13" s="29">
        <v>46003</v>
      </c>
      <c r="CD13" s="11" t="s">
        <v>241</v>
      </c>
    </row>
    <row r="14" spans="1:82" s="18" customFormat="1" ht="66.75" customHeight="1" x14ac:dyDescent="0.25">
      <c r="A14" s="87">
        <v>10</v>
      </c>
      <c r="B14" s="141" t="s">
        <v>242</v>
      </c>
      <c r="C14" s="6" t="s">
        <v>243</v>
      </c>
      <c r="D14" s="6" t="s">
        <v>244</v>
      </c>
      <c r="E14" s="75" t="s">
        <v>113</v>
      </c>
      <c r="F14" s="4" t="s">
        <v>81</v>
      </c>
      <c r="G14" s="33">
        <v>168</v>
      </c>
      <c r="H14" s="49" t="s">
        <v>114</v>
      </c>
      <c r="I14" s="49" t="s">
        <v>114</v>
      </c>
      <c r="J14" s="6"/>
      <c r="K14" s="49"/>
      <c r="L14" s="49"/>
      <c r="M14" s="49" t="s">
        <v>136</v>
      </c>
      <c r="N14" s="49" t="s">
        <v>245</v>
      </c>
      <c r="O14" s="49" t="s">
        <v>246</v>
      </c>
      <c r="P14" s="6" t="s">
        <v>214</v>
      </c>
      <c r="Q14" s="49"/>
      <c r="R14" s="75" t="s">
        <v>91</v>
      </c>
      <c r="S14" s="33" t="s">
        <v>92</v>
      </c>
      <c r="T14" s="33" t="s">
        <v>93</v>
      </c>
      <c r="U14" s="78">
        <v>100</v>
      </c>
      <c r="V14" s="33" t="s">
        <v>94</v>
      </c>
      <c r="W14" s="33" t="s">
        <v>95</v>
      </c>
      <c r="X14" s="33">
        <v>2022</v>
      </c>
      <c r="Y14" s="33" t="s">
        <v>117</v>
      </c>
      <c r="Z14" s="33" t="s">
        <v>97</v>
      </c>
      <c r="AA14" s="33" t="s">
        <v>98</v>
      </c>
      <c r="AB14" s="49" t="s">
        <v>99</v>
      </c>
      <c r="AC14" s="48" t="s">
        <v>247</v>
      </c>
      <c r="AD14" s="48" t="s">
        <v>248</v>
      </c>
      <c r="AE14" s="33" t="s">
        <v>249</v>
      </c>
      <c r="AF14" s="33" t="s">
        <v>250</v>
      </c>
      <c r="AG14" s="49" t="s">
        <v>218</v>
      </c>
      <c r="AH14" s="49" t="s">
        <v>123</v>
      </c>
      <c r="AI14" s="49" t="s">
        <v>251</v>
      </c>
      <c r="AJ14" s="49" t="s">
        <v>220</v>
      </c>
      <c r="AK14" s="33" t="s">
        <v>97</v>
      </c>
      <c r="AL14" s="33" t="s">
        <v>97</v>
      </c>
      <c r="AM14" s="5"/>
      <c r="AN14" s="5"/>
      <c r="AO14" s="5"/>
      <c r="AP14" s="5"/>
      <c r="AQ14" s="49" t="s">
        <v>222</v>
      </c>
      <c r="AR14" s="20" t="s">
        <v>97</v>
      </c>
      <c r="AS14" s="20" t="s">
        <v>107</v>
      </c>
      <c r="AT14" s="20"/>
      <c r="AU14" s="24">
        <v>0.9</v>
      </c>
      <c r="AV14" s="24">
        <f t="shared" si="2"/>
        <v>0.72000000000000008</v>
      </c>
      <c r="AW14" s="24">
        <f t="shared" si="3"/>
        <v>0.54</v>
      </c>
      <c r="AX14" s="25">
        <v>1E-4</v>
      </c>
      <c r="AY14" s="24">
        <v>0</v>
      </c>
      <c r="AZ14" s="24">
        <f t="shared" si="4"/>
        <v>0.81</v>
      </c>
      <c r="BA14" s="24">
        <f t="shared" si="5"/>
        <v>0.64800000000000013</v>
      </c>
      <c r="BB14" s="24">
        <f t="shared" si="6"/>
        <v>0.48599999999999999</v>
      </c>
      <c r="BC14" s="25">
        <v>1E-4</v>
      </c>
      <c r="BD14" s="24">
        <v>0</v>
      </c>
      <c r="BE14" s="26">
        <v>0</v>
      </c>
      <c r="BF14" s="34">
        <f t="shared" si="0"/>
        <v>0</v>
      </c>
      <c r="BG14" s="34">
        <f t="shared" si="1"/>
        <v>0</v>
      </c>
      <c r="BH14" s="26">
        <v>0</v>
      </c>
      <c r="BI14" s="26">
        <v>0</v>
      </c>
      <c r="BJ14" s="27">
        <v>0.81599999999999995</v>
      </c>
      <c r="BK14" s="27">
        <v>0.87083607800246088</v>
      </c>
      <c r="BL14" s="27" t="s">
        <v>252</v>
      </c>
      <c r="BM14" s="27" t="s">
        <v>253</v>
      </c>
      <c r="BN14" s="26"/>
      <c r="BO14" s="34">
        <v>1</v>
      </c>
      <c r="BP14" s="34"/>
      <c r="BQ14" s="34"/>
      <c r="BR14" s="34"/>
      <c r="BS14" s="34"/>
      <c r="BT14" s="34"/>
      <c r="BU14" s="34"/>
      <c r="BV14" s="34"/>
      <c r="BW14" s="34"/>
      <c r="BX14" s="34"/>
      <c r="BY14" s="34"/>
      <c r="BZ14" s="34"/>
      <c r="CA14" s="20"/>
      <c r="CB14" s="20"/>
      <c r="CC14" s="29">
        <v>46003</v>
      </c>
      <c r="CD14" s="35" t="s">
        <v>254</v>
      </c>
    </row>
    <row r="15" spans="1:82" s="18" customFormat="1" ht="66.75" customHeight="1" x14ac:dyDescent="0.25">
      <c r="A15" s="87">
        <v>11</v>
      </c>
      <c r="B15" s="141" t="s">
        <v>255</v>
      </c>
      <c r="C15" s="6" t="s">
        <v>256</v>
      </c>
      <c r="D15" s="6" t="s">
        <v>257</v>
      </c>
      <c r="E15" s="75" t="s">
        <v>174</v>
      </c>
      <c r="F15" s="4" t="s">
        <v>81</v>
      </c>
      <c r="G15" s="33" t="s">
        <v>84</v>
      </c>
      <c r="H15" s="49" t="s">
        <v>114</v>
      </c>
      <c r="I15" s="49" t="s">
        <v>114</v>
      </c>
      <c r="J15" s="6"/>
      <c r="K15" s="49"/>
      <c r="L15" s="49"/>
      <c r="M15" s="49" t="s">
        <v>88</v>
      </c>
      <c r="N15" s="49" t="s">
        <v>89</v>
      </c>
      <c r="O15" s="49" t="s">
        <v>116</v>
      </c>
      <c r="P15" s="6" t="s">
        <v>258</v>
      </c>
      <c r="Q15" s="49"/>
      <c r="R15" s="75" t="s">
        <v>91</v>
      </c>
      <c r="S15" s="33" t="s">
        <v>92</v>
      </c>
      <c r="T15" s="33" t="s">
        <v>93</v>
      </c>
      <c r="U15" s="78">
        <v>100</v>
      </c>
      <c r="V15" s="33" t="s">
        <v>94</v>
      </c>
      <c r="W15" s="33" t="s">
        <v>95</v>
      </c>
      <c r="X15" s="33">
        <v>2022</v>
      </c>
      <c r="Y15" s="33" t="s">
        <v>117</v>
      </c>
      <c r="Z15" s="33" t="s">
        <v>97</v>
      </c>
      <c r="AA15" s="33" t="s">
        <v>98</v>
      </c>
      <c r="AB15" s="49" t="s">
        <v>99</v>
      </c>
      <c r="AC15" s="48" t="s">
        <v>259</v>
      </c>
      <c r="AD15" s="48" t="s">
        <v>260</v>
      </c>
      <c r="AE15" s="6" t="s">
        <v>261</v>
      </c>
      <c r="AF15" s="6" t="s">
        <v>262</v>
      </c>
      <c r="AG15" s="6" t="s">
        <v>218</v>
      </c>
      <c r="AH15" s="6" t="s">
        <v>123</v>
      </c>
      <c r="AI15" s="6" t="s">
        <v>263</v>
      </c>
      <c r="AJ15" s="6" t="s">
        <v>264</v>
      </c>
      <c r="AK15" s="33" t="s">
        <v>97</v>
      </c>
      <c r="AL15" s="33" t="s">
        <v>97</v>
      </c>
      <c r="AM15" s="5"/>
      <c r="AN15" s="5"/>
      <c r="AO15" s="5" t="s">
        <v>265</v>
      </c>
      <c r="AP15" s="5" t="s">
        <v>266</v>
      </c>
      <c r="AQ15" s="6" t="s">
        <v>222</v>
      </c>
      <c r="AR15" s="20" t="s">
        <v>97</v>
      </c>
      <c r="AS15" s="20" t="s">
        <v>107</v>
      </c>
      <c r="AT15" s="20"/>
      <c r="AU15" s="24">
        <v>0.5</v>
      </c>
      <c r="AV15" s="24">
        <f t="shared" si="2"/>
        <v>0.4</v>
      </c>
      <c r="AW15" s="24">
        <f t="shared" si="3"/>
        <v>0.3</v>
      </c>
      <c r="AX15" s="25">
        <v>1E-4</v>
      </c>
      <c r="AY15" s="24">
        <v>0</v>
      </c>
      <c r="AZ15" s="24">
        <f t="shared" si="4"/>
        <v>0.45</v>
      </c>
      <c r="BA15" s="24">
        <f t="shared" si="5"/>
        <v>0.36000000000000004</v>
      </c>
      <c r="BB15" s="24">
        <f t="shared" si="6"/>
        <v>0.27</v>
      </c>
      <c r="BC15" s="25">
        <v>1E-4</v>
      </c>
      <c r="BD15" s="24">
        <v>0</v>
      </c>
      <c r="BE15" s="26">
        <v>30</v>
      </c>
      <c r="BF15" s="34">
        <f t="shared" si="0"/>
        <v>24</v>
      </c>
      <c r="BG15" s="34">
        <f t="shared" si="1"/>
        <v>18</v>
      </c>
      <c r="BH15" s="26">
        <v>1</v>
      </c>
      <c r="BI15" s="26">
        <v>0</v>
      </c>
      <c r="BJ15" s="27">
        <v>0.124</v>
      </c>
      <c r="BK15" s="27">
        <v>0.2835845826199524</v>
      </c>
      <c r="BL15" s="27" t="s">
        <v>267</v>
      </c>
      <c r="BM15" s="27" t="s">
        <v>268</v>
      </c>
      <c r="BN15" s="26"/>
      <c r="BO15" s="34"/>
      <c r="BP15" s="34"/>
      <c r="BQ15" s="34"/>
      <c r="BR15" s="34"/>
      <c r="BS15" s="34"/>
      <c r="BT15" s="34"/>
      <c r="BU15" s="34"/>
      <c r="BV15" s="34"/>
      <c r="BW15" s="34"/>
      <c r="BX15" s="34"/>
      <c r="BY15" s="34"/>
      <c r="BZ15" s="34">
        <v>1</v>
      </c>
      <c r="CA15" s="20" t="s">
        <v>240</v>
      </c>
      <c r="CB15" s="20" t="s">
        <v>240</v>
      </c>
      <c r="CC15" s="29">
        <v>46003</v>
      </c>
      <c r="CD15" s="11" t="s">
        <v>269</v>
      </c>
    </row>
    <row r="16" spans="1:82" s="18" customFormat="1" ht="66.75" customHeight="1" x14ac:dyDescent="0.25">
      <c r="A16" s="121">
        <v>12</v>
      </c>
      <c r="B16" s="141" t="s">
        <v>270</v>
      </c>
      <c r="C16" s="6" t="s">
        <v>271</v>
      </c>
      <c r="D16" s="6" t="s">
        <v>272</v>
      </c>
      <c r="E16" s="75" t="s">
        <v>113</v>
      </c>
      <c r="F16" s="4" t="s">
        <v>81</v>
      </c>
      <c r="G16" s="33">
        <v>164</v>
      </c>
      <c r="H16" s="49" t="s">
        <v>114</v>
      </c>
      <c r="I16" s="49" t="s">
        <v>114</v>
      </c>
      <c r="J16" s="6"/>
      <c r="K16" s="49"/>
      <c r="L16" s="49"/>
      <c r="M16" s="49" t="s">
        <v>136</v>
      </c>
      <c r="N16" s="49" t="s">
        <v>89</v>
      </c>
      <c r="O16" s="49" t="s">
        <v>246</v>
      </c>
      <c r="P16" s="6" t="s">
        <v>258</v>
      </c>
      <c r="Q16" s="49"/>
      <c r="R16" s="75" t="s">
        <v>91</v>
      </c>
      <c r="S16" s="33" t="s">
        <v>92</v>
      </c>
      <c r="T16" s="33" t="s">
        <v>93</v>
      </c>
      <c r="U16" s="78">
        <v>100</v>
      </c>
      <c r="V16" s="33" t="s">
        <v>94</v>
      </c>
      <c r="W16" s="33" t="s">
        <v>95</v>
      </c>
      <c r="X16" s="33">
        <v>2022</v>
      </c>
      <c r="Y16" s="33" t="s">
        <v>117</v>
      </c>
      <c r="Z16" s="33" t="s">
        <v>97</v>
      </c>
      <c r="AA16" s="33" t="s">
        <v>98</v>
      </c>
      <c r="AB16" s="49" t="s">
        <v>99</v>
      </c>
      <c r="AC16" s="48" t="s">
        <v>273</v>
      </c>
      <c r="AD16" s="48" t="s">
        <v>274</v>
      </c>
      <c r="AE16" s="49" t="s">
        <v>275</v>
      </c>
      <c r="AF16" s="33" t="s">
        <v>276</v>
      </c>
      <c r="AG16" s="49" t="s">
        <v>218</v>
      </c>
      <c r="AH16" s="49" t="s">
        <v>123</v>
      </c>
      <c r="AI16" s="49" t="s">
        <v>277</v>
      </c>
      <c r="AJ16" s="49" t="s">
        <v>220</v>
      </c>
      <c r="AK16" s="33" t="s">
        <v>97</v>
      </c>
      <c r="AL16" s="33" t="s">
        <v>97</v>
      </c>
      <c r="AM16" s="5"/>
      <c r="AN16" s="5"/>
      <c r="AO16" s="5"/>
      <c r="AP16" s="5"/>
      <c r="AQ16" s="49" t="s">
        <v>222</v>
      </c>
      <c r="AR16" s="20" t="s">
        <v>97</v>
      </c>
      <c r="AS16" s="20" t="s">
        <v>107</v>
      </c>
      <c r="AT16" s="20"/>
      <c r="AU16" s="24">
        <v>0.5</v>
      </c>
      <c r="AV16" s="24">
        <f t="shared" si="2"/>
        <v>0.4</v>
      </c>
      <c r="AW16" s="24">
        <f t="shared" si="3"/>
        <v>0.3</v>
      </c>
      <c r="AX16" s="25">
        <v>1E-4</v>
      </c>
      <c r="AY16" s="24">
        <v>0</v>
      </c>
      <c r="AZ16" s="24">
        <f t="shared" si="4"/>
        <v>0.45</v>
      </c>
      <c r="BA16" s="24">
        <f t="shared" si="5"/>
        <v>0.36000000000000004</v>
      </c>
      <c r="BB16" s="24">
        <f t="shared" si="6"/>
        <v>0.27</v>
      </c>
      <c r="BC16" s="25">
        <v>1E-4</v>
      </c>
      <c r="BD16" s="24">
        <v>0</v>
      </c>
      <c r="BE16" s="26">
        <v>0</v>
      </c>
      <c r="BF16" s="34">
        <f t="shared" si="0"/>
        <v>0</v>
      </c>
      <c r="BG16" s="34">
        <f t="shared" si="1"/>
        <v>0</v>
      </c>
      <c r="BH16" s="26">
        <v>0</v>
      </c>
      <c r="BI16" s="26">
        <v>0</v>
      </c>
      <c r="BJ16" s="27">
        <v>0.114</v>
      </c>
      <c r="BK16" s="27">
        <v>0.24541713430602319</v>
      </c>
      <c r="BL16" s="27" t="s">
        <v>278</v>
      </c>
      <c r="BM16" s="27" t="s">
        <v>279</v>
      </c>
      <c r="BN16" s="26"/>
      <c r="BO16" s="34">
        <v>1</v>
      </c>
      <c r="BP16" s="34"/>
      <c r="BQ16" s="34"/>
      <c r="BR16" s="34"/>
      <c r="BS16" s="34"/>
      <c r="BT16" s="34"/>
      <c r="BU16" s="34"/>
      <c r="BV16" s="34"/>
      <c r="BW16" s="34"/>
      <c r="BX16" s="34"/>
      <c r="BY16" s="34"/>
      <c r="BZ16" s="34"/>
      <c r="CA16" s="20"/>
      <c r="CB16" s="20"/>
      <c r="CC16" s="46">
        <v>46006</v>
      </c>
      <c r="CD16" s="35" t="s">
        <v>280</v>
      </c>
    </row>
    <row r="17" spans="1:82" s="18" customFormat="1" ht="66.75" customHeight="1" x14ac:dyDescent="0.25">
      <c r="A17" s="87">
        <v>13</v>
      </c>
      <c r="B17" s="141" t="s">
        <v>281</v>
      </c>
      <c r="C17" s="6" t="s">
        <v>282</v>
      </c>
      <c r="D17" s="6" t="s">
        <v>283</v>
      </c>
      <c r="E17" s="75" t="s">
        <v>113</v>
      </c>
      <c r="F17" s="4" t="s">
        <v>81</v>
      </c>
      <c r="G17" s="33">
        <v>165</v>
      </c>
      <c r="H17" s="49" t="s">
        <v>114</v>
      </c>
      <c r="I17" s="49" t="s">
        <v>114</v>
      </c>
      <c r="J17" s="6"/>
      <c r="K17" s="49"/>
      <c r="L17" s="49"/>
      <c r="M17" s="49" t="s">
        <v>136</v>
      </c>
      <c r="N17" s="49" t="s">
        <v>89</v>
      </c>
      <c r="O17" s="49" t="s">
        <v>246</v>
      </c>
      <c r="P17" s="6" t="s">
        <v>258</v>
      </c>
      <c r="Q17" s="49"/>
      <c r="R17" s="75" t="s">
        <v>91</v>
      </c>
      <c r="S17" s="33" t="s">
        <v>92</v>
      </c>
      <c r="T17" s="33" t="s">
        <v>93</v>
      </c>
      <c r="U17" s="78">
        <v>100</v>
      </c>
      <c r="V17" s="33" t="s">
        <v>94</v>
      </c>
      <c r="W17" s="33" t="s">
        <v>95</v>
      </c>
      <c r="X17" s="33">
        <v>2022</v>
      </c>
      <c r="Y17" s="33" t="s">
        <v>117</v>
      </c>
      <c r="Z17" s="33" t="s">
        <v>97</v>
      </c>
      <c r="AA17" s="33" t="s">
        <v>98</v>
      </c>
      <c r="AB17" s="49" t="s">
        <v>99</v>
      </c>
      <c r="AC17" s="48" t="s">
        <v>284</v>
      </c>
      <c r="AD17" s="48" t="s">
        <v>285</v>
      </c>
      <c r="AE17" s="49" t="s">
        <v>275</v>
      </c>
      <c r="AF17" s="33" t="s">
        <v>286</v>
      </c>
      <c r="AG17" s="49" t="s">
        <v>218</v>
      </c>
      <c r="AH17" s="49" t="s">
        <v>123</v>
      </c>
      <c r="AI17" s="49" t="s">
        <v>277</v>
      </c>
      <c r="AJ17" s="49" t="s">
        <v>220</v>
      </c>
      <c r="AK17" s="33" t="s">
        <v>97</v>
      </c>
      <c r="AL17" s="33" t="s">
        <v>97</v>
      </c>
      <c r="AM17" s="5"/>
      <c r="AN17" s="5"/>
      <c r="AO17" s="5"/>
      <c r="AP17" s="5"/>
      <c r="AQ17" s="49" t="s">
        <v>222</v>
      </c>
      <c r="AR17" s="20" t="s">
        <v>97</v>
      </c>
      <c r="AS17" s="20" t="s">
        <v>107</v>
      </c>
      <c r="AT17" s="20"/>
      <c r="AU17" s="24">
        <v>0.5</v>
      </c>
      <c r="AV17" s="24">
        <f t="shared" si="2"/>
        <v>0.4</v>
      </c>
      <c r="AW17" s="24">
        <f t="shared" si="3"/>
        <v>0.3</v>
      </c>
      <c r="AX17" s="25">
        <v>1E-4</v>
      </c>
      <c r="AY17" s="24">
        <v>0</v>
      </c>
      <c r="AZ17" s="24">
        <f t="shared" si="4"/>
        <v>0.45</v>
      </c>
      <c r="BA17" s="24">
        <f t="shared" si="5"/>
        <v>0.36000000000000004</v>
      </c>
      <c r="BB17" s="24">
        <f t="shared" si="6"/>
        <v>0.27</v>
      </c>
      <c r="BC17" s="25">
        <v>1E-4</v>
      </c>
      <c r="BD17" s="24">
        <v>0</v>
      </c>
      <c r="BE17" s="26">
        <v>0</v>
      </c>
      <c r="BF17" s="34">
        <f t="shared" si="0"/>
        <v>0</v>
      </c>
      <c r="BG17" s="34">
        <f t="shared" si="1"/>
        <v>0</v>
      </c>
      <c r="BH17" s="26">
        <v>0</v>
      </c>
      <c r="BI17" s="26">
        <v>0</v>
      </c>
      <c r="BJ17" s="27">
        <v>0.113</v>
      </c>
      <c r="BK17" s="27">
        <v>0.2438921651221567</v>
      </c>
      <c r="BL17" s="27" t="s">
        <v>287</v>
      </c>
      <c r="BM17" s="27" t="s">
        <v>288</v>
      </c>
      <c r="BN17" s="26"/>
      <c r="BO17" s="34">
        <v>1</v>
      </c>
      <c r="BP17" s="34"/>
      <c r="BQ17" s="34"/>
      <c r="BR17" s="34"/>
      <c r="BS17" s="34"/>
      <c r="BT17" s="34"/>
      <c r="BU17" s="34"/>
      <c r="BV17" s="34"/>
      <c r="BW17" s="34"/>
      <c r="BX17" s="34"/>
      <c r="BY17" s="34"/>
      <c r="BZ17" s="34"/>
      <c r="CA17" s="20"/>
      <c r="CB17" s="20"/>
      <c r="CC17" s="29">
        <v>46003</v>
      </c>
      <c r="CD17" s="35" t="s">
        <v>254</v>
      </c>
    </row>
    <row r="18" spans="1:82" s="18" customFormat="1" ht="66.75" customHeight="1" x14ac:dyDescent="0.25">
      <c r="A18" s="87">
        <v>14</v>
      </c>
      <c r="B18" s="141" t="s">
        <v>289</v>
      </c>
      <c r="C18" s="6" t="s">
        <v>290</v>
      </c>
      <c r="D18" s="6" t="s">
        <v>291</v>
      </c>
      <c r="E18" s="75" t="s">
        <v>113</v>
      </c>
      <c r="F18" s="4" t="s">
        <v>81</v>
      </c>
      <c r="G18" s="33">
        <v>166</v>
      </c>
      <c r="H18" s="49" t="s">
        <v>114</v>
      </c>
      <c r="I18" s="49" t="s">
        <v>114</v>
      </c>
      <c r="J18" s="6"/>
      <c r="K18" s="49"/>
      <c r="L18" s="49"/>
      <c r="M18" s="49" t="s">
        <v>136</v>
      </c>
      <c r="N18" s="49" t="s">
        <v>89</v>
      </c>
      <c r="O18" s="49" t="s">
        <v>246</v>
      </c>
      <c r="P18" s="6" t="s">
        <v>258</v>
      </c>
      <c r="Q18" s="49"/>
      <c r="R18" s="75" t="s">
        <v>91</v>
      </c>
      <c r="S18" s="33" t="s">
        <v>92</v>
      </c>
      <c r="T18" s="33" t="s">
        <v>93</v>
      </c>
      <c r="U18" s="78">
        <v>100</v>
      </c>
      <c r="V18" s="33" t="s">
        <v>94</v>
      </c>
      <c r="W18" s="33" t="s">
        <v>95</v>
      </c>
      <c r="X18" s="33">
        <v>2022</v>
      </c>
      <c r="Y18" s="33" t="s">
        <v>117</v>
      </c>
      <c r="Z18" s="33" t="s">
        <v>97</v>
      </c>
      <c r="AA18" s="33" t="s">
        <v>98</v>
      </c>
      <c r="AB18" s="49" t="s">
        <v>99</v>
      </c>
      <c r="AC18" s="48" t="s">
        <v>292</v>
      </c>
      <c r="AD18" s="48" t="s">
        <v>293</v>
      </c>
      <c r="AE18" s="49" t="s">
        <v>275</v>
      </c>
      <c r="AF18" s="33" t="s">
        <v>294</v>
      </c>
      <c r="AG18" s="49" t="s">
        <v>218</v>
      </c>
      <c r="AH18" s="49" t="s">
        <v>123</v>
      </c>
      <c r="AI18" s="49" t="s">
        <v>277</v>
      </c>
      <c r="AJ18" s="49" t="s">
        <v>220</v>
      </c>
      <c r="AK18" s="33" t="s">
        <v>97</v>
      </c>
      <c r="AL18" s="33" t="s">
        <v>97</v>
      </c>
      <c r="AM18" s="5"/>
      <c r="AN18" s="5"/>
      <c r="AO18" s="5"/>
      <c r="AP18" s="5"/>
      <c r="AQ18" s="49" t="s">
        <v>222</v>
      </c>
      <c r="AR18" s="20" t="s">
        <v>97</v>
      </c>
      <c r="AS18" s="20" t="s">
        <v>107</v>
      </c>
      <c r="AT18" s="20"/>
      <c r="AU18" s="24">
        <v>0.5</v>
      </c>
      <c r="AV18" s="24">
        <f t="shared" si="2"/>
        <v>0.4</v>
      </c>
      <c r="AW18" s="24">
        <f t="shared" si="3"/>
        <v>0.3</v>
      </c>
      <c r="AX18" s="25">
        <v>1E-4</v>
      </c>
      <c r="AY18" s="24">
        <v>0</v>
      </c>
      <c r="AZ18" s="24">
        <f t="shared" si="4"/>
        <v>0.45</v>
      </c>
      <c r="BA18" s="24">
        <f t="shared" si="5"/>
        <v>0.36000000000000004</v>
      </c>
      <c r="BB18" s="24">
        <f t="shared" si="6"/>
        <v>0.27</v>
      </c>
      <c r="BC18" s="25">
        <v>1E-4</v>
      </c>
      <c r="BD18" s="24">
        <v>0</v>
      </c>
      <c r="BE18" s="26">
        <v>0</v>
      </c>
      <c r="BF18" s="34">
        <f t="shared" si="0"/>
        <v>0</v>
      </c>
      <c r="BG18" s="34">
        <f t="shared" si="1"/>
        <v>0</v>
      </c>
      <c r="BH18" s="26">
        <v>0</v>
      </c>
      <c r="BI18" s="26">
        <v>0</v>
      </c>
      <c r="BJ18" s="27">
        <v>0.12</v>
      </c>
      <c r="BK18" s="27">
        <v>0.24870689655172415</v>
      </c>
      <c r="BL18" s="27" t="s">
        <v>295</v>
      </c>
      <c r="BM18" s="27" t="s">
        <v>296</v>
      </c>
      <c r="BN18" s="26"/>
      <c r="BO18" s="34">
        <v>1</v>
      </c>
      <c r="BP18" s="34"/>
      <c r="BQ18" s="34"/>
      <c r="BR18" s="34"/>
      <c r="BS18" s="34"/>
      <c r="BT18" s="34"/>
      <c r="BU18" s="34"/>
      <c r="BV18" s="34"/>
      <c r="BW18" s="34"/>
      <c r="BX18" s="34"/>
      <c r="BY18" s="34"/>
      <c r="BZ18" s="34"/>
      <c r="CA18" s="20"/>
      <c r="CB18" s="20"/>
      <c r="CC18" s="29">
        <v>46003</v>
      </c>
      <c r="CD18" s="35" t="s">
        <v>254</v>
      </c>
    </row>
    <row r="19" spans="1:82" s="18" customFormat="1" ht="66.75" customHeight="1" x14ac:dyDescent="0.25">
      <c r="A19" s="121">
        <v>15</v>
      </c>
      <c r="B19" s="141" t="s">
        <v>297</v>
      </c>
      <c r="C19" s="6" t="s">
        <v>298</v>
      </c>
      <c r="D19" s="6" t="s">
        <v>299</v>
      </c>
      <c r="E19" s="75" t="s">
        <v>113</v>
      </c>
      <c r="F19" s="4" t="s">
        <v>81</v>
      </c>
      <c r="G19" s="33">
        <v>167</v>
      </c>
      <c r="H19" s="49" t="s">
        <v>114</v>
      </c>
      <c r="I19" s="49" t="s">
        <v>114</v>
      </c>
      <c r="J19" s="6"/>
      <c r="K19" s="49"/>
      <c r="L19" s="49"/>
      <c r="M19" s="49" t="s">
        <v>136</v>
      </c>
      <c r="N19" s="49" t="s">
        <v>89</v>
      </c>
      <c r="O19" s="49" t="s">
        <v>246</v>
      </c>
      <c r="P19" s="6" t="s">
        <v>258</v>
      </c>
      <c r="Q19" s="49"/>
      <c r="R19" s="75" t="s">
        <v>91</v>
      </c>
      <c r="S19" s="33" t="s">
        <v>92</v>
      </c>
      <c r="T19" s="33" t="s">
        <v>93</v>
      </c>
      <c r="U19" s="78">
        <v>100</v>
      </c>
      <c r="V19" s="33" t="s">
        <v>94</v>
      </c>
      <c r="W19" s="33" t="s">
        <v>95</v>
      </c>
      <c r="X19" s="33">
        <v>2022</v>
      </c>
      <c r="Y19" s="33" t="s">
        <v>117</v>
      </c>
      <c r="Z19" s="33" t="s">
        <v>97</v>
      </c>
      <c r="AA19" s="33" t="s">
        <v>98</v>
      </c>
      <c r="AB19" s="49" t="s">
        <v>99</v>
      </c>
      <c r="AC19" s="48" t="s">
        <v>300</v>
      </c>
      <c r="AD19" s="48" t="s">
        <v>301</v>
      </c>
      <c r="AE19" s="49" t="s">
        <v>275</v>
      </c>
      <c r="AF19" s="33" t="s">
        <v>302</v>
      </c>
      <c r="AG19" s="49" t="s">
        <v>218</v>
      </c>
      <c r="AH19" s="49" t="s">
        <v>123</v>
      </c>
      <c r="AI19" s="49" t="s">
        <v>277</v>
      </c>
      <c r="AJ19" s="49" t="s">
        <v>220</v>
      </c>
      <c r="AK19" s="33" t="s">
        <v>97</v>
      </c>
      <c r="AL19" s="33" t="s">
        <v>97</v>
      </c>
      <c r="AM19" s="5"/>
      <c r="AN19" s="5"/>
      <c r="AO19" s="5"/>
      <c r="AP19" s="5"/>
      <c r="AQ19" s="49" t="s">
        <v>222</v>
      </c>
      <c r="AR19" s="20" t="s">
        <v>97</v>
      </c>
      <c r="AS19" s="20" t="s">
        <v>107</v>
      </c>
      <c r="AT19" s="20"/>
      <c r="AU19" s="24">
        <v>0.5</v>
      </c>
      <c r="AV19" s="24">
        <f t="shared" si="2"/>
        <v>0.4</v>
      </c>
      <c r="AW19" s="24">
        <f t="shared" si="3"/>
        <v>0.3</v>
      </c>
      <c r="AX19" s="25">
        <v>1E-4</v>
      </c>
      <c r="AY19" s="24">
        <v>0</v>
      </c>
      <c r="AZ19" s="24">
        <f t="shared" si="4"/>
        <v>0.45</v>
      </c>
      <c r="BA19" s="24">
        <f t="shared" si="5"/>
        <v>0.36000000000000004</v>
      </c>
      <c r="BB19" s="24">
        <f t="shared" si="6"/>
        <v>0.27</v>
      </c>
      <c r="BC19" s="25">
        <v>1E-4</v>
      </c>
      <c r="BD19" s="24">
        <v>0</v>
      </c>
      <c r="BE19" s="26">
        <v>0</v>
      </c>
      <c r="BF19" s="34">
        <f t="shared" si="0"/>
        <v>0</v>
      </c>
      <c r="BG19" s="34">
        <f t="shared" si="1"/>
        <v>0</v>
      </c>
      <c r="BH19" s="26">
        <v>0</v>
      </c>
      <c r="BI19" s="26">
        <v>0</v>
      </c>
      <c r="BJ19" s="27">
        <v>0.115</v>
      </c>
      <c r="BK19" s="27">
        <v>0.26312511677150152</v>
      </c>
      <c r="BL19" s="27" t="s">
        <v>303</v>
      </c>
      <c r="BM19" s="27" t="s">
        <v>304</v>
      </c>
      <c r="BN19" s="26"/>
      <c r="BO19" s="34">
        <v>1</v>
      </c>
      <c r="BP19" s="34"/>
      <c r="BQ19" s="34"/>
      <c r="BR19" s="34"/>
      <c r="BS19" s="34"/>
      <c r="BT19" s="34"/>
      <c r="BU19" s="34"/>
      <c r="BV19" s="34"/>
      <c r="BW19" s="34"/>
      <c r="BX19" s="34"/>
      <c r="BY19" s="34"/>
      <c r="BZ19" s="34"/>
      <c r="CA19" s="20"/>
      <c r="CB19" s="20"/>
      <c r="CC19" s="46">
        <v>46006</v>
      </c>
      <c r="CD19" s="35" t="s">
        <v>305</v>
      </c>
    </row>
    <row r="20" spans="1:82" s="18" customFormat="1" ht="66.75" customHeight="1" x14ac:dyDescent="0.25">
      <c r="A20" s="87">
        <v>16</v>
      </c>
      <c r="B20" s="141" t="s">
        <v>306</v>
      </c>
      <c r="C20" s="6" t="s">
        <v>307</v>
      </c>
      <c r="D20" s="6" t="s">
        <v>308</v>
      </c>
      <c r="E20" s="75" t="s">
        <v>113</v>
      </c>
      <c r="F20" s="4" t="s">
        <v>81</v>
      </c>
      <c r="G20" s="33">
        <v>158</v>
      </c>
      <c r="H20" s="49" t="s">
        <v>309</v>
      </c>
      <c r="I20" s="49" t="s">
        <v>309</v>
      </c>
      <c r="J20" s="6"/>
      <c r="K20" s="49"/>
      <c r="L20" s="49"/>
      <c r="M20" s="49" t="s">
        <v>136</v>
      </c>
      <c r="N20" s="49" t="s">
        <v>89</v>
      </c>
      <c r="O20" s="49" t="s">
        <v>116</v>
      </c>
      <c r="P20" s="6" t="s">
        <v>115</v>
      </c>
      <c r="Q20" s="49"/>
      <c r="R20" s="75" t="s">
        <v>91</v>
      </c>
      <c r="S20" s="33" t="s">
        <v>92</v>
      </c>
      <c r="T20" s="33" t="s">
        <v>93</v>
      </c>
      <c r="U20" s="78">
        <v>100</v>
      </c>
      <c r="V20" s="33" t="s">
        <v>94</v>
      </c>
      <c r="W20" s="33" t="s">
        <v>95</v>
      </c>
      <c r="X20" s="33">
        <v>2021</v>
      </c>
      <c r="Y20" s="33" t="s">
        <v>117</v>
      </c>
      <c r="Z20" s="33" t="s">
        <v>95</v>
      </c>
      <c r="AA20" s="33" t="s">
        <v>98</v>
      </c>
      <c r="AB20" s="49" t="s">
        <v>99</v>
      </c>
      <c r="AC20" s="48" t="s">
        <v>310</v>
      </c>
      <c r="AD20" s="79" t="s">
        <v>311</v>
      </c>
      <c r="AE20" s="6" t="s">
        <v>120</v>
      </c>
      <c r="AF20" s="49" t="s">
        <v>121</v>
      </c>
      <c r="AG20" s="49" t="s">
        <v>122</v>
      </c>
      <c r="AH20" s="49" t="s">
        <v>123</v>
      </c>
      <c r="AI20" s="49" t="s">
        <v>312</v>
      </c>
      <c r="AJ20" s="6" t="s">
        <v>313</v>
      </c>
      <c r="AK20" s="33" t="s">
        <v>97</v>
      </c>
      <c r="AL20" s="33" t="s">
        <v>97</v>
      </c>
      <c r="AM20" s="6" t="s">
        <v>314</v>
      </c>
      <c r="AN20" s="5"/>
      <c r="AO20" s="5"/>
      <c r="AP20" s="5"/>
      <c r="AQ20" s="49" t="s">
        <v>143</v>
      </c>
      <c r="AR20" s="20" t="s">
        <v>97</v>
      </c>
      <c r="AS20" s="20" t="s">
        <v>107</v>
      </c>
      <c r="AT20" s="20"/>
      <c r="AU20" s="24">
        <v>0.8</v>
      </c>
      <c r="AV20" s="24">
        <f t="shared" si="2"/>
        <v>0.64000000000000012</v>
      </c>
      <c r="AW20" s="24">
        <f t="shared" si="3"/>
        <v>0.48</v>
      </c>
      <c r="AX20" s="25">
        <v>1E-4</v>
      </c>
      <c r="AY20" s="24">
        <v>0</v>
      </c>
      <c r="AZ20" s="24">
        <f t="shared" si="4"/>
        <v>0.72000000000000008</v>
      </c>
      <c r="BA20" s="24">
        <f t="shared" si="5"/>
        <v>0.57600000000000007</v>
      </c>
      <c r="BB20" s="24">
        <f t="shared" si="6"/>
        <v>0.43200000000000005</v>
      </c>
      <c r="BC20" s="25">
        <v>1E-4</v>
      </c>
      <c r="BD20" s="24">
        <v>0</v>
      </c>
      <c r="BE20" s="26">
        <v>0</v>
      </c>
      <c r="BF20" s="34">
        <f t="shared" si="0"/>
        <v>0</v>
      </c>
      <c r="BG20" s="34">
        <f t="shared" si="1"/>
        <v>0</v>
      </c>
      <c r="BH20" s="26">
        <v>0</v>
      </c>
      <c r="BI20" s="26">
        <v>0</v>
      </c>
      <c r="BJ20" s="27">
        <v>0.184</v>
      </c>
      <c r="BK20" s="27">
        <v>0.23318625220127032</v>
      </c>
      <c r="BL20" s="27" t="s">
        <v>315</v>
      </c>
      <c r="BM20" s="27" t="s">
        <v>316</v>
      </c>
      <c r="BN20" s="26"/>
      <c r="BO20" s="34">
        <v>1</v>
      </c>
      <c r="BP20" s="34"/>
      <c r="BQ20" s="34"/>
      <c r="BR20" s="34"/>
      <c r="BS20" s="34"/>
      <c r="BT20" s="34"/>
      <c r="BU20" s="34"/>
      <c r="BV20" s="34"/>
      <c r="BW20" s="34"/>
      <c r="BX20" s="34"/>
      <c r="BY20" s="34"/>
      <c r="BZ20" s="34"/>
      <c r="CA20" s="20"/>
      <c r="CB20" s="20"/>
      <c r="CC20" s="46">
        <v>46006</v>
      </c>
      <c r="CD20" s="11" t="s">
        <v>317</v>
      </c>
    </row>
    <row r="21" spans="1:82" s="18" customFormat="1" ht="66.75" customHeight="1" x14ac:dyDescent="0.25">
      <c r="A21" s="87">
        <v>17</v>
      </c>
      <c r="B21" s="141" t="s">
        <v>318</v>
      </c>
      <c r="C21" s="6" t="s">
        <v>319</v>
      </c>
      <c r="D21" s="6" t="s">
        <v>320</v>
      </c>
      <c r="E21" s="75" t="s">
        <v>113</v>
      </c>
      <c r="F21" s="4" t="s">
        <v>81</v>
      </c>
      <c r="G21" s="33" t="s">
        <v>84</v>
      </c>
      <c r="H21" s="49" t="s">
        <v>309</v>
      </c>
      <c r="I21" s="49" t="s">
        <v>309</v>
      </c>
      <c r="J21" s="6"/>
      <c r="K21" s="49"/>
      <c r="L21" s="49"/>
      <c r="M21" s="49" t="s">
        <v>88</v>
      </c>
      <c r="N21" s="49" t="s">
        <v>89</v>
      </c>
      <c r="O21" s="49" t="s">
        <v>116</v>
      </c>
      <c r="P21" s="6" t="s">
        <v>115</v>
      </c>
      <c r="Q21" s="49"/>
      <c r="R21" s="75" t="s">
        <v>91</v>
      </c>
      <c r="S21" s="33" t="s">
        <v>92</v>
      </c>
      <c r="T21" s="33" t="s">
        <v>93</v>
      </c>
      <c r="U21" s="78">
        <v>100</v>
      </c>
      <c r="V21" s="33" t="s">
        <v>94</v>
      </c>
      <c r="W21" s="33" t="s">
        <v>95</v>
      </c>
      <c r="X21" s="33">
        <v>2021</v>
      </c>
      <c r="Y21" s="33" t="s">
        <v>117</v>
      </c>
      <c r="Z21" s="33" t="s">
        <v>95</v>
      </c>
      <c r="AA21" s="33" t="s">
        <v>98</v>
      </c>
      <c r="AB21" s="49" t="s">
        <v>99</v>
      </c>
      <c r="AC21" s="48" t="s">
        <v>321</v>
      </c>
      <c r="AD21" s="79" t="s">
        <v>322</v>
      </c>
      <c r="AE21" s="49" t="s">
        <v>323</v>
      </c>
      <c r="AF21" s="49" t="s">
        <v>121</v>
      </c>
      <c r="AG21" s="49" t="s">
        <v>122</v>
      </c>
      <c r="AH21" s="49" t="s">
        <v>123</v>
      </c>
      <c r="AI21" s="49" t="s">
        <v>324</v>
      </c>
      <c r="AJ21" s="6" t="s">
        <v>325</v>
      </c>
      <c r="AK21" s="33" t="s">
        <v>97</v>
      </c>
      <c r="AL21" s="33" t="s">
        <v>97</v>
      </c>
      <c r="AM21" s="5" t="s">
        <v>326</v>
      </c>
      <c r="AN21" s="5"/>
      <c r="AO21" s="5"/>
      <c r="AP21" s="5"/>
      <c r="AQ21" s="49" t="s">
        <v>143</v>
      </c>
      <c r="AR21" s="20" t="s">
        <v>97</v>
      </c>
      <c r="AS21" s="20" t="s">
        <v>107</v>
      </c>
      <c r="AT21" s="20"/>
      <c r="AU21" s="24">
        <v>0.8</v>
      </c>
      <c r="AV21" s="24">
        <f t="shared" si="2"/>
        <v>0.64000000000000012</v>
      </c>
      <c r="AW21" s="24">
        <f t="shared" si="3"/>
        <v>0.48</v>
      </c>
      <c r="AX21" s="25">
        <v>1E-4</v>
      </c>
      <c r="AY21" s="24">
        <v>0</v>
      </c>
      <c r="AZ21" s="24">
        <f t="shared" si="4"/>
        <v>0.72000000000000008</v>
      </c>
      <c r="BA21" s="24">
        <f t="shared" si="5"/>
        <v>0.57600000000000007</v>
      </c>
      <c r="BB21" s="24">
        <f t="shared" si="6"/>
        <v>0.43200000000000005</v>
      </c>
      <c r="BC21" s="25">
        <v>1E-4</v>
      </c>
      <c r="BD21" s="24">
        <v>0</v>
      </c>
      <c r="BE21" s="26">
        <v>0</v>
      </c>
      <c r="BF21" s="34">
        <f t="shared" si="0"/>
        <v>0</v>
      </c>
      <c r="BG21" s="34">
        <f t="shared" si="1"/>
        <v>0</v>
      </c>
      <c r="BH21" s="26">
        <v>0</v>
      </c>
      <c r="BI21" s="26">
        <v>0</v>
      </c>
      <c r="BJ21" s="27">
        <v>0.47199999999999998</v>
      </c>
      <c r="BK21" s="27">
        <v>0.2739094006097143</v>
      </c>
      <c r="BL21" s="27" t="s">
        <v>327</v>
      </c>
      <c r="BM21" s="27" t="s">
        <v>328</v>
      </c>
      <c r="BN21" s="26"/>
      <c r="BO21" s="34"/>
      <c r="BP21" s="34"/>
      <c r="BQ21" s="34"/>
      <c r="BR21" s="34"/>
      <c r="BS21" s="34"/>
      <c r="BT21" s="34"/>
      <c r="BU21" s="34"/>
      <c r="BV21" s="34"/>
      <c r="BW21" s="34"/>
      <c r="BX21" s="34"/>
      <c r="BY21" s="34"/>
      <c r="BZ21" s="34"/>
      <c r="CA21" s="20"/>
      <c r="CB21" s="20"/>
      <c r="CC21" s="46">
        <v>46006</v>
      </c>
      <c r="CD21" s="11" t="s">
        <v>329</v>
      </c>
    </row>
    <row r="22" spans="1:82" s="18" customFormat="1" ht="66.75" customHeight="1" x14ac:dyDescent="0.25">
      <c r="A22" s="121">
        <v>18</v>
      </c>
      <c r="B22" s="141" t="s">
        <v>330</v>
      </c>
      <c r="C22" s="6" t="s">
        <v>331</v>
      </c>
      <c r="D22" s="6" t="s">
        <v>7174</v>
      </c>
      <c r="E22" s="75" t="s">
        <v>174</v>
      </c>
      <c r="F22" s="4" t="s">
        <v>81</v>
      </c>
      <c r="G22" s="33" t="s">
        <v>84</v>
      </c>
      <c r="H22" s="49" t="s">
        <v>309</v>
      </c>
      <c r="I22" s="49" t="s">
        <v>309</v>
      </c>
      <c r="J22" s="6"/>
      <c r="K22" s="49"/>
      <c r="L22" s="49"/>
      <c r="M22" s="49" t="s">
        <v>88</v>
      </c>
      <c r="N22" s="49" t="s">
        <v>89</v>
      </c>
      <c r="O22" s="49" t="s">
        <v>116</v>
      </c>
      <c r="P22" s="6" t="s">
        <v>332</v>
      </c>
      <c r="Q22" s="49"/>
      <c r="R22" s="75" t="s">
        <v>175</v>
      </c>
      <c r="S22" s="33" t="s">
        <v>92</v>
      </c>
      <c r="T22" s="33" t="s">
        <v>93</v>
      </c>
      <c r="U22" s="78">
        <v>100</v>
      </c>
      <c r="V22" s="33" t="s">
        <v>94</v>
      </c>
      <c r="W22" s="33" t="s">
        <v>95</v>
      </c>
      <c r="X22" s="33">
        <v>2021</v>
      </c>
      <c r="Y22" s="33" t="s">
        <v>117</v>
      </c>
      <c r="Z22" s="33" t="s">
        <v>95</v>
      </c>
      <c r="AA22" s="33" t="s">
        <v>98</v>
      </c>
      <c r="AB22" s="49" t="s">
        <v>99</v>
      </c>
      <c r="AC22" s="79" t="s">
        <v>333</v>
      </c>
      <c r="AD22" s="79" t="s">
        <v>7546</v>
      </c>
      <c r="AE22" s="6" t="s">
        <v>334</v>
      </c>
      <c r="AF22" s="6" t="s">
        <v>121</v>
      </c>
      <c r="AG22" s="6" t="s">
        <v>178</v>
      </c>
      <c r="AH22" s="6" t="s">
        <v>123</v>
      </c>
      <c r="AI22" s="6" t="s">
        <v>335</v>
      </c>
      <c r="AJ22" s="6" t="s">
        <v>336</v>
      </c>
      <c r="AK22" s="33" t="s">
        <v>97</v>
      </c>
      <c r="AL22" s="33" t="s">
        <v>97</v>
      </c>
      <c r="AM22" s="5"/>
      <c r="AN22" s="98"/>
      <c r="AO22" s="5" t="s">
        <v>337</v>
      </c>
      <c r="AP22" s="5" t="s">
        <v>338</v>
      </c>
      <c r="AQ22" s="49" t="s">
        <v>143</v>
      </c>
      <c r="AR22" s="20" t="s">
        <v>95</v>
      </c>
      <c r="AS22" s="20" t="s">
        <v>185</v>
      </c>
      <c r="AT22" s="7" t="s">
        <v>186</v>
      </c>
      <c r="AU22" s="24">
        <v>0.5</v>
      </c>
      <c r="AV22" s="24">
        <f t="shared" si="2"/>
        <v>0.4</v>
      </c>
      <c r="AW22" s="24">
        <f t="shared" si="3"/>
        <v>0.3</v>
      </c>
      <c r="AX22" s="25">
        <v>1E-4</v>
      </c>
      <c r="AY22" s="24">
        <v>0</v>
      </c>
      <c r="AZ22" s="24">
        <f t="shared" si="4"/>
        <v>0.45</v>
      </c>
      <c r="BA22" s="24">
        <f t="shared" si="5"/>
        <v>0.36000000000000004</v>
      </c>
      <c r="BB22" s="24">
        <f t="shared" si="6"/>
        <v>0.27</v>
      </c>
      <c r="BC22" s="25">
        <v>1E-4</v>
      </c>
      <c r="BD22" s="24">
        <v>0</v>
      </c>
      <c r="BE22" s="34">
        <v>30</v>
      </c>
      <c r="BF22" s="34">
        <f t="shared" si="0"/>
        <v>24</v>
      </c>
      <c r="BG22" s="34">
        <f t="shared" si="1"/>
        <v>18</v>
      </c>
      <c r="BH22" s="26">
        <v>1</v>
      </c>
      <c r="BI22" s="26">
        <v>0</v>
      </c>
      <c r="BJ22" s="27">
        <v>0.157</v>
      </c>
      <c r="BK22" s="27">
        <v>0.37527963795376568</v>
      </c>
      <c r="BL22" s="27" t="s">
        <v>339</v>
      </c>
      <c r="BM22" s="27" t="s">
        <v>340</v>
      </c>
      <c r="BN22" s="26"/>
      <c r="BO22" s="34"/>
      <c r="BP22" s="34"/>
      <c r="BQ22" s="34"/>
      <c r="BR22" s="34"/>
      <c r="BS22" s="34"/>
      <c r="BT22" s="34"/>
      <c r="BU22" s="34"/>
      <c r="BV22" s="34"/>
      <c r="BW22" s="34"/>
      <c r="BX22" s="34"/>
      <c r="BY22" s="34"/>
      <c r="BZ22" s="34">
        <v>1</v>
      </c>
      <c r="CA22" s="20" t="s">
        <v>240</v>
      </c>
      <c r="CB22" s="20" t="s">
        <v>240</v>
      </c>
      <c r="CC22" s="219">
        <v>46097</v>
      </c>
      <c r="CD22" s="32" t="s">
        <v>7559</v>
      </c>
    </row>
    <row r="23" spans="1:82" s="18" customFormat="1" ht="66.75" customHeight="1" x14ac:dyDescent="0.25">
      <c r="A23" s="87">
        <v>19</v>
      </c>
      <c r="B23" s="141" t="s">
        <v>341</v>
      </c>
      <c r="C23" s="6" t="s">
        <v>342</v>
      </c>
      <c r="D23" s="6" t="s">
        <v>7529</v>
      </c>
      <c r="E23" s="75" t="s">
        <v>113</v>
      </c>
      <c r="F23" s="4" t="s">
        <v>81</v>
      </c>
      <c r="G23" s="33" t="s">
        <v>84</v>
      </c>
      <c r="H23" s="49" t="s">
        <v>309</v>
      </c>
      <c r="I23" s="49" t="s">
        <v>309</v>
      </c>
      <c r="J23" s="6"/>
      <c r="K23" s="49"/>
      <c r="L23" s="49"/>
      <c r="M23" s="49" t="s">
        <v>88</v>
      </c>
      <c r="N23" s="49" t="s">
        <v>89</v>
      </c>
      <c r="O23" s="49" t="s">
        <v>116</v>
      </c>
      <c r="P23" s="6" t="s">
        <v>343</v>
      </c>
      <c r="Q23" s="49"/>
      <c r="R23" s="75" t="s">
        <v>175</v>
      </c>
      <c r="S23" s="33" t="s">
        <v>92</v>
      </c>
      <c r="T23" s="33" t="s">
        <v>93</v>
      </c>
      <c r="U23" s="78">
        <v>100</v>
      </c>
      <c r="V23" s="33" t="s">
        <v>94</v>
      </c>
      <c r="W23" s="33" t="s">
        <v>95</v>
      </c>
      <c r="X23" s="33">
        <v>2023</v>
      </c>
      <c r="Y23" s="33" t="s">
        <v>117</v>
      </c>
      <c r="Z23" s="33" t="s">
        <v>95</v>
      </c>
      <c r="AA23" s="33" t="s">
        <v>98</v>
      </c>
      <c r="AB23" s="49" t="s">
        <v>99</v>
      </c>
      <c r="AC23" s="48" t="s">
        <v>344</v>
      </c>
      <c r="AD23" s="79" t="s">
        <v>7547</v>
      </c>
      <c r="AE23" s="6" t="s">
        <v>345</v>
      </c>
      <c r="AF23" s="49" t="s">
        <v>121</v>
      </c>
      <c r="AG23" s="49" t="s">
        <v>178</v>
      </c>
      <c r="AH23" s="49" t="s">
        <v>123</v>
      </c>
      <c r="AI23" s="49" t="s">
        <v>346</v>
      </c>
      <c r="AJ23" s="6" t="s">
        <v>347</v>
      </c>
      <c r="AK23" s="33" t="s">
        <v>97</v>
      </c>
      <c r="AL23" s="33" t="s">
        <v>97</v>
      </c>
      <c r="AM23" s="5" t="s">
        <v>221</v>
      </c>
      <c r="AN23" s="5" t="s">
        <v>348</v>
      </c>
      <c r="AO23" s="5"/>
      <c r="AP23" s="5"/>
      <c r="AQ23" s="49" t="s">
        <v>143</v>
      </c>
      <c r="AR23" s="20" t="s">
        <v>97</v>
      </c>
      <c r="AS23" s="20" t="s">
        <v>107</v>
      </c>
      <c r="AT23" s="20"/>
      <c r="AU23" s="24">
        <v>0.5</v>
      </c>
      <c r="AV23" s="24">
        <f t="shared" si="2"/>
        <v>0.4</v>
      </c>
      <c r="AW23" s="24">
        <f t="shared" si="3"/>
        <v>0.3</v>
      </c>
      <c r="AX23" s="25">
        <v>1E-4</v>
      </c>
      <c r="AY23" s="24">
        <v>0</v>
      </c>
      <c r="AZ23" s="24">
        <f t="shared" si="4"/>
        <v>0.45</v>
      </c>
      <c r="BA23" s="24">
        <f t="shared" si="5"/>
        <v>0.36000000000000004</v>
      </c>
      <c r="BB23" s="24">
        <f t="shared" si="6"/>
        <v>0.27</v>
      </c>
      <c r="BC23" s="25">
        <v>1E-4</v>
      </c>
      <c r="BD23" s="24">
        <v>0</v>
      </c>
      <c r="BE23" s="26">
        <v>0</v>
      </c>
      <c r="BF23" s="34">
        <f t="shared" si="0"/>
        <v>0</v>
      </c>
      <c r="BG23" s="34">
        <f t="shared" si="1"/>
        <v>0</v>
      </c>
      <c r="BH23" s="26">
        <v>0</v>
      </c>
      <c r="BI23" s="26">
        <v>0</v>
      </c>
      <c r="BJ23" s="27">
        <v>0.313</v>
      </c>
      <c r="BK23" s="27">
        <v>0.43469019655339974</v>
      </c>
      <c r="BL23" s="27" t="s">
        <v>349</v>
      </c>
      <c r="BM23" s="27" t="s">
        <v>350</v>
      </c>
      <c r="BN23" s="26"/>
      <c r="BO23" s="34"/>
      <c r="BP23" s="34"/>
      <c r="BQ23" s="34"/>
      <c r="BR23" s="34"/>
      <c r="BS23" s="34"/>
      <c r="BT23" s="34"/>
      <c r="BU23" s="34"/>
      <c r="BV23" s="34"/>
      <c r="BW23" s="34"/>
      <c r="BX23" s="34"/>
      <c r="BY23" s="34"/>
      <c r="BZ23" s="34"/>
      <c r="CA23" s="20"/>
      <c r="CB23" s="20"/>
      <c r="CC23" s="219">
        <v>46097</v>
      </c>
      <c r="CD23" s="36" t="s">
        <v>7560</v>
      </c>
    </row>
    <row r="24" spans="1:82" s="18" customFormat="1" ht="66.75" customHeight="1" x14ac:dyDescent="0.25">
      <c r="A24" s="87">
        <v>20</v>
      </c>
      <c r="B24" s="141" t="s">
        <v>351</v>
      </c>
      <c r="C24" s="6" t="s">
        <v>352</v>
      </c>
      <c r="D24" s="6" t="s">
        <v>7176</v>
      </c>
      <c r="E24" s="75" t="s">
        <v>113</v>
      </c>
      <c r="F24" s="4" t="s">
        <v>81</v>
      </c>
      <c r="G24" s="33" t="s">
        <v>84</v>
      </c>
      <c r="H24" s="49" t="s">
        <v>309</v>
      </c>
      <c r="I24" s="49" t="s">
        <v>309</v>
      </c>
      <c r="J24" s="6"/>
      <c r="K24" s="49"/>
      <c r="L24" s="49"/>
      <c r="M24" s="49" t="s">
        <v>88</v>
      </c>
      <c r="N24" s="49" t="s">
        <v>89</v>
      </c>
      <c r="O24" s="49" t="s">
        <v>116</v>
      </c>
      <c r="P24" s="6" t="s">
        <v>353</v>
      </c>
      <c r="Q24" s="49"/>
      <c r="R24" s="75" t="s">
        <v>175</v>
      </c>
      <c r="S24" s="33" t="s">
        <v>92</v>
      </c>
      <c r="T24" s="33" t="s">
        <v>93</v>
      </c>
      <c r="U24" s="78">
        <v>100</v>
      </c>
      <c r="V24" s="33" t="s">
        <v>94</v>
      </c>
      <c r="W24" s="33" t="s">
        <v>95</v>
      </c>
      <c r="X24" s="33">
        <v>2023</v>
      </c>
      <c r="Y24" s="33" t="s">
        <v>117</v>
      </c>
      <c r="Z24" s="33" t="s">
        <v>95</v>
      </c>
      <c r="AA24" s="33" t="s">
        <v>98</v>
      </c>
      <c r="AB24" s="49" t="s">
        <v>99</v>
      </c>
      <c r="AC24" s="48" t="s">
        <v>354</v>
      </c>
      <c r="AD24" s="79" t="s">
        <v>7548</v>
      </c>
      <c r="AE24" s="49" t="s">
        <v>355</v>
      </c>
      <c r="AF24" s="49" t="s">
        <v>121</v>
      </c>
      <c r="AG24" s="49" t="s">
        <v>178</v>
      </c>
      <c r="AH24" s="49" t="s">
        <v>123</v>
      </c>
      <c r="AI24" s="49" t="s">
        <v>356</v>
      </c>
      <c r="AJ24" s="6" t="s">
        <v>357</v>
      </c>
      <c r="AK24" s="33" t="s">
        <v>97</v>
      </c>
      <c r="AL24" s="33" t="s">
        <v>97</v>
      </c>
      <c r="AM24" s="5" t="s">
        <v>221</v>
      </c>
      <c r="AN24" s="5" t="s">
        <v>348</v>
      </c>
      <c r="AO24" s="5"/>
      <c r="AP24" s="5"/>
      <c r="AQ24" s="49" t="s">
        <v>143</v>
      </c>
      <c r="AR24" s="20" t="s">
        <v>97</v>
      </c>
      <c r="AS24" s="20" t="s">
        <v>107</v>
      </c>
      <c r="AT24" s="20"/>
      <c r="AU24" s="24">
        <v>0.5</v>
      </c>
      <c r="AV24" s="24">
        <f t="shared" si="2"/>
        <v>0.4</v>
      </c>
      <c r="AW24" s="24">
        <f t="shared" si="3"/>
        <v>0.3</v>
      </c>
      <c r="AX24" s="25">
        <v>1E-4</v>
      </c>
      <c r="AY24" s="24">
        <v>0</v>
      </c>
      <c r="AZ24" s="24">
        <f t="shared" si="4"/>
        <v>0.45</v>
      </c>
      <c r="BA24" s="24">
        <f t="shared" si="5"/>
        <v>0.36000000000000004</v>
      </c>
      <c r="BB24" s="24">
        <f t="shared" si="6"/>
        <v>0.27</v>
      </c>
      <c r="BC24" s="25">
        <v>1E-4</v>
      </c>
      <c r="BD24" s="24">
        <v>0</v>
      </c>
      <c r="BE24" s="26">
        <v>0</v>
      </c>
      <c r="BF24" s="34">
        <f t="shared" si="0"/>
        <v>0</v>
      </c>
      <c r="BG24" s="34">
        <f t="shared" si="1"/>
        <v>0</v>
      </c>
      <c r="BH24" s="26">
        <v>0</v>
      </c>
      <c r="BI24" s="26">
        <v>0</v>
      </c>
      <c r="BJ24" s="27">
        <v>0.20300000000000001</v>
      </c>
      <c r="BK24" s="27">
        <v>0.35558783726836324</v>
      </c>
      <c r="BL24" s="27" t="s">
        <v>358</v>
      </c>
      <c r="BM24" s="27" t="s">
        <v>359</v>
      </c>
      <c r="BN24" s="26"/>
      <c r="BO24" s="34"/>
      <c r="BP24" s="34"/>
      <c r="BQ24" s="34"/>
      <c r="BR24" s="34"/>
      <c r="BS24" s="34"/>
      <c r="BT24" s="34"/>
      <c r="BU24" s="34"/>
      <c r="BV24" s="34"/>
      <c r="BW24" s="34"/>
      <c r="BX24" s="34"/>
      <c r="BY24" s="34"/>
      <c r="BZ24" s="34"/>
      <c r="CA24" s="20"/>
      <c r="CB24" s="20"/>
      <c r="CC24" s="219">
        <v>46097</v>
      </c>
      <c r="CD24" s="11" t="s">
        <v>7561</v>
      </c>
    </row>
    <row r="25" spans="1:82" s="18" customFormat="1" ht="66.75" customHeight="1" x14ac:dyDescent="0.25">
      <c r="A25" s="121">
        <v>21</v>
      </c>
      <c r="B25" s="141" t="s">
        <v>361</v>
      </c>
      <c r="C25" s="6" t="s">
        <v>362</v>
      </c>
      <c r="D25" s="6" t="s">
        <v>363</v>
      </c>
      <c r="E25" s="75" t="s">
        <v>113</v>
      </c>
      <c r="F25" s="4" t="s">
        <v>81</v>
      </c>
      <c r="G25" s="33">
        <v>159</v>
      </c>
      <c r="H25" s="49" t="s">
        <v>364</v>
      </c>
      <c r="I25" s="49" t="s">
        <v>364</v>
      </c>
      <c r="J25" s="6"/>
      <c r="K25" s="49"/>
      <c r="L25" s="49"/>
      <c r="M25" s="49" t="s">
        <v>136</v>
      </c>
      <c r="N25" s="49" t="s">
        <v>89</v>
      </c>
      <c r="O25" s="49" t="s">
        <v>116</v>
      </c>
      <c r="P25" s="6" t="s">
        <v>115</v>
      </c>
      <c r="Q25" s="49"/>
      <c r="R25" s="75" t="s">
        <v>91</v>
      </c>
      <c r="S25" s="33" t="s">
        <v>92</v>
      </c>
      <c r="T25" s="33" t="s">
        <v>93</v>
      </c>
      <c r="U25" s="78">
        <v>100</v>
      </c>
      <c r="V25" s="33" t="s">
        <v>94</v>
      </c>
      <c r="W25" s="33" t="s">
        <v>95</v>
      </c>
      <c r="X25" s="33">
        <v>2021</v>
      </c>
      <c r="Y25" s="33" t="s">
        <v>117</v>
      </c>
      <c r="Z25" s="33" t="s">
        <v>95</v>
      </c>
      <c r="AA25" s="33" t="s">
        <v>98</v>
      </c>
      <c r="AB25" s="49" t="s">
        <v>99</v>
      </c>
      <c r="AC25" s="48" t="s">
        <v>365</v>
      </c>
      <c r="AD25" s="79" t="s">
        <v>366</v>
      </c>
      <c r="AE25" s="6" t="s">
        <v>367</v>
      </c>
      <c r="AF25" s="49" t="s">
        <v>121</v>
      </c>
      <c r="AG25" s="49" t="s">
        <v>122</v>
      </c>
      <c r="AH25" s="49" t="s">
        <v>123</v>
      </c>
      <c r="AI25" s="49" t="s">
        <v>368</v>
      </c>
      <c r="AJ25" s="49" t="s">
        <v>369</v>
      </c>
      <c r="AK25" s="33" t="s">
        <v>97</v>
      </c>
      <c r="AL25" s="33" t="s">
        <v>97</v>
      </c>
      <c r="AM25" s="5" t="s">
        <v>221</v>
      </c>
      <c r="AN25" s="5"/>
      <c r="AO25" s="5"/>
      <c r="AP25" s="5" t="s">
        <v>370</v>
      </c>
      <c r="AQ25" s="49" t="s">
        <v>143</v>
      </c>
      <c r="AR25" s="20" t="s">
        <v>97</v>
      </c>
      <c r="AS25" s="20" t="s">
        <v>107</v>
      </c>
      <c r="AT25" s="20"/>
      <c r="AU25" s="24">
        <v>0.7</v>
      </c>
      <c r="AV25" s="24">
        <f t="shared" si="2"/>
        <v>0.55999999999999994</v>
      </c>
      <c r="AW25" s="24">
        <f t="shared" si="3"/>
        <v>0.42</v>
      </c>
      <c r="AX25" s="25">
        <v>1E-4</v>
      </c>
      <c r="AY25" s="24">
        <v>0</v>
      </c>
      <c r="AZ25" s="24">
        <f t="shared" si="4"/>
        <v>0.63</v>
      </c>
      <c r="BA25" s="24">
        <f t="shared" si="5"/>
        <v>0.504</v>
      </c>
      <c r="BB25" s="24">
        <f t="shared" si="6"/>
        <v>0.378</v>
      </c>
      <c r="BC25" s="25">
        <v>1E-4</v>
      </c>
      <c r="BD25" s="24">
        <v>0</v>
      </c>
      <c r="BE25" s="26">
        <v>0</v>
      </c>
      <c r="BF25" s="34">
        <f t="shared" si="0"/>
        <v>0</v>
      </c>
      <c r="BG25" s="34">
        <f t="shared" si="1"/>
        <v>0</v>
      </c>
      <c r="BH25" s="26">
        <v>0</v>
      </c>
      <c r="BI25" s="26">
        <v>0</v>
      </c>
      <c r="BJ25" s="27">
        <v>0.60599999999999998</v>
      </c>
      <c r="BK25" s="27">
        <v>0.30017017984915878</v>
      </c>
      <c r="BL25" s="27" t="s">
        <v>371</v>
      </c>
      <c r="BM25" s="27" t="s">
        <v>372</v>
      </c>
      <c r="BN25" s="26"/>
      <c r="BO25" s="34">
        <v>1</v>
      </c>
      <c r="BP25" s="34"/>
      <c r="BQ25" s="34"/>
      <c r="BR25" s="34"/>
      <c r="BS25" s="34"/>
      <c r="BT25" s="34"/>
      <c r="BU25" s="34"/>
      <c r="BV25" s="34"/>
      <c r="BW25" s="34"/>
      <c r="BX25" s="34"/>
      <c r="BY25" s="34"/>
      <c r="BZ25" s="34"/>
      <c r="CA25" s="20"/>
      <c r="CB25" s="20"/>
      <c r="CC25" s="29">
        <v>46003</v>
      </c>
      <c r="CD25" s="30" t="s">
        <v>373</v>
      </c>
    </row>
    <row r="26" spans="1:82" s="18" customFormat="1" ht="66.75" customHeight="1" x14ac:dyDescent="0.25">
      <c r="A26" s="87">
        <v>22</v>
      </c>
      <c r="B26" s="141" t="s">
        <v>374</v>
      </c>
      <c r="C26" s="6" t="s">
        <v>375</v>
      </c>
      <c r="D26" s="6" t="s">
        <v>376</v>
      </c>
      <c r="E26" s="75" t="s">
        <v>113</v>
      </c>
      <c r="F26" s="4" t="s">
        <v>81</v>
      </c>
      <c r="G26" s="33" t="s">
        <v>84</v>
      </c>
      <c r="H26" s="49" t="s">
        <v>364</v>
      </c>
      <c r="I26" s="49" t="s">
        <v>364</v>
      </c>
      <c r="J26" s="6"/>
      <c r="K26" s="49"/>
      <c r="L26" s="49"/>
      <c r="M26" s="49" t="s">
        <v>88</v>
      </c>
      <c r="N26" s="49" t="s">
        <v>89</v>
      </c>
      <c r="O26" s="49" t="s">
        <v>116</v>
      </c>
      <c r="P26" s="6" t="s">
        <v>115</v>
      </c>
      <c r="Q26" s="49"/>
      <c r="R26" s="75" t="s">
        <v>91</v>
      </c>
      <c r="S26" s="33" t="s">
        <v>92</v>
      </c>
      <c r="T26" s="33" t="s">
        <v>93</v>
      </c>
      <c r="U26" s="78">
        <v>100</v>
      </c>
      <c r="V26" s="33" t="s">
        <v>94</v>
      </c>
      <c r="W26" s="33" t="s">
        <v>95</v>
      </c>
      <c r="X26" s="33">
        <v>2021</v>
      </c>
      <c r="Y26" s="33" t="s">
        <v>117</v>
      </c>
      <c r="Z26" s="33" t="s">
        <v>95</v>
      </c>
      <c r="AA26" s="33" t="s">
        <v>98</v>
      </c>
      <c r="AB26" s="49" t="s">
        <v>99</v>
      </c>
      <c r="AC26" s="48" t="s">
        <v>377</v>
      </c>
      <c r="AD26" s="79" t="s">
        <v>378</v>
      </c>
      <c r="AE26" s="6" t="s">
        <v>379</v>
      </c>
      <c r="AF26" s="49" t="s">
        <v>121</v>
      </c>
      <c r="AG26" s="49" t="s">
        <v>122</v>
      </c>
      <c r="AH26" s="49" t="s">
        <v>123</v>
      </c>
      <c r="AI26" s="49" t="s">
        <v>380</v>
      </c>
      <c r="AJ26" s="6" t="s">
        <v>381</v>
      </c>
      <c r="AK26" s="33" t="s">
        <v>97</v>
      </c>
      <c r="AL26" s="33" t="s">
        <v>97</v>
      </c>
      <c r="AM26" s="5" t="s">
        <v>221</v>
      </c>
      <c r="AN26" s="5"/>
      <c r="AO26" s="5"/>
      <c r="AP26" s="5" t="s">
        <v>382</v>
      </c>
      <c r="AQ26" s="49" t="s">
        <v>143</v>
      </c>
      <c r="AR26" s="20" t="s">
        <v>97</v>
      </c>
      <c r="AS26" s="20" t="s">
        <v>107</v>
      </c>
      <c r="AT26" s="20"/>
      <c r="AU26" s="24">
        <v>0.5</v>
      </c>
      <c r="AV26" s="24">
        <f t="shared" si="2"/>
        <v>0.4</v>
      </c>
      <c r="AW26" s="24">
        <f t="shared" si="3"/>
        <v>0.3</v>
      </c>
      <c r="AX26" s="25">
        <v>1E-4</v>
      </c>
      <c r="AY26" s="24">
        <v>0</v>
      </c>
      <c r="AZ26" s="24">
        <f t="shared" si="4"/>
        <v>0.45</v>
      </c>
      <c r="BA26" s="24">
        <f t="shared" si="5"/>
        <v>0.36000000000000004</v>
      </c>
      <c r="BB26" s="24">
        <f t="shared" si="6"/>
        <v>0.27</v>
      </c>
      <c r="BC26" s="25">
        <v>1E-4</v>
      </c>
      <c r="BD26" s="24">
        <v>0</v>
      </c>
      <c r="BE26" s="26">
        <v>0</v>
      </c>
      <c r="BF26" s="34">
        <f t="shared" si="0"/>
        <v>0</v>
      </c>
      <c r="BG26" s="34">
        <f t="shared" si="1"/>
        <v>0</v>
      </c>
      <c r="BH26" s="26">
        <v>0</v>
      </c>
      <c r="BI26" s="26">
        <v>0</v>
      </c>
      <c r="BJ26" s="27">
        <v>0.33900000000000002</v>
      </c>
      <c r="BK26" s="27">
        <v>0.23283657517423076</v>
      </c>
      <c r="BL26" s="27" t="s">
        <v>383</v>
      </c>
      <c r="BM26" s="27" t="s">
        <v>384</v>
      </c>
      <c r="BN26" s="26"/>
      <c r="BO26" s="34"/>
      <c r="BP26" s="34"/>
      <c r="BQ26" s="34"/>
      <c r="BR26" s="34"/>
      <c r="BS26" s="34"/>
      <c r="BT26" s="34"/>
      <c r="BU26" s="34"/>
      <c r="BV26" s="34"/>
      <c r="BW26" s="34"/>
      <c r="BX26" s="34"/>
      <c r="BY26" s="34"/>
      <c r="BZ26" s="34"/>
      <c r="CA26" s="20"/>
      <c r="CB26" s="20"/>
      <c r="CC26" s="29">
        <v>46003</v>
      </c>
      <c r="CD26" s="30" t="s">
        <v>373</v>
      </c>
    </row>
    <row r="27" spans="1:82" s="18" customFormat="1" ht="66.75" customHeight="1" x14ac:dyDescent="0.25">
      <c r="A27" s="87">
        <v>23</v>
      </c>
      <c r="B27" s="141" t="s">
        <v>385</v>
      </c>
      <c r="C27" s="6" t="s">
        <v>386</v>
      </c>
      <c r="D27" s="6" t="s">
        <v>387</v>
      </c>
      <c r="E27" s="75" t="s">
        <v>174</v>
      </c>
      <c r="F27" s="4" t="s">
        <v>81</v>
      </c>
      <c r="G27" s="33" t="s">
        <v>84</v>
      </c>
      <c r="H27" s="49" t="s">
        <v>364</v>
      </c>
      <c r="I27" s="49" t="s">
        <v>364</v>
      </c>
      <c r="J27" s="6"/>
      <c r="K27" s="49"/>
      <c r="L27" s="49"/>
      <c r="M27" s="49" t="s">
        <v>88</v>
      </c>
      <c r="N27" s="49" t="s">
        <v>89</v>
      </c>
      <c r="O27" s="49" t="s">
        <v>116</v>
      </c>
      <c r="P27" s="6" t="s">
        <v>115</v>
      </c>
      <c r="Q27" s="49"/>
      <c r="R27" s="75" t="s">
        <v>175</v>
      </c>
      <c r="S27" s="33" t="s">
        <v>92</v>
      </c>
      <c r="T27" s="33" t="s">
        <v>93</v>
      </c>
      <c r="U27" s="78">
        <v>100</v>
      </c>
      <c r="V27" s="33" t="s">
        <v>94</v>
      </c>
      <c r="W27" s="33" t="s">
        <v>95</v>
      </c>
      <c r="X27" s="33">
        <v>2021</v>
      </c>
      <c r="Y27" s="33" t="s">
        <v>117</v>
      </c>
      <c r="Z27" s="33" t="s">
        <v>95</v>
      </c>
      <c r="AA27" s="33" t="s">
        <v>98</v>
      </c>
      <c r="AB27" s="49" t="s">
        <v>99</v>
      </c>
      <c r="AC27" s="48" t="s">
        <v>388</v>
      </c>
      <c r="AD27" s="79" t="s">
        <v>7549</v>
      </c>
      <c r="AE27" s="6" t="s">
        <v>389</v>
      </c>
      <c r="AF27" s="6" t="s">
        <v>121</v>
      </c>
      <c r="AG27" s="6" t="s">
        <v>178</v>
      </c>
      <c r="AH27" s="6" t="s">
        <v>123</v>
      </c>
      <c r="AI27" s="6" t="s">
        <v>390</v>
      </c>
      <c r="AJ27" s="6" t="s">
        <v>391</v>
      </c>
      <c r="AK27" s="33" t="s">
        <v>97</v>
      </c>
      <c r="AL27" s="33" t="s">
        <v>97</v>
      </c>
      <c r="AM27" s="5"/>
      <c r="AN27" s="5" t="s">
        <v>392</v>
      </c>
      <c r="AO27" s="5" t="s">
        <v>393</v>
      </c>
      <c r="AP27" s="5" t="s">
        <v>394</v>
      </c>
      <c r="AQ27" s="6" t="s">
        <v>143</v>
      </c>
      <c r="AR27" s="20" t="s">
        <v>95</v>
      </c>
      <c r="AS27" s="20" t="s">
        <v>185</v>
      </c>
      <c r="AT27" s="7" t="s">
        <v>186</v>
      </c>
      <c r="AU27" s="24">
        <v>0.5</v>
      </c>
      <c r="AV27" s="24">
        <f t="shared" si="2"/>
        <v>0.4</v>
      </c>
      <c r="AW27" s="24">
        <f t="shared" si="3"/>
        <v>0.3</v>
      </c>
      <c r="AX27" s="25">
        <v>1E-4</v>
      </c>
      <c r="AY27" s="24">
        <v>0</v>
      </c>
      <c r="AZ27" s="24">
        <f t="shared" si="4"/>
        <v>0.45</v>
      </c>
      <c r="BA27" s="24">
        <f t="shared" si="5"/>
        <v>0.36000000000000004</v>
      </c>
      <c r="BB27" s="24">
        <f t="shared" si="6"/>
        <v>0.27</v>
      </c>
      <c r="BC27" s="25">
        <v>1E-4</v>
      </c>
      <c r="BD27" s="24">
        <v>0</v>
      </c>
      <c r="BE27" s="26">
        <v>30</v>
      </c>
      <c r="BF27" s="34">
        <f t="shared" si="0"/>
        <v>24</v>
      </c>
      <c r="BG27" s="34">
        <f t="shared" si="1"/>
        <v>18</v>
      </c>
      <c r="BH27" s="26">
        <v>1</v>
      </c>
      <c r="BI27" s="26">
        <v>0</v>
      </c>
      <c r="BJ27" s="27">
        <v>0.223</v>
      </c>
      <c r="BK27" s="27">
        <v>0.34057026770236953</v>
      </c>
      <c r="BL27" s="27" t="s">
        <v>395</v>
      </c>
      <c r="BM27" s="27" t="s">
        <v>396</v>
      </c>
      <c r="BN27" s="26"/>
      <c r="BO27" s="34"/>
      <c r="BP27" s="34"/>
      <c r="BQ27" s="34"/>
      <c r="BR27" s="34"/>
      <c r="BS27" s="34"/>
      <c r="BT27" s="34"/>
      <c r="BU27" s="34"/>
      <c r="BV27" s="34"/>
      <c r="BW27" s="34"/>
      <c r="BX27" s="34"/>
      <c r="BY27" s="34"/>
      <c r="BZ27" s="34">
        <v>1</v>
      </c>
      <c r="CA27" s="20" t="s">
        <v>240</v>
      </c>
      <c r="CB27" s="20" t="s">
        <v>240</v>
      </c>
      <c r="CC27" s="219">
        <v>46097</v>
      </c>
      <c r="CD27" s="32" t="s">
        <v>7562</v>
      </c>
    </row>
    <row r="28" spans="1:82" s="18" customFormat="1" ht="66.75" customHeight="1" x14ac:dyDescent="0.25">
      <c r="A28" s="121">
        <v>24</v>
      </c>
      <c r="B28" s="141" t="s">
        <v>397</v>
      </c>
      <c r="C28" s="6" t="s">
        <v>398</v>
      </c>
      <c r="D28" s="6" t="s">
        <v>399</v>
      </c>
      <c r="E28" s="75" t="s">
        <v>113</v>
      </c>
      <c r="F28" s="4" t="s">
        <v>81</v>
      </c>
      <c r="G28" s="33" t="s">
        <v>84</v>
      </c>
      <c r="H28" s="49" t="s">
        <v>364</v>
      </c>
      <c r="I28" s="49" t="s">
        <v>364</v>
      </c>
      <c r="J28" s="6"/>
      <c r="K28" s="49"/>
      <c r="L28" s="49"/>
      <c r="M28" s="49" t="s">
        <v>88</v>
      </c>
      <c r="N28" s="49" t="s">
        <v>89</v>
      </c>
      <c r="O28" s="49" t="s">
        <v>116</v>
      </c>
      <c r="P28" s="6" t="s">
        <v>400</v>
      </c>
      <c r="Q28" s="49"/>
      <c r="R28" s="75" t="s">
        <v>175</v>
      </c>
      <c r="S28" s="33" t="s">
        <v>92</v>
      </c>
      <c r="T28" s="33" t="s">
        <v>93</v>
      </c>
      <c r="U28" s="78">
        <v>100</v>
      </c>
      <c r="V28" s="33" t="s">
        <v>94</v>
      </c>
      <c r="W28" s="33" t="s">
        <v>95</v>
      </c>
      <c r="X28" s="33">
        <v>2023</v>
      </c>
      <c r="Y28" s="33" t="s">
        <v>117</v>
      </c>
      <c r="Z28" s="33" t="s">
        <v>95</v>
      </c>
      <c r="AA28" s="33" t="s">
        <v>98</v>
      </c>
      <c r="AB28" s="49" t="s">
        <v>99</v>
      </c>
      <c r="AC28" s="48" t="s">
        <v>401</v>
      </c>
      <c r="AD28" s="79" t="s">
        <v>7550</v>
      </c>
      <c r="AE28" s="6" t="s">
        <v>402</v>
      </c>
      <c r="AF28" s="49" t="s">
        <v>121</v>
      </c>
      <c r="AG28" s="49" t="s">
        <v>178</v>
      </c>
      <c r="AH28" s="49" t="s">
        <v>123</v>
      </c>
      <c r="AI28" s="49" t="s">
        <v>403</v>
      </c>
      <c r="AJ28" s="6" t="s">
        <v>404</v>
      </c>
      <c r="AK28" s="33" t="s">
        <v>97</v>
      </c>
      <c r="AL28" s="33" t="s">
        <v>97</v>
      </c>
      <c r="AM28" s="5" t="s">
        <v>221</v>
      </c>
      <c r="AN28" s="5" t="s">
        <v>392</v>
      </c>
      <c r="AO28" s="5" t="s">
        <v>405</v>
      </c>
      <c r="AP28" s="5" t="s">
        <v>406</v>
      </c>
      <c r="AQ28" s="49" t="s">
        <v>364</v>
      </c>
      <c r="AR28" s="20" t="s">
        <v>97</v>
      </c>
      <c r="AS28" s="20" t="s">
        <v>107</v>
      </c>
      <c r="AT28" s="20"/>
      <c r="AU28" s="24">
        <v>0.45</v>
      </c>
      <c r="AV28" s="24">
        <f t="shared" si="2"/>
        <v>0.36000000000000004</v>
      </c>
      <c r="AW28" s="24">
        <f t="shared" si="3"/>
        <v>0.27</v>
      </c>
      <c r="AX28" s="25">
        <v>1E-4</v>
      </c>
      <c r="AY28" s="24">
        <v>0</v>
      </c>
      <c r="AZ28" s="24">
        <f t="shared" si="4"/>
        <v>0.40500000000000003</v>
      </c>
      <c r="BA28" s="24">
        <f t="shared" si="5"/>
        <v>0.32400000000000007</v>
      </c>
      <c r="BB28" s="24">
        <f t="shared" si="6"/>
        <v>0.24299999999999999</v>
      </c>
      <c r="BC28" s="25">
        <v>1E-4</v>
      </c>
      <c r="BD28" s="24">
        <v>0</v>
      </c>
      <c r="BE28" s="26">
        <v>0</v>
      </c>
      <c r="BF28" s="34">
        <f t="shared" si="0"/>
        <v>0</v>
      </c>
      <c r="BG28" s="34">
        <f t="shared" si="1"/>
        <v>0</v>
      </c>
      <c r="BH28" s="26">
        <v>0</v>
      </c>
      <c r="BI28" s="26">
        <v>0</v>
      </c>
      <c r="BJ28" s="27">
        <v>0.33700000000000002</v>
      </c>
      <c r="BK28" s="27">
        <v>0.41411060939143041</v>
      </c>
      <c r="BL28" s="27" t="s">
        <v>407</v>
      </c>
      <c r="BM28" s="27" t="s">
        <v>408</v>
      </c>
      <c r="BN28" s="26"/>
      <c r="BO28" s="34"/>
      <c r="BP28" s="34"/>
      <c r="BQ28" s="34"/>
      <c r="BR28" s="34"/>
      <c r="BS28" s="34"/>
      <c r="BT28" s="34"/>
      <c r="BU28" s="34"/>
      <c r="BV28" s="34"/>
      <c r="BW28" s="34"/>
      <c r="BX28" s="34"/>
      <c r="BY28" s="34"/>
      <c r="BZ28" s="34"/>
      <c r="CA28" s="20"/>
      <c r="CB28" s="20"/>
      <c r="CC28" s="219">
        <v>46097</v>
      </c>
      <c r="CD28" s="32" t="s">
        <v>7563</v>
      </c>
    </row>
    <row r="29" spans="1:82" s="18" customFormat="1" ht="66.75" customHeight="1" x14ac:dyDescent="0.25">
      <c r="A29" s="87">
        <v>25</v>
      </c>
      <c r="B29" s="141" t="s">
        <v>409</v>
      </c>
      <c r="C29" s="6" t="s">
        <v>410</v>
      </c>
      <c r="D29" s="6" t="s">
        <v>411</v>
      </c>
      <c r="E29" s="75" t="s">
        <v>113</v>
      </c>
      <c r="F29" s="4" t="s">
        <v>81</v>
      </c>
      <c r="G29" s="33" t="s">
        <v>84</v>
      </c>
      <c r="H29" s="49" t="s">
        <v>364</v>
      </c>
      <c r="I29" s="49" t="s">
        <v>364</v>
      </c>
      <c r="J29" s="6"/>
      <c r="K29" s="49"/>
      <c r="L29" s="49"/>
      <c r="M29" s="49" t="s">
        <v>88</v>
      </c>
      <c r="N29" s="49" t="s">
        <v>89</v>
      </c>
      <c r="O29" s="49" t="s">
        <v>116</v>
      </c>
      <c r="P29" s="6" t="s">
        <v>353</v>
      </c>
      <c r="Q29" s="49"/>
      <c r="R29" s="75" t="s">
        <v>175</v>
      </c>
      <c r="S29" s="33" t="s">
        <v>92</v>
      </c>
      <c r="T29" s="33" t="s">
        <v>93</v>
      </c>
      <c r="U29" s="78">
        <v>100</v>
      </c>
      <c r="V29" s="33" t="s">
        <v>94</v>
      </c>
      <c r="W29" s="33" t="s">
        <v>95</v>
      </c>
      <c r="X29" s="33">
        <v>2023</v>
      </c>
      <c r="Y29" s="33" t="s">
        <v>117</v>
      </c>
      <c r="Z29" s="33" t="s">
        <v>95</v>
      </c>
      <c r="AA29" s="33" t="s">
        <v>98</v>
      </c>
      <c r="AB29" s="49" t="s">
        <v>99</v>
      </c>
      <c r="AC29" s="48" t="s">
        <v>412</v>
      </c>
      <c r="AD29" s="79" t="s">
        <v>7551</v>
      </c>
      <c r="AE29" s="6" t="s">
        <v>413</v>
      </c>
      <c r="AF29" s="49" t="s">
        <v>121</v>
      </c>
      <c r="AG29" s="49" t="s">
        <v>178</v>
      </c>
      <c r="AH29" s="49" t="s">
        <v>123</v>
      </c>
      <c r="AI29" s="49" t="s">
        <v>414</v>
      </c>
      <c r="AJ29" s="6" t="s">
        <v>415</v>
      </c>
      <c r="AK29" s="33" t="s">
        <v>97</v>
      </c>
      <c r="AL29" s="33" t="s">
        <v>97</v>
      </c>
      <c r="AM29" s="5" t="s">
        <v>221</v>
      </c>
      <c r="AN29" s="5" t="s">
        <v>392</v>
      </c>
      <c r="AO29" s="5" t="s">
        <v>416</v>
      </c>
      <c r="AP29" s="5" t="s">
        <v>417</v>
      </c>
      <c r="AQ29" s="49" t="s">
        <v>364</v>
      </c>
      <c r="AR29" s="20" t="s">
        <v>97</v>
      </c>
      <c r="AS29" s="20" t="s">
        <v>107</v>
      </c>
      <c r="AT29" s="20"/>
      <c r="AU29" s="24">
        <v>0.4</v>
      </c>
      <c r="AV29" s="24">
        <f t="shared" si="2"/>
        <v>0.32000000000000006</v>
      </c>
      <c r="AW29" s="24">
        <f t="shared" si="3"/>
        <v>0.24</v>
      </c>
      <c r="AX29" s="25">
        <v>1E-4</v>
      </c>
      <c r="AY29" s="24">
        <v>0</v>
      </c>
      <c r="AZ29" s="24">
        <f t="shared" si="4"/>
        <v>0.36000000000000004</v>
      </c>
      <c r="BA29" s="24">
        <f t="shared" si="5"/>
        <v>0.28800000000000003</v>
      </c>
      <c r="BB29" s="24">
        <f t="shared" si="6"/>
        <v>0.21600000000000003</v>
      </c>
      <c r="BC29" s="25">
        <v>1E-4</v>
      </c>
      <c r="BD29" s="24">
        <v>0</v>
      </c>
      <c r="BE29" s="26">
        <v>0</v>
      </c>
      <c r="BF29" s="34">
        <f t="shared" si="0"/>
        <v>0</v>
      </c>
      <c r="BG29" s="34">
        <f t="shared" si="1"/>
        <v>0</v>
      </c>
      <c r="BH29" s="26">
        <v>0</v>
      </c>
      <c r="BI29" s="26">
        <v>0</v>
      </c>
      <c r="BJ29" s="27">
        <v>0.24299999999999999</v>
      </c>
      <c r="BK29" s="27">
        <v>0.31733617344528148</v>
      </c>
      <c r="BL29" s="27" t="s">
        <v>418</v>
      </c>
      <c r="BM29" s="27" t="s">
        <v>419</v>
      </c>
      <c r="BN29" s="26"/>
      <c r="BO29" s="34"/>
      <c r="BP29" s="34"/>
      <c r="BQ29" s="34"/>
      <c r="BR29" s="34"/>
      <c r="BS29" s="34"/>
      <c r="BT29" s="34"/>
      <c r="BU29" s="34"/>
      <c r="BV29" s="34"/>
      <c r="BW29" s="34"/>
      <c r="BX29" s="34"/>
      <c r="BY29" s="34"/>
      <c r="BZ29" s="34"/>
      <c r="CA29" s="20"/>
      <c r="CB29" s="20"/>
      <c r="CC29" s="219">
        <v>46097</v>
      </c>
      <c r="CD29" s="32" t="s">
        <v>7564</v>
      </c>
    </row>
    <row r="30" spans="1:82" s="18" customFormat="1" ht="66.75" customHeight="1" x14ac:dyDescent="0.25">
      <c r="A30" s="87">
        <v>26</v>
      </c>
      <c r="B30" s="141" t="s">
        <v>420</v>
      </c>
      <c r="C30" s="6" t="s">
        <v>421</v>
      </c>
      <c r="D30" s="6" t="s">
        <v>422</v>
      </c>
      <c r="E30" s="75" t="s">
        <v>174</v>
      </c>
      <c r="F30" s="4" t="s">
        <v>81</v>
      </c>
      <c r="G30" s="33" t="s">
        <v>84</v>
      </c>
      <c r="H30" s="49" t="s">
        <v>423</v>
      </c>
      <c r="I30" s="49" t="s">
        <v>423</v>
      </c>
      <c r="J30" s="6"/>
      <c r="K30" s="49"/>
      <c r="L30" s="49"/>
      <c r="M30" s="49" t="s">
        <v>88</v>
      </c>
      <c r="N30" s="49" t="s">
        <v>89</v>
      </c>
      <c r="O30" s="49" t="s">
        <v>116</v>
      </c>
      <c r="P30" s="6" t="s">
        <v>115</v>
      </c>
      <c r="Q30" s="49"/>
      <c r="R30" s="75" t="s">
        <v>175</v>
      </c>
      <c r="S30" s="33" t="s">
        <v>92</v>
      </c>
      <c r="T30" s="33" t="s">
        <v>93</v>
      </c>
      <c r="U30" s="78">
        <v>100</v>
      </c>
      <c r="V30" s="33" t="s">
        <v>94</v>
      </c>
      <c r="W30" s="33" t="s">
        <v>95</v>
      </c>
      <c r="X30" s="33">
        <v>2021</v>
      </c>
      <c r="Y30" s="33" t="s">
        <v>117</v>
      </c>
      <c r="Z30" s="33" t="s">
        <v>95</v>
      </c>
      <c r="AA30" s="33" t="s">
        <v>98</v>
      </c>
      <c r="AB30" s="49" t="s">
        <v>99</v>
      </c>
      <c r="AC30" s="48" t="s">
        <v>424</v>
      </c>
      <c r="AD30" s="79" t="s">
        <v>7552</v>
      </c>
      <c r="AE30" s="6" t="s">
        <v>425</v>
      </c>
      <c r="AF30" s="6" t="s">
        <v>121</v>
      </c>
      <c r="AG30" s="6" t="s">
        <v>178</v>
      </c>
      <c r="AH30" s="6" t="s">
        <v>123</v>
      </c>
      <c r="AI30" s="6" t="s">
        <v>426</v>
      </c>
      <c r="AJ30" s="6" t="s">
        <v>427</v>
      </c>
      <c r="AK30" s="33" t="s">
        <v>97</v>
      </c>
      <c r="AL30" s="33" t="s">
        <v>97</v>
      </c>
      <c r="AM30" s="5" t="s">
        <v>221</v>
      </c>
      <c r="AN30" s="98"/>
      <c r="AO30" s="5" t="s">
        <v>428</v>
      </c>
      <c r="AP30" s="5" t="s">
        <v>429</v>
      </c>
      <c r="AQ30" s="6" t="s">
        <v>143</v>
      </c>
      <c r="AR30" s="20" t="s">
        <v>95</v>
      </c>
      <c r="AS30" s="20" t="s">
        <v>185</v>
      </c>
      <c r="AT30" s="7" t="s">
        <v>430</v>
      </c>
      <c r="AU30" s="24">
        <v>0.3</v>
      </c>
      <c r="AV30" s="24">
        <f t="shared" si="2"/>
        <v>0.24</v>
      </c>
      <c r="AW30" s="24">
        <f t="shared" si="3"/>
        <v>0.18</v>
      </c>
      <c r="AX30" s="25">
        <v>1E-4</v>
      </c>
      <c r="AY30" s="24">
        <v>0</v>
      </c>
      <c r="AZ30" s="24">
        <f t="shared" si="4"/>
        <v>0.27</v>
      </c>
      <c r="BA30" s="24">
        <f t="shared" si="5"/>
        <v>0.21600000000000003</v>
      </c>
      <c r="BB30" s="24">
        <f t="shared" si="6"/>
        <v>0.16200000000000001</v>
      </c>
      <c r="BC30" s="25">
        <v>1E-4</v>
      </c>
      <c r="BD30" s="24">
        <v>0</v>
      </c>
      <c r="BE30" s="34">
        <v>30</v>
      </c>
      <c r="BF30" s="34">
        <f t="shared" si="0"/>
        <v>24</v>
      </c>
      <c r="BG30" s="34">
        <f t="shared" si="1"/>
        <v>18</v>
      </c>
      <c r="BH30" s="26">
        <v>1</v>
      </c>
      <c r="BI30" s="26">
        <v>0</v>
      </c>
      <c r="BJ30" s="27">
        <v>0.4</v>
      </c>
      <c r="BK30" s="27">
        <v>0.34542460425415744</v>
      </c>
      <c r="BL30" s="27" t="s">
        <v>431</v>
      </c>
      <c r="BM30" s="27" t="s">
        <v>432</v>
      </c>
      <c r="BN30" s="26"/>
      <c r="BO30" s="34"/>
      <c r="BP30" s="34"/>
      <c r="BQ30" s="34"/>
      <c r="BR30" s="34"/>
      <c r="BS30" s="34"/>
      <c r="BT30" s="34"/>
      <c r="BU30" s="34"/>
      <c r="BV30" s="34"/>
      <c r="BW30" s="34"/>
      <c r="BX30" s="34"/>
      <c r="BY30" s="34"/>
      <c r="BZ30" s="34">
        <v>1</v>
      </c>
      <c r="CA30" s="20" t="s">
        <v>240</v>
      </c>
      <c r="CB30" s="20" t="s">
        <v>240</v>
      </c>
      <c r="CC30" s="219">
        <v>46097</v>
      </c>
      <c r="CD30" s="36" t="s">
        <v>7565</v>
      </c>
    </row>
    <row r="31" spans="1:82" s="18" customFormat="1" ht="90.75" customHeight="1" x14ac:dyDescent="0.25">
      <c r="A31" s="121">
        <v>27</v>
      </c>
      <c r="B31" s="141" t="s">
        <v>433</v>
      </c>
      <c r="C31" s="6" t="s">
        <v>434</v>
      </c>
      <c r="D31" s="6" t="s">
        <v>435</v>
      </c>
      <c r="E31" s="75" t="s">
        <v>174</v>
      </c>
      <c r="F31" s="4" t="s">
        <v>81</v>
      </c>
      <c r="G31" s="33">
        <v>161</v>
      </c>
      <c r="H31" s="49" t="s">
        <v>436</v>
      </c>
      <c r="I31" s="6" t="s">
        <v>436</v>
      </c>
      <c r="J31" s="6"/>
      <c r="K31" s="6"/>
      <c r="L31" s="6"/>
      <c r="M31" s="49" t="s">
        <v>136</v>
      </c>
      <c r="N31" s="49" t="s">
        <v>89</v>
      </c>
      <c r="O31" s="49" t="s">
        <v>116</v>
      </c>
      <c r="P31" s="6" t="s">
        <v>115</v>
      </c>
      <c r="Q31" s="49"/>
      <c r="R31" s="75" t="s">
        <v>91</v>
      </c>
      <c r="S31" s="33" t="s">
        <v>92</v>
      </c>
      <c r="T31" s="33" t="s">
        <v>93</v>
      </c>
      <c r="U31" s="78">
        <v>100</v>
      </c>
      <c r="V31" s="33" t="s">
        <v>94</v>
      </c>
      <c r="W31" s="33" t="s">
        <v>95</v>
      </c>
      <c r="X31" s="33">
        <v>2021</v>
      </c>
      <c r="Y31" s="33" t="s">
        <v>117</v>
      </c>
      <c r="Z31" s="33" t="s">
        <v>95</v>
      </c>
      <c r="AA31" s="33" t="s">
        <v>98</v>
      </c>
      <c r="AB31" s="49" t="s">
        <v>99</v>
      </c>
      <c r="AC31" s="79" t="s">
        <v>437</v>
      </c>
      <c r="AD31" s="31" t="s">
        <v>438</v>
      </c>
      <c r="AE31" s="6" t="s">
        <v>439</v>
      </c>
      <c r="AF31" s="6" t="s">
        <v>121</v>
      </c>
      <c r="AG31" s="6" t="s">
        <v>122</v>
      </c>
      <c r="AH31" s="6" t="s">
        <v>123</v>
      </c>
      <c r="AI31" s="2" t="s">
        <v>440</v>
      </c>
      <c r="AJ31" s="2" t="s">
        <v>441</v>
      </c>
      <c r="AK31" s="33" t="s">
        <v>97</v>
      </c>
      <c r="AL31" s="33" t="s">
        <v>97</v>
      </c>
      <c r="AM31" s="5" t="s">
        <v>442</v>
      </c>
      <c r="AN31" s="5"/>
      <c r="AO31" s="5" t="s">
        <v>443</v>
      </c>
      <c r="AP31" s="5" t="s">
        <v>444</v>
      </c>
      <c r="AQ31" s="49" t="s">
        <v>445</v>
      </c>
      <c r="AR31" s="20" t="s">
        <v>97</v>
      </c>
      <c r="AS31" s="20" t="s">
        <v>107</v>
      </c>
      <c r="AT31" s="20"/>
      <c r="AU31" s="24">
        <v>0.6</v>
      </c>
      <c r="AV31" s="24">
        <f t="shared" si="2"/>
        <v>0.48</v>
      </c>
      <c r="AW31" s="24">
        <f t="shared" si="3"/>
        <v>0.36</v>
      </c>
      <c r="AX31" s="25">
        <v>1E-4</v>
      </c>
      <c r="AY31" s="24">
        <v>0</v>
      </c>
      <c r="AZ31" s="24">
        <f t="shared" si="4"/>
        <v>0.54</v>
      </c>
      <c r="BA31" s="24">
        <f t="shared" si="5"/>
        <v>0.43200000000000005</v>
      </c>
      <c r="BB31" s="24">
        <f t="shared" si="6"/>
        <v>0.32400000000000001</v>
      </c>
      <c r="BC31" s="25">
        <v>1E-4</v>
      </c>
      <c r="BD31" s="24">
        <v>0</v>
      </c>
      <c r="BE31" s="34">
        <v>10</v>
      </c>
      <c r="BF31" s="34">
        <f t="shared" si="0"/>
        <v>8</v>
      </c>
      <c r="BG31" s="34">
        <f t="shared" si="1"/>
        <v>6</v>
      </c>
      <c r="BH31" s="26">
        <v>1</v>
      </c>
      <c r="BI31" s="26">
        <v>0</v>
      </c>
      <c r="BJ31" s="27">
        <v>0.45</v>
      </c>
      <c r="BK31" s="27">
        <v>0.46644990776450596</v>
      </c>
      <c r="BL31" s="27" t="s">
        <v>446</v>
      </c>
      <c r="BM31" s="173" t="s">
        <v>447</v>
      </c>
      <c r="BN31" s="26">
        <v>1</v>
      </c>
      <c r="BO31" s="34">
        <v>1</v>
      </c>
      <c r="BP31" s="34"/>
      <c r="BQ31" s="34"/>
      <c r="BR31" s="34"/>
      <c r="BS31" s="34"/>
      <c r="BT31" s="34"/>
      <c r="BU31" s="34"/>
      <c r="BV31" s="34"/>
      <c r="BW31" s="34"/>
      <c r="BX31" s="34"/>
      <c r="BY31" s="34"/>
      <c r="BZ31" s="34">
        <v>1</v>
      </c>
      <c r="CA31" s="20" t="s">
        <v>240</v>
      </c>
      <c r="CB31" s="20" t="s">
        <v>240</v>
      </c>
      <c r="CC31" s="46">
        <v>46044</v>
      </c>
      <c r="CD31" s="36" t="s">
        <v>448</v>
      </c>
    </row>
    <row r="32" spans="1:82" s="18" customFormat="1" ht="66.75" customHeight="1" x14ac:dyDescent="0.25">
      <c r="A32" s="87">
        <v>28</v>
      </c>
      <c r="B32" s="141" t="s">
        <v>449</v>
      </c>
      <c r="C32" s="6" t="s">
        <v>450</v>
      </c>
      <c r="D32" s="6" t="s">
        <v>451</v>
      </c>
      <c r="E32" s="75" t="s">
        <v>174</v>
      </c>
      <c r="F32" s="4" t="s">
        <v>81</v>
      </c>
      <c r="G32" s="33" t="s">
        <v>84</v>
      </c>
      <c r="H32" s="49" t="s">
        <v>436</v>
      </c>
      <c r="I32" s="49" t="s">
        <v>436</v>
      </c>
      <c r="J32" s="6"/>
      <c r="K32" s="49"/>
      <c r="L32" s="49"/>
      <c r="M32" s="49" t="s">
        <v>88</v>
      </c>
      <c r="N32" s="49" t="s">
        <v>89</v>
      </c>
      <c r="O32" s="49" t="s">
        <v>116</v>
      </c>
      <c r="P32" s="6" t="s">
        <v>115</v>
      </c>
      <c r="Q32" s="49"/>
      <c r="R32" s="75" t="s">
        <v>175</v>
      </c>
      <c r="S32" s="33" t="s">
        <v>92</v>
      </c>
      <c r="T32" s="33" t="s">
        <v>93</v>
      </c>
      <c r="U32" s="78">
        <v>100</v>
      </c>
      <c r="V32" s="33" t="s">
        <v>94</v>
      </c>
      <c r="W32" s="33" t="s">
        <v>95</v>
      </c>
      <c r="X32" s="33">
        <v>2021</v>
      </c>
      <c r="Y32" s="33" t="s">
        <v>117</v>
      </c>
      <c r="Z32" s="33" t="s">
        <v>95</v>
      </c>
      <c r="AA32" s="33" t="s">
        <v>98</v>
      </c>
      <c r="AB32" s="49" t="s">
        <v>99</v>
      </c>
      <c r="AC32" s="79" t="s">
        <v>452</v>
      </c>
      <c r="AD32" s="79" t="s">
        <v>7553</v>
      </c>
      <c r="AE32" s="6" t="s">
        <v>454</v>
      </c>
      <c r="AF32" s="6" t="s">
        <v>121</v>
      </c>
      <c r="AG32" s="6" t="s">
        <v>178</v>
      </c>
      <c r="AH32" s="6" t="s">
        <v>123</v>
      </c>
      <c r="AI32" s="6" t="s">
        <v>390</v>
      </c>
      <c r="AJ32" s="6" t="s">
        <v>455</v>
      </c>
      <c r="AK32" s="33" t="s">
        <v>97</v>
      </c>
      <c r="AL32" s="33" t="s">
        <v>97</v>
      </c>
      <c r="AM32" s="5"/>
      <c r="AN32" s="98"/>
      <c r="AO32" s="5" t="s">
        <v>456</v>
      </c>
      <c r="AP32" s="5" t="s">
        <v>457</v>
      </c>
      <c r="AQ32" s="49" t="s">
        <v>143</v>
      </c>
      <c r="AR32" s="20" t="s">
        <v>95</v>
      </c>
      <c r="AS32" s="20" t="s">
        <v>185</v>
      </c>
      <c r="AT32" s="7" t="s">
        <v>430</v>
      </c>
      <c r="AU32" s="24">
        <v>0.2</v>
      </c>
      <c r="AV32" s="24">
        <f t="shared" si="2"/>
        <v>0.16000000000000003</v>
      </c>
      <c r="AW32" s="24">
        <f t="shared" si="3"/>
        <v>0.12</v>
      </c>
      <c r="AX32" s="25">
        <v>1E-4</v>
      </c>
      <c r="AY32" s="24">
        <v>0</v>
      </c>
      <c r="AZ32" s="24">
        <f t="shared" si="4"/>
        <v>0.18000000000000002</v>
      </c>
      <c r="BA32" s="24">
        <f t="shared" si="5"/>
        <v>0.14400000000000002</v>
      </c>
      <c r="BB32" s="24">
        <f t="shared" si="6"/>
        <v>0.10800000000000001</v>
      </c>
      <c r="BC32" s="25">
        <v>1E-4</v>
      </c>
      <c r="BD32" s="24">
        <v>0</v>
      </c>
      <c r="BE32" s="34">
        <v>30</v>
      </c>
      <c r="BF32" s="34">
        <f t="shared" si="0"/>
        <v>24</v>
      </c>
      <c r="BG32" s="34">
        <f t="shared" si="1"/>
        <v>18</v>
      </c>
      <c r="BH32" s="26">
        <v>1</v>
      </c>
      <c r="BI32" s="26">
        <v>0</v>
      </c>
      <c r="BJ32" s="27">
        <v>0.41299999999999998</v>
      </c>
      <c r="BK32" s="27">
        <v>0.35010249269968047</v>
      </c>
      <c r="BL32" s="27" t="s">
        <v>458</v>
      </c>
      <c r="BM32" s="27" t="s">
        <v>459</v>
      </c>
      <c r="BN32" s="26"/>
      <c r="BO32" s="34"/>
      <c r="BP32" s="34"/>
      <c r="BQ32" s="34"/>
      <c r="BR32" s="34"/>
      <c r="BS32" s="34"/>
      <c r="BT32" s="34"/>
      <c r="BU32" s="34"/>
      <c r="BV32" s="34"/>
      <c r="BW32" s="34"/>
      <c r="BX32" s="34"/>
      <c r="BY32" s="34"/>
      <c r="BZ32" s="34">
        <v>1</v>
      </c>
      <c r="CA32" s="20" t="s">
        <v>240</v>
      </c>
      <c r="CB32" s="20" t="s">
        <v>240</v>
      </c>
      <c r="CC32" s="219">
        <v>46097</v>
      </c>
      <c r="CD32" s="36" t="s">
        <v>7566</v>
      </c>
    </row>
    <row r="33" spans="1:82" s="18" customFormat="1" ht="66.75" customHeight="1" x14ac:dyDescent="0.25">
      <c r="A33" s="87">
        <v>29</v>
      </c>
      <c r="B33" s="141" t="s">
        <v>460</v>
      </c>
      <c r="C33" s="6" t="s">
        <v>461</v>
      </c>
      <c r="D33" s="6" t="s">
        <v>462</v>
      </c>
      <c r="E33" s="75" t="s">
        <v>174</v>
      </c>
      <c r="F33" s="4" t="s">
        <v>81</v>
      </c>
      <c r="G33" s="33">
        <v>162</v>
      </c>
      <c r="H33" s="49" t="s">
        <v>463</v>
      </c>
      <c r="I33" s="49" t="s">
        <v>463</v>
      </c>
      <c r="J33" s="6"/>
      <c r="K33" s="49"/>
      <c r="L33" s="49"/>
      <c r="M33" s="49" t="s">
        <v>136</v>
      </c>
      <c r="N33" s="49" t="s">
        <v>89</v>
      </c>
      <c r="O33" s="49" t="s">
        <v>116</v>
      </c>
      <c r="P33" s="6" t="s">
        <v>115</v>
      </c>
      <c r="Q33" s="49"/>
      <c r="R33" s="75" t="s">
        <v>91</v>
      </c>
      <c r="S33" s="33" t="s">
        <v>92</v>
      </c>
      <c r="T33" s="33" t="s">
        <v>93</v>
      </c>
      <c r="U33" s="78">
        <v>100</v>
      </c>
      <c r="V33" s="33" t="s">
        <v>94</v>
      </c>
      <c r="W33" s="33" t="s">
        <v>95</v>
      </c>
      <c r="X33" s="33">
        <v>2021</v>
      </c>
      <c r="Y33" s="33" t="s">
        <v>117</v>
      </c>
      <c r="Z33" s="33" t="s">
        <v>95</v>
      </c>
      <c r="AA33" s="33" t="s">
        <v>98</v>
      </c>
      <c r="AB33" s="49" t="s">
        <v>99</v>
      </c>
      <c r="AC33" s="31" t="s">
        <v>464</v>
      </c>
      <c r="AD33" s="2" t="s">
        <v>465</v>
      </c>
      <c r="AE33" s="6" t="s">
        <v>466</v>
      </c>
      <c r="AF33" s="6" t="s">
        <v>121</v>
      </c>
      <c r="AG33" s="6" t="s">
        <v>122</v>
      </c>
      <c r="AH33" s="6" t="s">
        <v>123</v>
      </c>
      <c r="AI33" s="2" t="s">
        <v>467</v>
      </c>
      <c r="AJ33" s="2" t="s">
        <v>468</v>
      </c>
      <c r="AK33" s="33" t="s">
        <v>97</v>
      </c>
      <c r="AL33" s="33" t="s">
        <v>97</v>
      </c>
      <c r="AM33" s="5" t="s">
        <v>469</v>
      </c>
      <c r="AN33" s="5" t="s">
        <v>470</v>
      </c>
      <c r="AO33" s="5" t="s">
        <v>443</v>
      </c>
      <c r="AP33" s="5" t="s">
        <v>471</v>
      </c>
      <c r="AQ33" s="6" t="s">
        <v>143</v>
      </c>
      <c r="AR33" s="20" t="s">
        <v>97</v>
      </c>
      <c r="AS33" s="20" t="s">
        <v>107</v>
      </c>
      <c r="AT33" s="20"/>
      <c r="AU33" s="24">
        <v>0.7</v>
      </c>
      <c r="AV33" s="24">
        <f t="shared" si="2"/>
        <v>0.55999999999999994</v>
      </c>
      <c r="AW33" s="24">
        <f t="shared" si="3"/>
        <v>0.42</v>
      </c>
      <c r="AX33" s="25">
        <v>1E-4</v>
      </c>
      <c r="AY33" s="24">
        <v>0</v>
      </c>
      <c r="AZ33" s="24">
        <f t="shared" si="4"/>
        <v>0.63</v>
      </c>
      <c r="BA33" s="24">
        <f t="shared" si="5"/>
        <v>0.504</v>
      </c>
      <c r="BB33" s="24">
        <f t="shared" si="6"/>
        <v>0.378</v>
      </c>
      <c r="BC33" s="25">
        <v>1E-4</v>
      </c>
      <c r="BD33" s="24">
        <v>0</v>
      </c>
      <c r="BE33" s="34">
        <v>5</v>
      </c>
      <c r="BF33" s="34">
        <f t="shared" si="0"/>
        <v>4</v>
      </c>
      <c r="BG33" s="34">
        <f t="shared" si="1"/>
        <v>3</v>
      </c>
      <c r="BH33" s="26">
        <v>1</v>
      </c>
      <c r="BI33" s="26">
        <v>0</v>
      </c>
      <c r="BJ33" s="27">
        <v>0.51900000000000002</v>
      </c>
      <c r="BK33" s="27">
        <v>0.54743525882157595</v>
      </c>
      <c r="BL33" s="27" t="s">
        <v>472</v>
      </c>
      <c r="BM33" s="27" t="s">
        <v>473</v>
      </c>
      <c r="BN33" s="26"/>
      <c r="BO33" s="34">
        <v>1</v>
      </c>
      <c r="BP33" s="34"/>
      <c r="BQ33" s="34"/>
      <c r="BR33" s="34"/>
      <c r="BS33" s="34"/>
      <c r="BT33" s="34"/>
      <c r="BU33" s="34"/>
      <c r="BV33" s="34"/>
      <c r="BW33" s="34"/>
      <c r="BX33" s="34"/>
      <c r="BY33" s="34"/>
      <c r="BZ33" s="34">
        <v>1</v>
      </c>
      <c r="CA33" s="20" t="s">
        <v>240</v>
      </c>
      <c r="CB33" s="20" t="s">
        <v>240</v>
      </c>
      <c r="CC33" s="46">
        <v>46044</v>
      </c>
      <c r="CD33" s="11" t="s">
        <v>474</v>
      </c>
    </row>
    <row r="34" spans="1:82" s="18" customFormat="1" ht="66.75" customHeight="1" x14ac:dyDescent="0.25">
      <c r="A34" s="121">
        <v>30</v>
      </c>
      <c r="B34" s="141" t="s">
        <v>475</v>
      </c>
      <c r="C34" s="6" t="s">
        <v>476</v>
      </c>
      <c r="D34" s="6" t="s">
        <v>477</v>
      </c>
      <c r="E34" s="75" t="s">
        <v>174</v>
      </c>
      <c r="F34" s="4" t="s">
        <v>81</v>
      </c>
      <c r="G34" s="33" t="s">
        <v>84</v>
      </c>
      <c r="H34" s="49" t="s">
        <v>463</v>
      </c>
      <c r="I34" s="49" t="s">
        <v>463</v>
      </c>
      <c r="J34" s="6"/>
      <c r="K34" s="49"/>
      <c r="L34" s="49"/>
      <c r="M34" s="49" t="s">
        <v>88</v>
      </c>
      <c r="N34" s="49" t="s">
        <v>89</v>
      </c>
      <c r="O34" s="49" t="s">
        <v>116</v>
      </c>
      <c r="P34" s="6" t="s">
        <v>115</v>
      </c>
      <c r="Q34" s="49"/>
      <c r="R34" s="75" t="s">
        <v>175</v>
      </c>
      <c r="S34" s="33" t="s">
        <v>92</v>
      </c>
      <c r="T34" s="33" t="s">
        <v>93</v>
      </c>
      <c r="U34" s="78">
        <v>100</v>
      </c>
      <c r="V34" s="33" t="s">
        <v>94</v>
      </c>
      <c r="W34" s="33" t="s">
        <v>95</v>
      </c>
      <c r="X34" s="33">
        <v>2021</v>
      </c>
      <c r="Y34" s="33" t="s">
        <v>117</v>
      </c>
      <c r="Z34" s="33" t="s">
        <v>95</v>
      </c>
      <c r="AA34" s="33" t="s">
        <v>98</v>
      </c>
      <c r="AB34" s="49" t="s">
        <v>99</v>
      </c>
      <c r="AC34" s="48" t="s">
        <v>478</v>
      </c>
      <c r="AD34" s="89" t="s">
        <v>7554</v>
      </c>
      <c r="AE34" s="6" t="s">
        <v>479</v>
      </c>
      <c r="AF34" s="6" t="s">
        <v>121</v>
      </c>
      <c r="AG34" s="6" t="s">
        <v>178</v>
      </c>
      <c r="AH34" s="6" t="s">
        <v>123</v>
      </c>
      <c r="AI34" s="6" t="s">
        <v>480</v>
      </c>
      <c r="AJ34" s="6" t="s">
        <v>481</v>
      </c>
      <c r="AK34" s="33" t="s">
        <v>97</v>
      </c>
      <c r="AL34" s="33" t="s">
        <v>97</v>
      </c>
      <c r="AM34" s="5"/>
      <c r="AN34" s="5" t="s">
        <v>482</v>
      </c>
      <c r="AO34" s="5" t="s">
        <v>456</v>
      </c>
      <c r="AP34" s="5" t="s">
        <v>483</v>
      </c>
      <c r="AQ34" s="49" t="s">
        <v>143</v>
      </c>
      <c r="AR34" s="20" t="s">
        <v>95</v>
      </c>
      <c r="AS34" s="20" t="s">
        <v>185</v>
      </c>
      <c r="AT34" s="7" t="s">
        <v>430</v>
      </c>
      <c r="AU34" s="24">
        <v>0.35</v>
      </c>
      <c r="AV34" s="24">
        <f t="shared" si="2"/>
        <v>0.27999999999999997</v>
      </c>
      <c r="AW34" s="24">
        <f t="shared" si="3"/>
        <v>0.21</v>
      </c>
      <c r="AX34" s="25">
        <v>1E-4</v>
      </c>
      <c r="AY34" s="24">
        <v>0</v>
      </c>
      <c r="AZ34" s="24">
        <f t="shared" si="4"/>
        <v>0.315</v>
      </c>
      <c r="BA34" s="24">
        <f t="shared" si="5"/>
        <v>0.252</v>
      </c>
      <c r="BB34" s="24">
        <f t="shared" si="6"/>
        <v>0.189</v>
      </c>
      <c r="BC34" s="25">
        <v>1E-4</v>
      </c>
      <c r="BD34" s="24">
        <v>0</v>
      </c>
      <c r="BE34" s="34">
        <v>20</v>
      </c>
      <c r="BF34" s="34">
        <f t="shared" si="0"/>
        <v>16</v>
      </c>
      <c r="BG34" s="34">
        <f t="shared" si="1"/>
        <v>12</v>
      </c>
      <c r="BH34" s="26">
        <v>1</v>
      </c>
      <c r="BI34" s="26">
        <v>0</v>
      </c>
      <c r="BJ34" s="27">
        <v>0.49399999999999999</v>
      </c>
      <c r="BK34" s="27">
        <v>0.44179744028547574</v>
      </c>
      <c r="BL34" s="27" t="s">
        <v>484</v>
      </c>
      <c r="BM34" s="27" t="s">
        <v>485</v>
      </c>
      <c r="BN34" s="26"/>
      <c r="BO34" s="34"/>
      <c r="BP34" s="34"/>
      <c r="BQ34" s="34"/>
      <c r="BR34" s="34"/>
      <c r="BS34" s="34"/>
      <c r="BT34" s="34"/>
      <c r="BU34" s="34"/>
      <c r="BV34" s="34"/>
      <c r="BW34" s="34"/>
      <c r="BX34" s="34"/>
      <c r="BY34" s="34"/>
      <c r="BZ34" s="34">
        <v>1</v>
      </c>
      <c r="CA34" s="20" t="s">
        <v>240</v>
      </c>
      <c r="CB34" s="20" t="s">
        <v>240</v>
      </c>
      <c r="CC34" s="219">
        <v>46097</v>
      </c>
      <c r="CD34" s="36" t="s">
        <v>7567</v>
      </c>
    </row>
    <row r="35" spans="1:82" s="18" customFormat="1" ht="66.75" customHeight="1" x14ac:dyDescent="0.25">
      <c r="A35" s="87">
        <v>31</v>
      </c>
      <c r="B35" s="141" t="s">
        <v>486</v>
      </c>
      <c r="C35" s="6" t="s">
        <v>487</v>
      </c>
      <c r="D35" s="6" t="s">
        <v>488</v>
      </c>
      <c r="E35" s="75" t="s">
        <v>113</v>
      </c>
      <c r="F35" s="4" t="s">
        <v>81</v>
      </c>
      <c r="G35" s="33" t="s">
        <v>84</v>
      </c>
      <c r="H35" s="49" t="s">
        <v>463</v>
      </c>
      <c r="I35" s="49" t="s">
        <v>463</v>
      </c>
      <c r="J35" s="6"/>
      <c r="K35" s="49"/>
      <c r="L35" s="49"/>
      <c r="M35" s="49" t="s">
        <v>88</v>
      </c>
      <c r="N35" s="49" t="s">
        <v>89</v>
      </c>
      <c r="O35" s="49" t="s">
        <v>213</v>
      </c>
      <c r="P35" s="6" t="s">
        <v>489</v>
      </c>
      <c r="Q35" s="49"/>
      <c r="R35" s="75" t="s">
        <v>91</v>
      </c>
      <c r="S35" s="33" t="s">
        <v>92</v>
      </c>
      <c r="T35" s="33" t="s">
        <v>93</v>
      </c>
      <c r="U35" s="78">
        <v>100</v>
      </c>
      <c r="V35" s="33" t="s">
        <v>94</v>
      </c>
      <c r="W35" s="33" t="s">
        <v>95</v>
      </c>
      <c r="X35" s="33">
        <v>2023</v>
      </c>
      <c r="Y35" s="33" t="s">
        <v>117</v>
      </c>
      <c r="Z35" s="33" t="s">
        <v>95</v>
      </c>
      <c r="AA35" s="33" t="s">
        <v>98</v>
      </c>
      <c r="AB35" s="49" t="s">
        <v>99</v>
      </c>
      <c r="AC35" s="48" t="s">
        <v>490</v>
      </c>
      <c r="AD35" s="79" t="s">
        <v>491</v>
      </c>
      <c r="AE35" s="6" t="s">
        <v>492</v>
      </c>
      <c r="AF35" s="6" t="s">
        <v>121</v>
      </c>
      <c r="AG35" s="6" t="s">
        <v>218</v>
      </c>
      <c r="AH35" s="6" t="s">
        <v>218</v>
      </c>
      <c r="AI35" s="6" t="s">
        <v>493</v>
      </c>
      <c r="AJ35" s="6" t="s">
        <v>494</v>
      </c>
      <c r="AK35" s="33" t="s">
        <v>97</v>
      </c>
      <c r="AL35" s="33" t="s">
        <v>97</v>
      </c>
      <c r="AM35" s="5" t="s">
        <v>221</v>
      </c>
      <c r="AN35" s="5"/>
      <c r="AO35" s="5" t="s">
        <v>495</v>
      </c>
      <c r="AP35" s="5" t="s">
        <v>471</v>
      </c>
      <c r="AQ35" s="49" t="s">
        <v>463</v>
      </c>
      <c r="AR35" s="20" t="s">
        <v>97</v>
      </c>
      <c r="AS35" s="20" t="s">
        <v>107</v>
      </c>
      <c r="AT35" s="20"/>
      <c r="AU35" s="24">
        <v>0.3</v>
      </c>
      <c r="AV35" s="24">
        <f t="shared" si="2"/>
        <v>0.24</v>
      </c>
      <c r="AW35" s="24">
        <f t="shared" si="3"/>
        <v>0.18</v>
      </c>
      <c r="AX35" s="25">
        <v>1E-4</v>
      </c>
      <c r="AY35" s="24">
        <v>0</v>
      </c>
      <c r="AZ35" s="24">
        <f t="shared" si="4"/>
        <v>0.27</v>
      </c>
      <c r="BA35" s="24">
        <f t="shared" si="5"/>
        <v>0.21600000000000003</v>
      </c>
      <c r="BB35" s="24">
        <f t="shared" si="6"/>
        <v>0.16200000000000001</v>
      </c>
      <c r="BC35" s="25">
        <v>1E-4</v>
      </c>
      <c r="BD35" s="24">
        <v>0</v>
      </c>
      <c r="BE35" s="26">
        <v>0</v>
      </c>
      <c r="BF35" s="34">
        <f t="shared" si="0"/>
        <v>0</v>
      </c>
      <c r="BG35" s="34">
        <f t="shared" si="1"/>
        <v>0</v>
      </c>
      <c r="BH35" s="26">
        <v>0</v>
      </c>
      <c r="BI35" s="26">
        <v>0</v>
      </c>
      <c r="BJ35" s="20" t="s">
        <v>496</v>
      </c>
      <c r="BK35" s="27">
        <v>7.5822326044762023E-2</v>
      </c>
      <c r="BL35" s="27" t="s">
        <v>497</v>
      </c>
      <c r="BM35" s="27" t="s">
        <v>498</v>
      </c>
      <c r="BN35" s="26"/>
      <c r="BO35" s="34"/>
      <c r="BP35" s="34"/>
      <c r="BQ35" s="34"/>
      <c r="BR35" s="34"/>
      <c r="BS35" s="34"/>
      <c r="BT35" s="34"/>
      <c r="BU35" s="34"/>
      <c r="BV35" s="34"/>
      <c r="BW35" s="34"/>
      <c r="BX35" s="34"/>
      <c r="BY35" s="34"/>
      <c r="BZ35" s="34"/>
      <c r="CA35" s="20"/>
      <c r="CB35" s="20"/>
      <c r="CC35" s="29">
        <v>45699</v>
      </c>
      <c r="CD35" s="11" t="s">
        <v>360</v>
      </c>
    </row>
    <row r="36" spans="1:82" s="18" customFormat="1" ht="66.75" customHeight="1" x14ac:dyDescent="0.25">
      <c r="A36" s="87">
        <v>32</v>
      </c>
      <c r="B36" s="141" t="s">
        <v>499</v>
      </c>
      <c r="C36" s="6" t="s">
        <v>500</v>
      </c>
      <c r="D36" s="6" t="s">
        <v>501</v>
      </c>
      <c r="E36" s="75" t="s">
        <v>113</v>
      </c>
      <c r="F36" s="4" t="s">
        <v>81</v>
      </c>
      <c r="G36" s="33">
        <v>148</v>
      </c>
      <c r="H36" s="49" t="s">
        <v>463</v>
      </c>
      <c r="I36" s="49" t="s">
        <v>463</v>
      </c>
      <c r="J36" s="6"/>
      <c r="K36" s="49"/>
      <c r="L36" s="49"/>
      <c r="M36" s="49" t="s">
        <v>136</v>
      </c>
      <c r="N36" s="49" t="s">
        <v>245</v>
      </c>
      <c r="O36" s="49" t="s">
        <v>246</v>
      </c>
      <c r="P36" s="6" t="s">
        <v>489</v>
      </c>
      <c r="Q36" s="49"/>
      <c r="R36" s="75" t="s">
        <v>91</v>
      </c>
      <c r="S36" s="33" t="s">
        <v>92</v>
      </c>
      <c r="T36" s="33" t="s">
        <v>93</v>
      </c>
      <c r="U36" s="78">
        <v>100</v>
      </c>
      <c r="V36" s="33" t="s">
        <v>94</v>
      </c>
      <c r="W36" s="33" t="s">
        <v>95</v>
      </c>
      <c r="X36" s="33">
        <v>2023</v>
      </c>
      <c r="Y36" s="33" t="s">
        <v>117</v>
      </c>
      <c r="Z36" s="33" t="s">
        <v>97</v>
      </c>
      <c r="AA36" s="33" t="s">
        <v>98</v>
      </c>
      <c r="AB36" s="49" t="s">
        <v>99</v>
      </c>
      <c r="AC36" s="48" t="s">
        <v>502</v>
      </c>
      <c r="AD36" s="48" t="s">
        <v>503</v>
      </c>
      <c r="AE36" s="6" t="s">
        <v>504</v>
      </c>
      <c r="AF36" s="6" t="s">
        <v>492</v>
      </c>
      <c r="AG36" s="6" t="s">
        <v>218</v>
      </c>
      <c r="AH36" s="6" t="s">
        <v>218</v>
      </c>
      <c r="AI36" s="6" t="s">
        <v>505</v>
      </c>
      <c r="AJ36" s="49" t="s">
        <v>493</v>
      </c>
      <c r="AK36" s="33" t="s">
        <v>97</v>
      </c>
      <c r="AL36" s="33" t="s">
        <v>97</v>
      </c>
      <c r="AM36" s="5"/>
      <c r="AN36" s="5" t="s">
        <v>506</v>
      </c>
      <c r="AO36" s="5" t="s">
        <v>507</v>
      </c>
      <c r="AP36" s="5" t="s">
        <v>471</v>
      </c>
      <c r="AQ36" s="49" t="s">
        <v>463</v>
      </c>
      <c r="AR36" s="20" t="s">
        <v>97</v>
      </c>
      <c r="AS36" s="20" t="s">
        <v>107</v>
      </c>
      <c r="AT36" s="20"/>
      <c r="AU36" s="24">
        <v>0.8</v>
      </c>
      <c r="AV36" s="24">
        <f t="shared" si="2"/>
        <v>0.64000000000000012</v>
      </c>
      <c r="AW36" s="24">
        <f t="shared" si="3"/>
        <v>0.48</v>
      </c>
      <c r="AX36" s="25">
        <v>1E-4</v>
      </c>
      <c r="AY36" s="24">
        <v>0</v>
      </c>
      <c r="AZ36" s="24">
        <f t="shared" si="4"/>
        <v>0.72000000000000008</v>
      </c>
      <c r="BA36" s="24">
        <f t="shared" si="5"/>
        <v>0.57600000000000007</v>
      </c>
      <c r="BB36" s="24">
        <f t="shared" si="6"/>
        <v>0.43200000000000005</v>
      </c>
      <c r="BC36" s="25">
        <v>1E-4</v>
      </c>
      <c r="BD36" s="24">
        <v>0</v>
      </c>
      <c r="BE36" s="26">
        <v>0</v>
      </c>
      <c r="BF36" s="34">
        <f t="shared" si="0"/>
        <v>0</v>
      </c>
      <c r="BG36" s="34">
        <f t="shared" si="1"/>
        <v>0</v>
      </c>
      <c r="BH36" s="26">
        <v>0</v>
      </c>
      <c r="BI36" s="26">
        <v>0</v>
      </c>
      <c r="BJ36" s="20" t="s">
        <v>496</v>
      </c>
      <c r="BK36" s="27">
        <v>0.78864901192337022</v>
      </c>
      <c r="BL36" s="27" t="s">
        <v>508</v>
      </c>
      <c r="BM36" s="27" t="s">
        <v>509</v>
      </c>
      <c r="BN36" s="26"/>
      <c r="BO36" s="34">
        <v>1</v>
      </c>
      <c r="BP36" s="34"/>
      <c r="BQ36" s="34"/>
      <c r="BR36" s="34"/>
      <c r="BS36" s="34"/>
      <c r="BT36" s="34"/>
      <c r="BU36" s="34"/>
      <c r="BV36" s="34"/>
      <c r="BW36" s="34"/>
      <c r="BX36" s="34"/>
      <c r="BY36" s="34"/>
      <c r="BZ36" s="34"/>
      <c r="CA36" s="20"/>
      <c r="CB36" s="20"/>
      <c r="CC36" s="29">
        <v>46003</v>
      </c>
      <c r="CD36" s="35" t="s">
        <v>510</v>
      </c>
    </row>
    <row r="37" spans="1:82" s="18" customFormat="1" ht="66.75" customHeight="1" x14ac:dyDescent="0.25">
      <c r="A37" s="121">
        <v>33</v>
      </c>
      <c r="B37" s="141" t="s">
        <v>511</v>
      </c>
      <c r="C37" s="6" t="s">
        <v>512</v>
      </c>
      <c r="D37" s="6" t="s">
        <v>513</v>
      </c>
      <c r="E37" s="75" t="s">
        <v>113</v>
      </c>
      <c r="F37" s="4" t="s">
        <v>81</v>
      </c>
      <c r="G37" s="33" t="s">
        <v>84</v>
      </c>
      <c r="H37" s="49" t="s">
        <v>463</v>
      </c>
      <c r="I37" s="49" t="s">
        <v>463</v>
      </c>
      <c r="J37" s="6"/>
      <c r="K37" s="49"/>
      <c r="L37" s="49"/>
      <c r="M37" s="49" t="s">
        <v>88</v>
      </c>
      <c r="N37" s="49" t="s">
        <v>89</v>
      </c>
      <c r="O37" s="49" t="s">
        <v>213</v>
      </c>
      <c r="P37" s="6" t="s">
        <v>514</v>
      </c>
      <c r="Q37" s="49"/>
      <c r="R37" s="75" t="s">
        <v>91</v>
      </c>
      <c r="S37" s="33" t="s">
        <v>92</v>
      </c>
      <c r="T37" s="33" t="s">
        <v>93</v>
      </c>
      <c r="U37" s="78">
        <v>100</v>
      </c>
      <c r="V37" s="33" t="s">
        <v>94</v>
      </c>
      <c r="W37" s="33" t="s">
        <v>95</v>
      </c>
      <c r="X37" s="33">
        <v>2023</v>
      </c>
      <c r="Y37" s="33" t="s">
        <v>117</v>
      </c>
      <c r="Z37" s="33" t="s">
        <v>95</v>
      </c>
      <c r="AA37" s="33" t="s">
        <v>98</v>
      </c>
      <c r="AB37" s="49" t="s">
        <v>99</v>
      </c>
      <c r="AC37" s="48" t="s">
        <v>515</v>
      </c>
      <c r="AD37" s="79" t="s">
        <v>491</v>
      </c>
      <c r="AE37" s="6" t="s">
        <v>516</v>
      </c>
      <c r="AF37" s="6" t="s">
        <v>121</v>
      </c>
      <c r="AG37" s="6" t="s">
        <v>218</v>
      </c>
      <c r="AH37" s="6" t="s">
        <v>218</v>
      </c>
      <c r="AI37" s="6" t="s">
        <v>517</v>
      </c>
      <c r="AJ37" s="6" t="s">
        <v>494</v>
      </c>
      <c r="AK37" s="33" t="s">
        <v>97</v>
      </c>
      <c r="AL37" s="33" t="s">
        <v>97</v>
      </c>
      <c r="AM37" s="5" t="s">
        <v>221</v>
      </c>
      <c r="AN37" s="5"/>
      <c r="AO37" s="5" t="s">
        <v>518</v>
      </c>
      <c r="AP37" s="5" t="s">
        <v>471</v>
      </c>
      <c r="AQ37" s="49" t="s">
        <v>463</v>
      </c>
      <c r="AR37" s="20" t="s">
        <v>97</v>
      </c>
      <c r="AS37" s="20" t="s">
        <v>107</v>
      </c>
      <c r="AT37" s="20"/>
      <c r="AU37" s="24">
        <v>0.1</v>
      </c>
      <c r="AV37" s="24">
        <f t="shared" si="2"/>
        <v>8.0000000000000016E-2</v>
      </c>
      <c r="AW37" s="24">
        <f t="shared" si="3"/>
        <v>0.06</v>
      </c>
      <c r="AX37" s="25">
        <v>1E-4</v>
      </c>
      <c r="AY37" s="24">
        <v>0</v>
      </c>
      <c r="AZ37" s="24">
        <f t="shared" si="4"/>
        <v>9.0000000000000011E-2</v>
      </c>
      <c r="BA37" s="24">
        <f t="shared" si="5"/>
        <v>7.2000000000000008E-2</v>
      </c>
      <c r="BB37" s="24">
        <f t="shared" si="6"/>
        <v>5.4000000000000006E-2</v>
      </c>
      <c r="BC37" s="25">
        <v>1E-4</v>
      </c>
      <c r="BD37" s="24">
        <v>0</v>
      </c>
      <c r="BE37" s="26">
        <v>0</v>
      </c>
      <c r="BF37" s="34">
        <f t="shared" si="0"/>
        <v>0</v>
      </c>
      <c r="BG37" s="34">
        <f t="shared" si="1"/>
        <v>0</v>
      </c>
      <c r="BH37" s="26">
        <v>0</v>
      </c>
      <c r="BI37" s="26">
        <v>0</v>
      </c>
      <c r="BJ37" s="20" t="s">
        <v>496</v>
      </c>
      <c r="BK37" s="27">
        <v>1.2359653492273427E-2</v>
      </c>
      <c r="BL37" s="27" t="s">
        <v>519</v>
      </c>
      <c r="BM37" s="27" t="s">
        <v>520</v>
      </c>
      <c r="BN37" s="26"/>
      <c r="BO37" s="34"/>
      <c r="BP37" s="34"/>
      <c r="BQ37" s="34"/>
      <c r="BR37" s="34"/>
      <c r="BS37" s="34"/>
      <c r="BT37" s="34"/>
      <c r="BU37" s="34"/>
      <c r="BV37" s="34"/>
      <c r="BW37" s="34"/>
      <c r="BX37" s="34"/>
      <c r="BY37" s="34"/>
      <c r="BZ37" s="34"/>
      <c r="CA37" s="20"/>
      <c r="CB37" s="20"/>
      <c r="CC37" s="29">
        <v>45699</v>
      </c>
      <c r="CD37" s="11" t="s">
        <v>360</v>
      </c>
    </row>
    <row r="38" spans="1:82" s="18" customFormat="1" ht="66.75" customHeight="1" x14ac:dyDescent="0.25">
      <c r="A38" s="87">
        <v>34</v>
      </c>
      <c r="B38" s="141" t="s">
        <v>521</v>
      </c>
      <c r="C38" s="6" t="s">
        <v>522</v>
      </c>
      <c r="D38" s="6" t="s">
        <v>523</v>
      </c>
      <c r="E38" s="75" t="s">
        <v>113</v>
      </c>
      <c r="F38" s="4" t="s">
        <v>81</v>
      </c>
      <c r="G38" s="33">
        <v>146</v>
      </c>
      <c r="H38" s="49" t="s">
        <v>463</v>
      </c>
      <c r="I38" s="49" t="s">
        <v>463</v>
      </c>
      <c r="J38" s="6"/>
      <c r="K38" s="49"/>
      <c r="L38" s="49"/>
      <c r="M38" s="49" t="s">
        <v>136</v>
      </c>
      <c r="N38" s="49" t="s">
        <v>245</v>
      </c>
      <c r="O38" s="49" t="s">
        <v>246</v>
      </c>
      <c r="P38" s="6" t="s">
        <v>514</v>
      </c>
      <c r="Q38" s="49"/>
      <c r="R38" s="75" t="s">
        <v>91</v>
      </c>
      <c r="S38" s="33" t="s">
        <v>92</v>
      </c>
      <c r="T38" s="33" t="s">
        <v>93</v>
      </c>
      <c r="U38" s="78">
        <v>100</v>
      </c>
      <c r="V38" s="33" t="s">
        <v>94</v>
      </c>
      <c r="W38" s="33" t="s">
        <v>95</v>
      </c>
      <c r="X38" s="33">
        <v>2023</v>
      </c>
      <c r="Y38" s="33" t="s">
        <v>117</v>
      </c>
      <c r="Z38" s="33" t="s">
        <v>97</v>
      </c>
      <c r="AA38" s="33" t="s">
        <v>98</v>
      </c>
      <c r="AB38" s="49" t="s">
        <v>99</v>
      </c>
      <c r="AC38" s="48" t="s">
        <v>524</v>
      </c>
      <c r="AD38" s="48" t="s">
        <v>515</v>
      </c>
      <c r="AE38" s="6" t="s">
        <v>525</v>
      </c>
      <c r="AF38" s="6" t="s">
        <v>516</v>
      </c>
      <c r="AG38" s="6" t="s">
        <v>218</v>
      </c>
      <c r="AH38" s="6" t="s">
        <v>218</v>
      </c>
      <c r="AI38" s="6" t="s">
        <v>526</v>
      </c>
      <c r="AJ38" s="49" t="s">
        <v>527</v>
      </c>
      <c r="AK38" s="33" t="s">
        <v>97</v>
      </c>
      <c r="AL38" s="33" t="s">
        <v>97</v>
      </c>
      <c r="AM38" s="5"/>
      <c r="AN38" s="5" t="s">
        <v>528</v>
      </c>
      <c r="AO38" s="5" t="s">
        <v>529</v>
      </c>
      <c r="AP38" s="5" t="s">
        <v>471</v>
      </c>
      <c r="AQ38" s="49" t="s">
        <v>463</v>
      </c>
      <c r="AR38" s="20" t="s">
        <v>97</v>
      </c>
      <c r="AS38" s="20" t="s">
        <v>107</v>
      </c>
      <c r="AT38" s="20"/>
      <c r="AU38" s="24">
        <v>0.85</v>
      </c>
      <c r="AV38" s="24">
        <f t="shared" si="2"/>
        <v>0.68</v>
      </c>
      <c r="AW38" s="24">
        <f t="shared" si="3"/>
        <v>0.51</v>
      </c>
      <c r="AX38" s="25">
        <v>1E-4</v>
      </c>
      <c r="AY38" s="24">
        <v>0</v>
      </c>
      <c r="AZ38" s="24">
        <f t="shared" si="4"/>
        <v>0.76500000000000001</v>
      </c>
      <c r="BA38" s="24">
        <f t="shared" si="5"/>
        <v>0.6120000000000001</v>
      </c>
      <c r="BB38" s="24">
        <f t="shared" si="6"/>
        <v>0.45899999999999996</v>
      </c>
      <c r="BC38" s="25">
        <v>1E-4</v>
      </c>
      <c r="BD38" s="24">
        <v>0</v>
      </c>
      <c r="BE38" s="26">
        <v>0</v>
      </c>
      <c r="BF38" s="34">
        <f t="shared" si="0"/>
        <v>0</v>
      </c>
      <c r="BG38" s="34">
        <f t="shared" si="1"/>
        <v>0</v>
      </c>
      <c r="BH38" s="26">
        <v>0</v>
      </c>
      <c r="BI38" s="26">
        <v>0</v>
      </c>
      <c r="BJ38" s="20" t="s">
        <v>496</v>
      </c>
      <c r="BK38" s="27">
        <v>0.6990318247093158</v>
      </c>
      <c r="BL38" s="27" t="s">
        <v>530</v>
      </c>
      <c r="BM38" s="27" t="s">
        <v>531</v>
      </c>
      <c r="BN38" s="26"/>
      <c r="BO38" s="34">
        <v>1</v>
      </c>
      <c r="BP38" s="34"/>
      <c r="BQ38" s="34"/>
      <c r="BR38" s="34"/>
      <c r="BS38" s="34"/>
      <c r="BT38" s="34"/>
      <c r="BU38" s="34"/>
      <c r="BV38" s="34"/>
      <c r="BW38" s="34"/>
      <c r="BX38" s="34"/>
      <c r="BY38" s="34"/>
      <c r="BZ38" s="34"/>
      <c r="CA38" s="20"/>
      <c r="CB38" s="20"/>
      <c r="CC38" s="29">
        <v>46003</v>
      </c>
      <c r="CD38" s="35" t="s">
        <v>254</v>
      </c>
    </row>
    <row r="39" spans="1:82" s="18" customFormat="1" ht="66.75" customHeight="1" x14ac:dyDescent="0.25">
      <c r="A39" s="87">
        <v>35</v>
      </c>
      <c r="B39" s="141" t="s">
        <v>532</v>
      </c>
      <c r="C39" s="6" t="s">
        <v>533</v>
      </c>
      <c r="D39" s="6" t="s">
        <v>534</v>
      </c>
      <c r="E39" s="75" t="s">
        <v>113</v>
      </c>
      <c r="F39" s="4" t="s">
        <v>81</v>
      </c>
      <c r="G39" s="33" t="s">
        <v>84</v>
      </c>
      <c r="H39" s="49" t="s">
        <v>463</v>
      </c>
      <c r="I39" s="49" t="s">
        <v>463</v>
      </c>
      <c r="J39" s="6"/>
      <c r="K39" s="49"/>
      <c r="L39" s="49"/>
      <c r="M39" s="49" t="s">
        <v>88</v>
      </c>
      <c r="N39" s="49" t="s">
        <v>89</v>
      </c>
      <c r="O39" s="49" t="s">
        <v>213</v>
      </c>
      <c r="P39" s="6" t="s">
        <v>535</v>
      </c>
      <c r="Q39" s="49"/>
      <c r="R39" s="75" t="s">
        <v>91</v>
      </c>
      <c r="S39" s="33" t="s">
        <v>92</v>
      </c>
      <c r="T39" s="33" t="s">
        <v>93</v>
      </c>
      <c r="U39" s="78">
        <v>100</v>
      </c>
      <c r="V39" s="33" t="s">
        <v>94</v>
      </c>
      <c r="W39" s="33" t="s">
        <v>95</v>
      </c>
      <c r="X39" s="33">
        <v>2023</v>
      </c>
      <c r="Y39" s="33" t="s">
        <v>117</v>
      </c>
      <c r="Z39" s="33" t="s">
        <v>95</v>
      </c>
      <c r="AA39" s="33" t="s">
        <v>98</v>
      </c>
      <c r="AB39" s="49" t="s">
        <v>99</v>
      </c>
      <c r="AC39" s="48" t="s">
        <v>536</v>
      </c>
      <c r="AD39" s="79" t="s">
        <v>491</v>
      </c>
      <c r="AE39" s="6" t="s">
        <v>537</v>
      </c>
      <c r="AF39" s="6" t="s">
        <v>121</v>
      </c>
      <c r="AG39" s="6" t="s">
        <v>218</v>
      </c>
      <c r="AH39" s="6" t="s">
        <v>218</v>
      </c>
      <c r="AI39" s="6" t="s">
        <v>538</v>
      </c>
      <c r="AJ39" s="6" t="s">
        <v>494</v>
      </c>
      <c r="AK39" s="33" t="s">
        <v>97</v>
      </c>
      <c r="AL39" s="33" t="s">
        <v>97</v>
      </c>
      <c r="AM39" s="5" t="s">
        <v>221</v>
      </c>
      <c r="AN39" s="5"/>
      <c r="AO39" s="5" t="s">
        <v>539</v>
      </c>
      <c r="AP39" s="5" t="s">
        <v>471</v>
      </c>
      <c r="AQ39" s="49" t="s">
        <v>463</v>
      </c>
      <c r="AR39" s="20" t="s">
        <v>97</v>
      </c>
      <c r="AS39" s="20" t="s">
        <v>107</v>
      </c>
      <c r="AT39" s="20"/>
      <c r="AU39" s="24">
        <v>0.1</v>
      </c>
      <c r="AV39" s="24">
        <f t="shared" si="2"/>
        <v>8.0000000000000016E-2</v>
      </c>
      <c r="AW39" s="24">
        <f t="shared" si="3"/>
        <v>0.06</v>
      </c>
      <c r="AX39" s="25">
        <v>1E-4</v>
      </c>
      <c r="AY39" s="24">
        <v>0</v>
      </c>
      <c r="AZ39" s="24">
        <f t="shared" si="4"/>
        <v>9.0000000000000011E-2</v>
      </c>
      <c r="BA39" s="24">
        <f t="shared" si="5"/>
        <v>7.2000000000000008E-2</v>
      </c>
      <c r="BB39" s="24">
        <f t="shared" si="6"/>
        <v>5.4000000000000006E-2</v>
      </c>
      <c r="BC39" s="25">
        <v>1E-4</v>
      </c>
      <c r="BD39" s="24">
        <v>0</v>
      </c>
      <c r="BE39" s="26">
        <v>0</v>
      </c>
      <c r="BF39" s="34">
        <f t="shared" si="0"/>
        <v>0</v>
      </c>
      <c r="BG39" s="34">
        <f t="shared" si="1"/>
        <v>0</v>
      </c>
      <c r="BH39" s="26">
        <v>0</v>
      </c>
      <c r="BI39" s="26">
        <v>0</v>
      </c>
      <c r="BJ39" s="20" t="s">
        <v>496</v>
      </c>
      <c r="BK39" s="27">
        <v>6.7429304293558229E-3</v>
      </c>
      <c r="BL39" s="27" t="s">
        <v>540</v>
      </c>
      <c r="BM39" s="27" t="s">
        <v>541</v>
      </c>
      <c r="BN39" s="26"/>
      <c r="BO39" s="34"/>
      <c r="BP39" s="34"/>
      <c r="BQ39" s="34"/>
      <c r="BR39" s="34"/>
      <c r="BS39" s="34"/>
      <c r="BT39" s="34"/>
      <c r="BU39" s="34"/>
      <c r="BV39" s="34"/>
      <c r="BW39" s="34"/>
      <c r="BX39" s="34"/>
      <c r="BY39" s="34"/>
      <c r="BZ39" s="34"/>
      <c r="CA39" s="20"/>
      <c r="CB39" s="20"/>
      <c r="CC39" s="29">
        <v>45699</v>
      </c>
      <c r="CD39" s="11" t="s">
        <v>360</v>
      </c>
    </row>
    <row r="40" spans="1:82" s="18" customFormat="1" ht="66.75" customHeight="1" x14ac:dyDescent="0.25">
      <c r="A40" s="121">
        <v>36</v>
      </c>
      <c r="B40" s="141" t="s">
        <v>542</v>
      </c>
      <c r="C40" s="6" t="s">
        <v>543</v>
      </c>
      <c r="D40" s="6" t="s">
        <v>544</v>
      </c>
      <c r="E40" s="75" t="s">
        <v>113</v>
      </c>
      <c r="F40" s="4" t="s">
        <v>81</v>
      </c>
      <c r="G40" s="33">
        <v>147</v>
      </c>
      <c r="H40" s="49" t="s">
        <v>463</v>
      </c>
      <c r="I40" s="49" t="s">
        <v>463</v>
      </c>
      <c r="J40" s="6"/>
      <c r="K40" s="49"/>
      <c r="L40" s="49"/>
      <c r="M40" s="49" t="s">
        <v>136</v>
      </c>
      <c r="N40" s="49" t="s">
        <v>245</v>
      </c>
      <c r="O40" s="49" t="s">
        <v>246</v>
      </c>
      <c r="P40" s="6" t="s">
        <v>535</v>
      </c>
      <c r="Q40" s="49"/>
      <c r="R40" s="75" t="s">
        <v>91</v>
      </c>
      <c r="S40" s="33" t="s">
        <v>92</v>
      </c>
      <c r="T40" s="33" t="s">
        <v>93</v>
      </c>
      <c r="U40" s="78">
        <v>100</v>
      </c>
      <c r="V40" s="33" t="s">
        <v>94</v>
      </c>
      <c r="W40" s="33" t="s">
        <v>95</v>
      </c>
      <c r="X40" s="33">
        <v>2023</v>
      </c>
      <c r="Y40" s="33" t="s">
        <v>117</v>
      </c>
      <c r="Z40" s="33" t="s">
        <v>97</v>
      </c>
      <c r="AA40" s="33" t="s">
        <v>98</v>
      </c>
      <c r="AB40" s="49" t="s">
        <v>99</v>
      </c>
      <c r="AC40" s="48" t="s">
        <v>545</v>
      </c>
      <c r="AD40" s="48" t="s">
        <v>546</v>
      </c>
      <c r="AE40" s="6" t="s">
        <v>547</v>
      </c>
      <c r="AF40" s="6" t="s">
        <v>537</v>
      </c>
      <c r="AG40" s="6" t="s">
        <v>218</v>
      </c>
      <c r="AH40" s="6" t="s">
        <v>218</v>
      </c>
      <c r="AI40" s="6" t="s">
        <v>548</v>
      </c>
      <c r="AJ40" s="49" t="s">
        <v>538</v>
      </c>
      <c r="AK40" s="33" t="s">
        <v>97</v>
      </c>
      <c r="AL40" s="33" t="s">
        <v>97</v>
      </c>
      <c r="AM40" s="5"/>
      <c r="AN40" s="5" t="s">
        <v>528</v>
      </c>
      <c r="AO40" s="5" t="s">
        <v>549</v>
      </c>
      <c r="AP40" s="5" t="s">
        <v>471</v>
      </c>
      <c r="AQ40" s="49" t="s">
        <v>463</v>
      </c>
      <c r="AR40" s="20" t="s">
        <v>97</v>
      </c>
      <c r="AS40" s="20" t="s">
        <v>107</v>
      </c>
      <c r="AT40" s="20"/>
      <c r="AU40" s="24">
        <v>0.85</v>
      </c>
      <c r="AV40" s="24">
        <f t="shared" si="2"/>
        <v>0.68</v>
      </c>
      <c r="AW40" s="24">
        <f t="shared" si="3"/>
        <v>0.51</v>
      </c>
      <c r="AX40" s="25">
        <v>1E-4</v>
      </c>
      <c r="AY40" s="24">
        <v>0</v>
      </c>
      <c r="AZ40" s="24">
        <f t="shared" si="4"/>
        <v>0.76500000000000001</v>
      </c>
      <c r="BA40" s="24">
        <f t="shared" si="5"/>
        <v>0.6120000000000001</v>
      </c>
      <c r="BB40" s="24">
        <f t="shared" si="6"/>
        <v>0.45899999999999996</v>
      </c>
      <c r="BC40" s="25">
        <v>1E-4</v>
      </c>
      <c r="BD40" s="24">
        <v>0</v>
      </c>
      <c r="BE40" s="26">
        <v>0</v>
      </c>
      <c r="BF40" s="34">
        <f t="shared" si="0"/>
        <v>0</v>
      </c>
      <c r="BG40" s="34">
        <f t="shared" si="1"/>
        <v>0</v>
      </c>
      <c r="BH40" s="26">
        <v>0</v>
      </c>
      <c r="BI40" s="26">
        <v>0</v>
      </c>
      <c r="BJ40" s="20" t="s">
        <v>496</v>
      </c>
      <c r="BK40" s="27">
        <v>0.66213806572132117</v>
      </c>
      <c r="BL40" s="27" t="s">
        <v>550</v>
      </c>
      <c r="BM40" s="27" t="s">
        <v>551</v>
      </c>
      <c r="BN40" s="26"/>
      <c r="BO40" s="34">
        <v>1</v>
      </c>
      <c r="BP40" s="34"/>
      <c r="BQ40" s="34"/>
      <c r="BR40" s="34"/>
      <c r="BS40" s="34"/>
      <c r="BT40" s="34"/>
      <c r="BU40" s="34"/>
      <c r="BV40" s="34"/>
      <c r="BW40" s="34"/>
      <c r="BX40" s="34"/>
      <c r="BY40" s="34"/>
      <c r="BZ40" s="34"/>
      <c r="CA40" s="20"/>
      <c r="CB40" s="20"/>
      <c r="CC40" s="29">
        <v>46003</v>
      </c>
      <c r="CD40" s="35" t="s">
        <v>254</v>
      </c>
    </row>
    <row r="41" spans="1:82" s="18" customFormat="1" ht="66.75" customHeight="1" x14ac:dyDescent="0.25">
      <c r="A41" s="87">
        <v>37</v>
      </c>
      <c r="B41" s="141" t="s">
        <v>552</v>
      </c>
      <c r="C41" s="6" t="s">
        <v>553</v>
      </c>
      <c r="D41" s="6" t="s">
        <v>554</v>
      </c>
      <c r="E41" s="75" t="s">
        <v>113</v>
      </c>
      <c r="F41" s="4" t="s">
        <v>81</v>
      </c>
      <c r="G41" s="33" t="s">
        <v>84</v>
      </c>
      <c r="H41" s="49" t="s">
        <v>463</v>
      </c>
      <c r="I41" s="49" t="s">
        <v>463</v>
      </c>
      <c r="J41" s="6"/>
      <c r="K41" s="49"/>
      <c r="L41" s="49"/>
      <c r="M41" s="49" t="s">
        <v>88</v>
      </c>
      <c r="N41" s="49" t="s">
        <v>89</v>
      </c>
      <c r="O41" s="49" t="s">
        <v>213</v>
      </c>
      <c r="P41" s="6" t="s">
        <v>555</v>
      </c>
      <c r="Q41" s="49"/>
      <c r="R41" s="75" t="s">
        <v>91</v>
      </c>
      <c r="S41" s="33" t="s">
        <v>92</v>
      </c>
      <c r="T41" s="33" t="s">
        <v>93</v>
      </c>
      <c r="U41" s="78">
        <v>100</v>
      </c>
      <c r="V41" s="33" t="s">
        <v>94</v>
      </c>
      <c r="W41" s="33" t="s">
        <v>95</v>
      </c>
      <c r="X41" s="33">
        <v>2023</v>
      </c>
      <c r="Y41" s="33" t="s">
        <v>117</v>
      </c>
      <c r="Z41" s="33" t="s">
        <v>95</v>
      </c>
      <c r="AA41" s="33" t="s">
        <v>98</v>
      </c>
      <c r="AB41" s="49" t="s">
        <v>99</v>
      </c>
      <c r="AC41" s="48" t="s">
        <v>556</v>
      </c>
      <c r="AD41" s="79" t="s">
        <v>491</v>
      </c>
      <c r="AE41" s="6" t="s">
        <v>557</v>
      </c>
      <c r="AF41" s="6" t="s">
        <v>121</v>
      </c>
      <c r="AG41" s="6" t="s">
        <v>218</v>
      </c>
      <c r="AH41" s="6" t="s">
        <v>218</v>
      </c>
      <c r="AI41" s="6" t="s">
        <v>558</v>
      </c>
      <c r="AJ41" s="6" t="s">
        <v>494</v>
      </c>
      <c r="AK41" s="33" t="s">
        <v>97</v>
      </c>
      <c r="AL41" s="33" t="s">
        <v>97</v>
      </c>
      <c r="AM41" s="5" t="s">
        <v>221</v>
      </c>
      <c r="AN41" s="5"/>
      <c r="AO41" s="5" t="s">
        <v>559</v>
      </c>
      <c r="AP41" s="5" t="s">
        <v>471</v>
      </c>
      <c r="AQ41" s="49" t="s">
        <v>463</v>
      </c>
      <c r="AR41" s="20" t="s">
        <v>97</v>
      </c>
      <c r="AS41" s="20" t="s">
        <v>107</v>
      </c>
      <c r="AT41" s="20"/>
      <c r="AU41" s="24">
        <v>0.1</v>
      </c>
      <c r="AV41" s="24">
        <f t="shared" si="2"/>
        <v>8.0000000000000016E-2</v>
      </c>
      <c r="AW41" s="24">
        <f t="shared" si="3"/>
        <v>0.06</v>
      </c>
      <c r="AX41" s="25">
        <v>1E-4</v>
      </c>
      <c r="AY41" s="24">
        <v>0</v>
      </c>
      <c r="AZ41" s="24">
        <f t="shared" si="4"/>
        <v>9.0000000000000011E-2</v>
      </c>
      <c r="BA41" s="24">
        <f t="shared" si="5"/>
        <v>7.2000000000000008E-2</v>
      </c>
      <c r="BB41" s="24">
        <f t="shared" si="6"/>
        <v>5.4000000000000006E-2</v>
      </c>
      <c r="BC41" s="25">
        <v>1E-4</v>
      </c>
      <c r="BD41" s="24">
        <v>0</v>
      </c>
      <c r="BE41" s="26">
        <v>0</v>
      </c>
      <c r="BF41" s="34">
        <f t="shared" si="0"/>
        <v>0</v>
      </c>
      <c r="BG41" s="34">
        <f t="shared" si="1"/>
        <v>0</v>
      </c>
      <c r="BH41" s="26">
        <v>0</v>
      </c>
      <c r="BI41" s="26">
        <v>0</v>
      </c>
      <c r="BJ41" s="20" t="s">
        <v>496</v>
      </c>
      <c r="BK41" s="27">
        <v>8.5144025146429853E-3</v>
      </c>
      <c r="BL41" s="27" t="s">
        <v>560</v>
      </c>
      <c r="BM41" s="27" t="s">
        <v>561</v>
      </c>
      <c r="BN41" s="26"/>
      <c r="BO41" s="34"/>
      <c r="BP41" s="34"/>
      <c r="BQ41" s="34"/>
      <c r="BR41" s="34"/>
      <c r="BS41" s="34"/>
      <c r="BT41" s="34"/>
      <c r="BU41" s="34"/>
      <c r="BV41" s="34"/>
      <c r="BW41" s="34"/>
      <c r="BX41" s="34"/>
      <c r="BY41" s="34"/>
      <c r="BZ41" s="34"/>
      <c r="CA41" s="20"/>
      <c r="CB41" s="20"/>
      <c r="CC41" s="29">
        <v>45699</v>
      </c>
      <c r="CD41" s="11" t="s">
        <v>360</v>
      </c>
    </row>
    <row r="42" spans="1:82" s="18" customFormat="1" ht="66.75" customHeight="1" x14ac:dyDescent="0.25">
      <c r="A42" s="87">
        <v>38</v>
      </c>
      <c r="B42" s="141" t="s">
        <v>562</v>
      </c>
      <c r="C42" s="6" t="s">
        <v>563</v>
      </c>
      <c r="D42" s="6" t="s">
        <v>564</v>
      </c>
      <c r="E42" s="75" t="s">
        <v>113</v>
      </c>
      <c r="F42" s="4" t="s">
        <v>81</v>
      </c>
      <c r="G42" s="33">
        <v>149</v>
      </c>
      <c r="H42" s="49" t="s">
        <v>463</v>
      </c>
      <c r="I42" s="49" t="s">
        <v>463</v>
      </c>
      <c r="J42" s="6"/>
      <c r="K42" s="49"/>
      <c r="L42" s="49"/>
      <c r="M42" s="49" t="s">
        <v>136</v>
      </c>
      <c r="N42" s="49" t="s">
        <v>245</v>
      </c>
      <c r="O42" s="49" t="s">
        <v>246</v>
      </c>
      <c r="P42" s="6" t="s">
        <v>555</v>
      </c>
      <c r="Q42" s="49"/>
      <c r="R42" s="75" t="s">
        <v>91</v>
      </c>
      <c r="S42" s="33" t="s">
        <v>92</v>
      </c>
      <c r="T42" s="33" t="s">
        <v>93</v>
      </c>
      <c r="U42" s="78">
        <v>100</v>
      </c>
      <c r="V42" s="33" t="s">
        <v>94</v>
      </c>
      <c r="W42" s="33" t="s">
        <v>95</v>
      </c>
      <c r="X42" s="33">
        <v>2023</v>
      </c>
      <c r="Y42" s="33" t="s">
        <v>117</v>
      </c>
      <c r="Z42" s="33" t="s">
        <v>97</v>
      </c>
      <c r="AA42" s="33" t="s">
        <v>98</v>
      </c>
      <c r="AB42" s="49" t="s">
        <v>99</v>
      </c>
      <c r="AC42" s="48" t="s">
        <v>565</v>
      </c>
      <c r="AD42" s="48" t="s">
        <v>566</v>
      </c>
      <c r="AE42" s="6" t="s">
        <v>567</v>
      </c>
      <c r="AF42" s="6" t="s">
        <v>557</v>
      </c>
      <c r="AG42" s="6" t="s">
        <v>218</v>
      </c>
      <c r="AH42" s="6" t="s">
        <v>218</v>
      </c>
      <c r="AI42" s="6" t="s">
        <v>568</v>
      </c>
      <c r="AJ42" s="49" t="s">
        <v>558</v>
      </c>
      <c r="AK42" s="33" t="s">
        <v>97</v>
      </c>
      <c r="AL42" s="33" t="s">
        <v>97</v>
      </c>
      <c r="AM42" s="5"/>
      <c r="AN42" s="5" t="s">
        <v>569</v>
      </c>
      <c r="AO42" s="5" t="s">
        <v>570</v>
      </c>
      <c r="AP42" s="5" t="s">
        <v>471</v>
      </c>
      <c r="AQ42" s="49" t="s">
        <v>463</v>
      </c>
      <c r="AR42" s="20" t="s">
        <v>97</v>
      </c>
      <c r="AS42" s="20" t="s">
        <v>107</v>
      </c>
      <c r="AT42" s="20"/>
      <c r="AU42" s="24" t="s">
        <v>571</v>
      </c>
      <c r="AV42" s="24"/>
      <c r="AW42" s="24"/>
      <c r="AX42" s="25"/>
      <c r="AY42" s="24">
        <v>0</v>
      </c>
      <c r="AZ42" s="24" t="s">
        <v>571</v>
      </c>
      <c r="BA42" s="24"/>
      <c r="BB42" s="24"/>
      <c r="BC42" s="25" t="s">
        <v>572</v>
      </c>
      <c r="BD42" s="24"/>
      <c r="BE42" s="26">
        <v>0</v>
      </c>
      <c r="BF42" s="34">
        <f t="shared" si="0"/>
        <v>0</v>
      </c>
      <c r="BG42" s="34">
        <f t="shared" si="1"/>
        <v>0</v>
      </c>
      <c r="BH42" s="26">
        <v>0</v>
      </c>
      <c r="BI42" s="26">
        <v>0</v>
      </c>
      <c r="BJ42" s="20" t="s">
        <v>496</v>
      </c>
      <c r="BK42" s="27">
        <v>0.17456795104565934</v>
      </c>
      <c r="BL42" s="27" t="s">
        <v>573</v>
      </c>
      <c r="BM42" s="27" t="s">
        <v>574</v>
      </c>
      <c r="BN42" s="26"/>
      <c r="BO42" s="34">
        <v>1</v>
      </c>
      <c r="BP42" s="34"/>
      <c r="BQ42" s="34"/>
      <c r="BR42" s="34"/>
      <c r="BS42" s="34"/>
      <c r="BT42" s="34"/>
      <c r="BU42" s="34"/>
      <c r="BV42" s="34"/>
      <c r="BW42" s="34"/>
      <c r="BX42" s="34"/>
      <c r="BY42" s="34"/>
      <c r="BZ42" s="34"/>
      <c r="CA42" s="20"/>
      <c r="CB42" s="20"/>
      <c r="CC42" s="29">
        <v>46003</v>
      </c>
      <c r="CD42" s="35" t="s">
        <v>254</v>
      </c>
    </row>
    <row r="43" spans="1:82" s="18" customFormat="1" ht="66.75" customHeight="1" x14ac:dyDescent="0.25">
      <c r="A43" s="121">
        <v>39</v>
      </c>
      <c r="B43" s="141" t="s">
        <v>575</v>
      </c>
      <c r="C43" s="6" t="s">
        <v>576</v>
      </c>
      <c r="D43" s="6" t="s">
        <v>577</v>
      </c>
      <c r="E43" s="75" t="s">
        <v>174</v>
      </c>
      <c r="F43" s="4" t="s">
        <v>81</v>
      </c>
      <c r="G43" s="33">
        <v>78</v>
      </c>
      <c r="H43" s="49" t="s">
        <v>114</v>
      </c>
      <c r="I43" s="49" t="s">
        <v>578</v>
      </c>
      <c r="J43" s="6"/>
      <c r="K43" s="49"/>
      <c r="L43" s="49"/>
      <c r="M43" s="49" t="s">
        <v>136</v>
      </c>
      <c r="N43" s="49" t="s">
        <v>89</v>
      </c>
      <c r="O43" s="49" t="s">
        <v>579</v>
      </c>
      <c r="P43" s="6" t="s">
        <v>580</v>
      </c>
      <c r="Q43" s="49"/>
      <c r="R43" s="75" t="s">
        <v>91</v>
      </c>
      <c r="S43" s="33" t="s">
        <v>92</v>
      </c>
      <c r="T43" s="33" t="s">
        <v>93</v>
      </c>
      <c r="U43" s="78">
        <v>100</v>
      </c>
      <c r="V43" s="33" t="s">
        <v>94</v>
      </c>
      <c r="W43" s="33" t="s">
        <v>95</v>
      </c>
      <c r="X43" s="33">
        <v>2021</v>
      </c>
      <c r="Y43" s="33" t="s">
        <v>117</v>
      </c>
      <c r="Z43" s="33" t="s">
        <v>97</v>
      </c>
      <c r="AA43" s="33" t="s">
        <v>98</v>
      </c>
      <c r="AB43" s="49" t="s">
        <v>99</v>
      </c>
      <c r="AC43" s="48" t="s">
        <v>581</v>
      </c>
      <c r="AD43" s="48" t="s">
        <v>582</v>
      </c>
      <c r="AE43" s="6" t="s">
        <v>583</v>
      </c>
      <c r="AF43" s="6" t="s">
        <v>121</v>
      </c>
      <c r="AG43" s="6" t="s">
        <v>218</v>
      </c>
      <c r="AH43" s="6" t="s">
        <v>123</v>
      </c>
      <c r="AI43" s="6" t="s">
        <v>584</v>
      </c>
      <c r="AJ43" s="6" t="s">
        <v>585</v>
      </c>
      <c r="AK43" s="33" t="s">
        <v>97</v>
      </c>
      <c r="AL43" s="33" t="s">
        <v>97</v>
      </c>
      <c r="AM43" s="5" t="s">
        <v>586</v>
      </c>
      <c r="AN43" s="5"/>
      <c r="AO43" s="5" t="s">
        <v>587</v>
      </c>
      <c r="AP43" s="5" t="s">
        <v>588</v>
      </c>
      <c r="AQ43" s="49" t="s">
        <v>589</v>
      </c>
      <c r="AR43" s="20" t="s">
        <v>97</v>
      </c>
      <c r="AS43" s="20" t="s">
        <v>107</v>
      </c>
      <c r="AT43" s="20"/>
      <c r="AU43" s="24">
        <v>0.9</v>
      </c>
      <c r="AV43" s="24">
        <f t="shared" ref="AV43:AV76" si="7">+AU43*80%</f>
        <v>0.72000000000000008</v>
      </c>
      <c r="AW43" s="24">
        <f t="shared" ref="AW43:AW76" si="8">+AU43*60%</f>
        <v>0.54</v>
      </c>
      <c r="AX43" s="25">
        <v>1E-4</v>
      </c>
      <c r="AY43" s="24">
        <v>0</v>
      </c>
      <c r="AZ43" s="24">
        <f t="shared" ref="AZ43:AZ76" si="9">+AU43*90%</f>
        <v>0.81</v>
      </c>
      <c r="BA43" s="24">
        <f t="shared" ref="BA43:BA76" si="10">AZ43*80%</f>
        <v>0.64800000000000013</v>
      </c>
      <c r="BB43" s="24">
        <f t="shared" ref="BB43:BB76" si="11">AZ43*60%</f>
        <v>0.48599999999999999</v>
      </c>
      <c r="BC43" s="25">
        <v>1E-4</v>
      </c>
      <c r="BD43" s="24">
        <v>0</v>
      </c>
      <c r="BE43" s="34">
        <v>30</v>
      </c>
      <c r="BF43" s="34">
        <f t="shared" si="0"/>
        <v>24</v>
      </c>
      <c r="BG43" s="34">
        <f t="shared" si="1"/>
        <v>18</v>
      </c>
      <c r="BH43" s="26">
        <v>1</v>
      </c>
      <c r="BI43" s="26">
        <v>0</v>
      </c>
      <c r="BJ43" s="27">
        <v>0.76600000000000001</v>
      </c>
      <c r="BK43" s="27">
        <v>0.63333629077573717</v>
      </c>
      <c r="BL43" s="27" t="s">
        <v>590</v>
      </c>
      <c r="BM43" s="27" t="s">
        <v>591</v>
      </c>
      <c r="BN43" s="26"/>
      <c r="BO43" s="34">
        <v>1</v>
      </c>
      <c r="BP43" s="34"/>
      <c r="BQ43" s="34"/>
      <c r="BR43" s="34"/>
      <c r="BS43" s="34">
        <v>1</v>
      </c>
      <c r="BT43" s="34"/>
      <c r="BU43" s="34"/>
      <c r="BV43" s="34"/>
      <c r="BW43" s="34"/>
      <c r="BX43" s="34"/>
      <c r="BY43" s="34"/>
      <c r="BZ43" s="34">
        <v>1</v>
      </c>
      <c r="CA43" s="20" t="s">
        <v>578</v>
      </c>
      <c r="CB43" s="7" t="s">
        <v>578</v>
      </c>
      <c r="CC43" s="29">
        <v>46003</v>
      </c>
      <c r="CD43" s="11" t="s">
        <v>592</v>
      </c>
    </row>
    <row r="44" spans="1:82" s="18" customFormat="1" ht="66.75" customHeight="1" x14ac:dyDescent="0.25">
      <c r="A44" s="87">
        <v>40</v>
      </c>
      <c r="B44" s="141" t="s">
        <v>593</v>
      </c>
      <c r="C44" s="6" t="s">
        <v>594</v>
      </c>
      <c r="D44" s="6" t="s">
        <v>595</v>
      </c>
      <c r="E44" s="75" t="s">
        <v>174</v>
      </c>
      <c r="F44" s="4" t="s">
        <v>81</v>
      </c>
      <c r="G44" s="33" t="s">
        <v>84</v>
      </c>
      <c r="H44" s="49" t="s">
        <v>114</v>
      </c>
      <c r="I44" s="49" t="s">
        <v>578</v>
      </c>
      <c r="J44" s="6"/>
      <c r="K44" s="49"/>
      <c r="L44" s="49"/>
      <c r="M44" s="49" t="s">
        <v>88</v>
      </c>
      <c r="N44" s="49" t="s">
        <v>89</v>
      </c>
      <c r="O44" s="49" t="s">
        <v>579</v>
      </c>
      <c r="P44" s="6" t="s">
        <v>580</v>
      </c>
      <c r="Q44" s="49"/>
      <c r="R44" s="75" t="s">
        <v>91</v>
      </c>
      <c r="S44" s="33" t="s">
        <v>92</v>
      </c>
      <c r="T44" s="33" t="s">
        <v>93</v>
      </c>
      <c r="U44" s="78">
        <v>100</v>
      </c>
      <c r="V44" s="33" t="s">
        <v>94</v>
      </c>
      <c r="W44" s="33" t="s">
        <v>95</v>
      </c>
      <c r="X44" s="33">
        <v>2021</v>
      </c>
      <c r="Y44" s="33" t="s">
        <v>117</v>
      </c>
      <c r="Z44" s="33" t="s">
        <v>97</v>
      </c>
      <c r="AA44" s="33" t="s">
        <v>98</v>
      </c>
      <c r="AB44" s="49" t="s">
        <v>99</v>
      </c>
      <c r="AC44" s="48" t="s">
        <v>581</v>
      </c>
      <c r="AD44" s="48" t="s">
        <v>596</v>
      </c>
      <c r="AE44" s="6" t="s">
        <v>583</v>
      </c>
      <c r="AF44" s="6" t="s">
        <v>121</v>
      </c>
      <c r="AG44" s="6" t="s">
        <v>218</v>
      </c>
      <c r="AH44" s="6" t="s">
        <v>123</v>
      </c>
      <c r="AI44" s="6" t="s">
        <v>584</v>
      </c>
      <c r="AJ44" s="6" t="s">
        <v>597</v>
      </c>
      <c r="AK44" s="33" t="s">
        <v>97</v>
      </c>
      <c r="AL44" s="33" t="s">
        <v>97</v>
      </c>
      <c r="AM44" s="5" t="s">
        <v>586</v>
      </c>
      <c r="AN44" s="5"/>
      <c r="AO44" s="5" t="s">
        <v>598</v>
      </c>
      <c r="AP44" s="5" t="s">
        <v>599</v>
      </c>
      <c r="AQ44" s="49" t="s">
        <v>589</v>
      </c>
      <c r="AR44" s="20" t="s">
        <v>97</v>
      </c>
      <c r="AS44" s="20" t="s">
        <v>107</v>
      </c>
      <c r="AT44" s="20"/>
      <c r="AU44" s="24">
        <v>0.9</v>
      </c>
      <c r="AV44" s="24">
        <f t="shared" si="7"/>
        <v>0.72000000000000008</v>
      </c>
      <c r="AW44" s="24">
        <f t="shared" si="8"/>
        <v>0.54</v>
      </c>
      <c r="AX44" s="25">
        <v>1E-4</v>
      </c>
      <c r="AY44" s="24">
        <v>0</v>
      </c>
      <c r="AZ44" s="24">
        <f t="shared" si="9"/>
        <v>0.81</v>
      </c>
      <c r="BA44" s="24">
        <f t="shared" si="10"/>
        <v>0.64800000000000013</v>
      </c>
      <c r="BB44" s="24">
        <f t="shared" si="11"/>
        <v>0.48599999999999999</v>
      </c>
      <c r="BC44" s="25">
        <v>1E-4</v>
      </c>
      <c r="BD44" s="24">
        <v>0</v>
      </c>
      <c r="BE44" s="34">
        <v>10</v>
      </c>
      <c r="BF44" s="34">
        <f t="shared" si="0"/>
        <v>8</v>
      </c>
      <c r="BG44" s="34">
        <f t="shared" si="1"/>
        <v>6</v>
      </c>
      <c r="BH44" s="26">
        <v>1</v>
      </c>
      <c r="BI44" s="26">
        <v>0</v>
      </c>
      <c r="BJ44" s="27">
        <v>0.63200000000000001</v>
      </c>
      <c r="BK44" s="27">
        <v>0.697950558883913</v>
      </c>
      <c r="BL44" s="27" t="s">
        <v>600</v>
      </c>
      <c r="BM44" s="27" t="s">
        <v>601</v>
      </c>
      <c r="BN44" s="26"/>
      <c r="BO44" s="34"/>
      <c r="BP44" s="34"/>
      <c r="BQ44" s="34"/>
      <c r="BR44" s="34"/>
      <c r="BS44" s="34"/>
      <c r="BT44" s="34"/>
      <c r="BU44" s="34"/>
      <c r="BV44" s="34"/>
      <c r="BW44" s="34"/>
      <c r="BX44" s="34"/>
      <c r="BY44" s="34"/>
      <c r="BZ44" s="34">
        <v>1</v>
      </c>
      <c r="CA44" s="20" t="s">
        <v>578</v>
      </c>
      <c r="CB44" s="20" t="s">
        <v>578</v>
      </c>
      <c r="CC44" s="29">
        <v>46003</v>
      </c>
      <c r="CD44" s="11" t="s">
        <v>602</v>
      </c>
    </row>
    <row r="45" spans="1:82" s="18" customFormat="1" ht="66.75" customHeight="1" x14ac:dyDescent="0.25">
      <c r="A45" s="87">
        <v>41</v>
      </c>
      <c r="B45" s="141" t="s">
        <v>603</v>
      </c>
      <c r="C45" s="6" t="s">
        <v>604</v>
      </c>
      <c r="D45" s="6" t="s">
        <v>605</v>
      </c>
      <c r="E45" s="75" t="s">
        <v>174</v>
      </c>
      <c r="F45" s="4" t="s">
        <v>81</v>
      </c>
      <c r="G45" s="33" t="s">
        <v>84</v>
      </c>
      <c r="H45" s="49" t="s">
        <v>114</v>
      </c>
      <c r="I45" s="49" t="s">
        <v>578</v>
      </c>
      <c r="J45" s="6"/>
      <c r="K45" s="49"/>
      <c r="L45" s="49"/>
      <c r="M45" s="49" t="s">
        <v>88</v>
      </c>
      <c r="N45" s="49" t="s">
        <v>89</v>
      </c>
      <c r="O45" s="49" t="s">
        <v>579</v>
      </c>
      <c r="P45" s="6" t="s">
        <v>580</v>
      </c>
      <c r="Q45" s="49"/>
      <c r="R45" s="75" t="s">
        <v>91</v>
      </c>
      <c r="S45" s="33" t="s">
        <v>92</v>
      </c>
      <c r="T45" s="33" t="s">
        <v>93</v>
      </c>
      <c r="U45" s="78">
        <v>100</v>
      </c>
      <c r="V45" s="33" t="s">
        <v>94</v>
      </c>
      <c r="W45" s="33" t="s">
        <v>95</v>
      </c>
      <c r="X45" s="33">
        <v>2021</v>
      </c>
      <c r="Y45" s="33" t="s">
        <v>117</v>
      </c>
      <c r="Z45" s="33" t="s">
        <v>97</v>
      </c>
      <c r="AA45" s="33" t="s">
        <v>98</v>
      </c>
      <c r="AB45" s="49" t="s">
        <v>99</v>
      </c>
      <c r="AC45" s="48" t="s">
        <v>581</v>
      </c>
      <c r="AD45" s="79" t="s">
        <v>606</v>
      </c>
      <c r="AE45" s="6" t="s">
        <v>583</v>
      </c>
      <c r="AF45" s="6" t="s">
        <v>121</v>
      </c>
      <c r="AG45" s="6" t="s">
        <v>218</v>
      </c>
      <c r="AH45" s="6" t="s">
        <v>123</v>
      </c>
      <c r="AI45" s="6" t="s">
        <v>584</v>
      </c>
      <c r="AJ45" s="6" t="s">
        <v>607</v>
      </c>
      <c r="AK45" s="33" t="s">
        <v>97</v>
      </c>
      <c r="AL45" s="33" t="s">
        <v>97</v>
      </c>
      <c r="AM45" s="5" t="s">
        <v>586</v>
      </c>
      <c r="AN45" s="5"/>
      <c r="AO45" s="5" t="s">
        <v>608</v>
      </c>
      <c r="AP45" s="5" t="s">
        <v>609</v>
      </c>
      <c r="AQ45" s="49" t="s">
        <v>589</v>
      </c>
      <c r="AR45" s="20" t="s">
        <v>97</v>
      </c>
      <c r="AS45" s="20" t="s">
        <v>107</v>
      </c>
      <c r="AT45" s="20"/>
      <c r="AU45" s="24">
        <v>0.9</v>
      </c>
      <c r="AV45" s="24">
        <f t="shared" si="7"/>
        <v>0.72000000000000008</v>
      </c>
      <c r="AW45" s="24">
        <f t="shared" si="8"/>
        <v>0.54</v>
      </c>
      <c r="AX45" s="25">
        <v>1E-4</v>
      </c>
      <c r="AY45" s="24">
        <v>0</v>
      </c>
      <c r="AZ45" s="24">
        <f t="shared" si="9"/>
        <v>0.81</v>
      </c>
      <c r="BA45" s="24">
        <f t="shared" si="10"/>
        <v>0.64800000000000013</v>
      </c>
      <c r="BB45" s="24">
        <f t="shared" si="11"/>
        <v>0.48599999999999999</v>
      </c>
      <c r="BC45" s="25">
        <v>1E-4</v>
      </c>
      <c r="BD45" s="24">
        <v>0</v>
      </c>
      <c r="BE45" s="34">
        <v>10</v>
      </c>
      <c r="BF45" s="34">
        <f t="shared" si="0"/>
        <v>8</v>
      </c>
      <c r="BG45" s="34">
        <f t="shared" si="1"/>
        <v>6</v>
      </c>
      <c r="BH45" s="26">
        <v>1</v>
      </c>
      <c r="BI45" s="26">
        <v>0</v>
      </c>
      <c r="BJ45" s="27">
        <v>0.65</v>
      </c>
      <c r="BK45" s="27">
        <v>0.65240322876536416</v>
      </c>
      <c r="BL45" s="27" t="s">
        <v>610</v>
      </c>
      <c r="BM45" s="27" t="s">
        <v>611</v>
      </c>
      <c r="BN45" s="26"/>
      <c r="BO45" s="34"/>
      <c r="BP45" s="34"/>
      <c r="BQ45" s="34"/>
      <c r="BR45" s="34"/>
      <c r="BS45" s="34"/>
      <c r="BT45" s="34"/>
      <c r="BU45" s="34"/>
      <c r="BV45" s="34"/>
      <c r="BW45" s="34"/>
      <c r="BX45" s="34"/>
      <c r="BY45" s="34"/>
      <c r="BZ45" s="34">
        <v>1</v>
      </c>
      <c r="CA45" s="20" t="s">
        <v>578</v>
      </c>
      <c r="CB45" s="20" t="s">
        <v>578</v>
      </c>
      <c r="CC45" s="29">
        <v>46003</v>
      </c>
      <c r="CD45" s="11" t="s">
        <v>612</v>
      </c>
    </row>
    <row r="46" spans="1:82" s="18" customFormat="1" ht="66.75" customHeight="1" x14ac:dyDescent="0.25">
      <c r="A46" s="121">
        <v>42</v>
      </c>
      <c r="B46" s="141" t="s">
        <v>613</v>
      </c>
      <c r="C46" s="6" t="s">
        <v>614</v>
      </c>
      <c r="D46" s="6" t="s">
        <v>615</v>
      </c>
      <c r="E46" s="75" t="s">
        <v>174</v>
      </c>
      <c r="F46" s="4" t="s">
        <v>81</v>
      </c>
      <c r="G46" s="33" t="s">
        <v>84</v>
      </c>
      <c r="H46" s="49" t="s">
        <v>114</v>
      </c>
      <c r="I46" s="49" t="s">
        <v>578</v>
      </c>
      <c r="J46" s="6"/>
      <c r="K46" s="49"/>
      <c r="L46" s="49"/>
      <c r="M46" s="49" t="s">
        <v>88</v>
      </c>
      <c r="N46" s="49" t="s">
        <v>89</v>
      </c>
      <c r="O46" s="49" t="s">
        <v>579</v>
      </c>
      <c r="P46" s="6" t="s">
        <v>580</v>
      </c>
      <c r="Q46" s="49"/>
      <c r="R46" s="75" t="s">
        <v>91</v>
      </c>
      <c r="S46" s="33" t="s">
        <v>92</v>
      </c>
      <c r="T46" s="33" t="s">
        <v>93</v>
      </c>
      <c r="U46" s="78">
        <v>100</v>
      </c>
      <c r="V46" s="33" t="s">
        <v>94</v>
      </c>
      <c r="W46" s="33" t="s">
        <v>95</v>
      </c>
      <c r="X46" s="33">
        <v>2023</v>
      </c>
      <c r="Y46" s="33" t="s">
        <v>117</v>
      </c>
      <c r="Z46" s="33" t="s">
        <v>97</v>
      </c>
      <c r="AA46" s="33" t="s">
        <v>98</v>
      </c>
      <c r="AB46" s="49" t="s">
        <v>99</v>
      </c>
      <c r="AC46" s="48" t="s">
        <v>581</v>
      </c>
      <c r="AD46" s="48" t="s">
        <v>616</v>
      </c>
      <c r="AE46" s="6" t="s">
        <v>583</v>
      </c>
      <c r="AF46" s="6" t="s">
        <v>121</v>
      </c>
      <c r="AG46" s="6" t="s">
        <v>218</v>
      </c>
      <c r="AH46" s="6" t="s">
        <v>123</v>
      </c>
      <c r="AI46" s="6" t="s">
        <v>584</v>
      </c>
      <c r="AJ46" s="6" t="s">
        <v>617</v>
      </c>
      <c r="AK46" s="33" t="s">
        <v>97</v>
      </c>
      <c r="AL46" s="33" t="s">
        <v>97</v>
      </c>
      <c r="AM46" s="5" t="s">
        <v>586</v>
      </c>
      <c r="AN46" s="5"/>
      <c r="AO46" s="5" t="s">
        <v>618</v>
      </c>
      <c r="AP46" s="5" t="s">
        <v>619</v>
      </c>
      <c r="AQ46" s="49" t="s">
        <v>589</v>
      </c>
      <c r="AR46" s="20" t="s">
        <v>97</v>
      </c>
      <c r="AS46" s="20" t="s">
        <v>107</v>
      </c>
      <c r="AT46" s="20"/>
      <c r="AU46" s="24">
        <v>0.9</v>
      </c>
      <c r="AV46" s="24">
        <f t="shared" si="7"/>
        <v>0.72000000000000008</v>
      </c>
      <c r="AW46" s="24">
        <f t="shared" si="8"/>
        <v>0.54</v>
      </c>
      <c r="AX46" s="25">
        <v>1E-4</v>
      </c>
      <c r="AY46" s="24">
        <v>0</v>
      </c>
      <c r="AZ46" s="24">
        <f t="shared" si="9"/>
        <v>0.81</v>
      </c>
      <c r="BA46" s="24">
        <f t="shared" si="10"/>
        <v>0.64800000000000013</v>
      </c>
      <c r="BB46" s="24">
        <f t="shared" si="11"/>
        <v>0.48599999999999999</v>
      </c>
      <c r="BC46" s="25">
        <v>1E-4</v>
      </c>
      <c r="BD46" s="24">
        <v>0</v>
      </c>
      <c r="BE46" s="34">
        <v>10</v>
      </c>
      <c r="BF46" s="34">
        <f t="shared" si="0"/>
        <v>8</v>
      </c>
      <c r="BG46" s="34">
        <f t="shared" si="1"/>
        <v>6</v>
      </c>
      <c r="BH46" s="26">
        <v>1</v>
      </c>
      <c r="BI46" s="26">
        <v>0</v>
      </c>
      <c r="BJ46" s="27">
        <v>0.66900000000000004</v>
      </c>
      <c r="BK46" s="27">
        <v>0.66090945891242747</v>
      </c>
      <c r="BL46" s="27" t="s">
        <v>620</v>
      </c>
      <c r="BM46" s="27" t="s">
        <v>621</v>
      </c>
      <c r="BN46" s="26"/>
      <c r="BO46" s="34"/>
      <c r="BP46" s="34"/>
      <c r="BQ46" s="34"/>
      <c r="BR46" s="34"/>
      <c r="BS46" s="34"/>
      <c r="BT46" s="34"/>
      <c r="BU46" s="34"/>
      <c r="BV46" s="34"/>
      <c r="BW46" s="34"/>
      <c r="BX46" s="34"/>
      <c r="BY46" s="34"/>
      <c r="BZ46" s="34">
        <v>1</v>
      </c>
      <c r="CA46" s="20" t="s">
        <v>578</v>
      </c>
      <c r="CB46" s="20" t="s">
        <v>578</v>
      </c>
      <c r="CC46" s="29">
        <v>46003</v>
      </c>
      <c r="CD46" s="11" t="s">
        <v>622</v>
      </c>
    </row>
    <row r="47" spans="1:82" s="18" customFormat="1" ht="66.75" customHeight="1" x14ac:dyDescent="0.25">
      <c r="A47" s="87">
        <v>43</v>
      </c>
      <c r="B47" s="141" t="s">
        <v>623</v>
      </c>
      <c r="C47" s="6" t="s">
        <v>624</v>
      </c>
      <c r="D47" s="6" t="s">
        <v>625</v>
      </c>
      <c r="E47" s="75" t="s">
        <v>113</v>
      </c>
      <c r="F47" s="4" t="s">
        <v>81</v>
      </c>
      <c r="G47" s="33" t="s">
        <v>84</v>
      </c>
      <c r="H47" s="49" t="s">
        <v>114</v>
      </c>
      <c r="I47" s="49" t="s">
        <v>578</v>
      </c>
      <c r="J47" s="6"/>
      <c r="K47" s="49"/>
      <c r="L47" s="49"/>
      <c r="M47" s="49" t="s">
        <v>88</v>
      </c>
      <c r="N47" s="49" t="s">
        <v>89</v>
      </c>
      <c r="O47" s="49" t="s">
        <v>579</v>
      </c>
      <c r="P47" s="6" t="s">
        <v>580</v>
      </c>
      <c r="Q47" s="49"/>
      <c r="R47" s="75" t="s">
        <v>91</v>
      </c>
      <c r="S47" s="33" t="s">
        <v>92</v>
      </c>
      <c r="T47" s="33" t="s">
        <v>93</v>
      </c>
      <c r="U47" s="78">
        <v>100</v>
      </c>
      <c r="V47" s="33" t="s">
        <v>94</v>
      </c>
      <c r="W47" s="33" t="s">
        <v>95</v>
      </c>
      <c r="X47" s="33">
        <v>2022</v>
      </c>
      <c r="Y47" s="33" t="s">
        <v>117</v>
      </c>
      <c r="Z47" s="33" t="s">
        <v>97</v>
      </c>
      <c r="AA47" s="33" t="s">
        <v>98</v>
      </c>
      <c r="AB47" s="49" t="s">
        <v>99</v>
      </c>
      <c r="AC47" s="48" t="s">
        <v>626</v>
      </c>
      <c r="AD47" s="48" t="s">
        <v>582</v>
      </c>
      <c r="AE47" s="6" t="s">
        <v>627</v>
      </c>
      <c r="AF47" s="6" t="s">
        <v>121</v>
      </c>
      <c r="AG47" s="6" t="s">
        <v>218</v>
      </c>
      <c r="AH47" s="6" t="s">
        <v>123</v>
      </c>
      <c r="AI47" s="6" t="s">
        <v>628</v>
      </c>
      <c r="AJ47" s="6" t="s">
        <v>629</v>
      </c>
      <c r="AK47" s="33" t="s">
        <v>97</v>
      </c>
      <c r="AL47" s="33" t="s">
        <v>97</v>
      </c>
      <c r="AM47" s="5" t="s">
        <v>630</v>
      </c>
      <c r="AN47" s="6" t="s">
        <v>631</v>
      </c>
      <c r="AO47" s="6"/>
      <c r="AP47" s="6"/>
      <c r="AQ47" s="49" t="s">
        <v>589</v>
      </c>
      <c r="AR47" s="20" t="s">
        <v>97</v>
      </c>
      <c r="AS47" s="20" t="s">
        <v>107</v>
      </c>
      <c r="AT47" s="20"/>
      <c r="AU47" s="24">
        <v>0.95</v>
      </c>
      <c r="AV47" s="24">
        <f t="shared" si="7"/>
        <v>0.76</v>
      </c>
      <c r="AW47" s="24">
        <f t="shared" si="8"/>
        <v>0.56999999999999995</v>
      </c>
      <c r="AX47" s="25">
        <v>1E-4</v>
      </c>
      <c r="AY47" s="24">
        <v>0</v>
      </c>
      <c r="AZ47" s="24">
        <f t="shared" si="9"/>
        <v>0.85499999999999998</v>
      </c>
      <c r="BA47" s="24">
        <f t="shared" si="10"/>
        <v>0.68400000000000005</v>
      </c>
      <c r="BB47" s="24">
        <f t="shared" si="11"/>
        <v>0.51300000000000001</v>
      </c>
      <c r="BC47" s="25">
        <v>1E-4</v>
      </c>
      <c r="BD47" s="24">
        <v>0</v>
      </c>
      <c r="BE47" s="26">
        <v>0</v>
      </c>
      <c r="BF47" s="34">
        <f t="shared" si="0"/>
        <v>0</v>
      </c>
      <c r="BG47" s="34">
        <f t="shared" si="1"/>
        <v>0</v>
      </c>
      <c r="BH47" s="26">
        <v>0</v>
      </c>
      <c r="BI47" s="26">
        <v>0</v>
      </c>
      <c r="BJ47" s="20" t="s">
        <v>496</v>
      </c>
      <c r="BK47" s="27">
        <v>0.65047097270280663</v>
      </c>
      <c r="BL47" s="27" t="s">
        <v>632</v>
      </c>
      <c r="BM47" s="27" t="s">
        <v>633</v>
      </c>
      <c r="BN47" s="26"/>
      <c r="BO47" s="34"/>
      <c r="BP47" s="34"/>
      <c r="BQ47" s="34"/>
      <c r="BR47" s="34"/>
      <c r="BS47" s="34"/>
      <c r="BT47" s="34"/>
      <c r="BU47" s="34"/>
      <c r="BV47" s="34"/>
      <c r="BW47" s="34"/>
      <c r="BX47" s="34"/>
      <c r="BY47" s="34"/>
      <c r="BZ47" s="34"/>
      <c r="CA47" s="20"/>
      <c r="CB47" s="20"/>
      <c r="CC47" s="29">
        <v>46003</v>
      </c>
      <c r="CD47" s="35" t="s">
        <v>634</v>
      </c>
    </row>
    <row r="48" spans="1:82" s="18" customFormat="1" ht="66.75" customHeight="1" x14ac:dyDescent="0.25">
      <c r="A48" s="87">
        <v>44</v>
      </c>
      <c r="B48" s="141" t="s">
        <v>635</v>
      </c>
      <c r="C48" s="6" t="s">
        <v>636</v>
      </c>
      <c r="D48" s="6" t="s">
        <v>637</v>
      </c>
      <c r="E48" s="75" t="s">
        <v>113</v>
      </c>
      <c r="F48" s="4" t="s">
        <v>81</v>
      </c>
      <c r="G48" s="33" t="s">
        <v>84</v>
      </c>
      <c r="H48" s="49" t="s">
        <v>114</v>
      </c>
      <c r="I48" s="49" t="s">
        <v>578</v>
      </c>
      <c r="J48" s="6"/>
      <c r="K48" s="49"/>
      <c r="L48" s="49"/>
      <c r="M48" s="49" t="s">
        <v>88</v>
      </c>
      <c r="N48" s="49" t="s">
        <v>89</v>
      </c>
      <c r="O48" s="49" t="s">
        <v>579</v>
      </c>
      <c r="P48" s="6" t="s">
        <v>580</v>
      </c>
      <c r="Q48" s="49"/>
      <c r="R48" s="75" t="s">
        <v>91</v>
      </c>
      <c r="S48" s="33" t="s">
        <v>92</v>
      </c>
      <c r="T48" s="33" t="s">
        <v>93</v>
      </c>
      <c r="U48" s="78">
        <v>100</v>
      </c>
      <c r="V48" s="33" t="s">
        <v>94</v>
      </c>
      <c r="W48" s="33" t="s">
        <v>95</v>
      </c>
      <c r="X48" s="33">
        <v>2022</v>
      </c>
      <c r="Y48" s="33" t="s">
        <v>117</v>
      </c>
      <c r="Z48" s="33" t="s">
        <v>97</v>
      </c>
      <c r="AA48" s="33" t="s">
        <v>98</v>
      </c>
      <c r="AB48" s="49" t="s">
        <v>99</v>
      </c>
      <c r="AC48" s="48" t="s">
        <v>638</v>
      </c>
      <c r="AD48" s="48" t="s">
        <v>639</v>
      </c>
      <c r="AE48" s="6" t="s">
        <v>627</v>
      </c>
      <c r="AF48" s="6" t="s">
        <v>121</v>
      </c>
      <c r="AG48" s="6" t="s">
        <v>218</v>
      </c>
      <c r="AH48" s="6" t="s">
        <v>123</v>
      </c>
      <c r="AI48" s="6" t="s">
        <v>628</v>
      </c>
      <c r="AJ48" s="6" t="s">
        <v>640</v>
      </c>
      <c r="AK48" s="33" t="s">
        <v>97</v>
      </c>
      <c r="AL48" s="33" t="s">
        <v>97</v>
      </c>
      <c r="AM48" s="5" t="s">
        <v>641</v>
      </c>
      <c r="AN48" s="6" t="s">
        <v>631</v>
      </c>
      <c r="AO48" s="6"/>
      <c r="AP48" s="6"/>
      <c r="AQ48" s="49" t="s">
        <v>589</v>
      </c>
      <c r="AR48" s="20" t="s">
        <v>97</v>
      </c>
      <c r="AS48" s="20" t="s">
        <v>107</v>
      </c>
      <c r="AT48" s="20"/>
      <c r="AU48" s="24">
        <v>0.95</v>
      </c>
      <c r="AV48" s="24">
        <f t="shared" si="7"/>
        <v>0.76</v>
      </c>
      <c r="AW48" s="24">
        <f t="shared" si="8"/>
        <v>0.56999999999999995</v>
      </c>
      <c r="AX48" s="25">
        <v>1E-4</v>
      </c>
      <c r="AY48" s="24">
        <v>0</v>
      </c>
      <c r="AZ48" s="24">
        <f t="shared" si="9"/>
        <v>0.85499999999999998</v>
      </c>
      <c r="BA48" s="24">
        <f t="shared" si="10"/>
        <v>0.68400000000000005</v>
      </c>
      <c r="BB48" s="24">
        <f t="shared" si="11"/>
        <v>0.51300000000000001</v>
      </c>
      <c r="BC48" s="25">
        <v>1E-4</v>
      </c>
      <c r="BD48" s="24">
        <v>0</v>
      </c>
      <c r="BE48" s="26">
        <v>0</v>
      </c>
      <c r="BF48" s="34">
        <f t="shared" si="0"/>
        <v>0</v>
      </c>
      <c r="BG48" s="34">
        <f t="shared" si="1"/>
        <v>0</v>
      </c>
      <c r="BH48" s="26">
        <v>0</v>
      </c>
      <c r="BI48" s="26">
        <v>0</v>
      </c>
      <c r="BJ48" s="20" t="s">
        <v>496</v>
      </c>
      <c r="BK48" s="27">
        <v>0.62344070787960282</v>
      </c>
      <c r="BL48" s="27" t="s">
        <v>642</v>
      </c>
      <c r="BM48" s="27" t="s">
        <v>643</v>
      </c>
      <c r="BN48" s="26"/>
      <c r="BO48" s="34"/>
      <c r="BP48" s="34"/>
      <c r="BQ48" s="34"/>
      <c r="BR48" s="34"/>
      <c r="BS48" s="34"/>
      <c r="BT48" s="34"/>
      <c r="BU48" s="34"/>
      <c r="BV48" s="34"/>
      <c r="BW48" s="34"/>
      <c r="BX48" s="34"/>
      <c r="BY48" s="34"/>
      <c r="BZ48" s="34"/>
      <c r="CA48" s="20"/>
      <c r="CB48" s="20"/>
      <c r="CC48" s="29">
        <v>46003</v>
      </c>
      <c r="CD48" s="35" t="s">
        <v>634</v>
      </c>
    </row>
    <row r="49" spans="1:82" s="18" customFormat="1" ht="66.75" customHeight="1" x14ac:dyDescent="0.25">
      <c r="A49" s="121">
        <v>45</v>
      </c>
      <c r="B49" s="141" t="s">
        <v>644</v>
      </c>
      <c r="C49" s="6" t="s">
        <v>645</v>
      </c>
      <c r="D49" s="6" t="s">
        <v>646</v>
      </c>
      <c r="E49" s="75" t="s">
        <v>113</v>
      </c>
      <c r="F49" s="4" t="s">
        <v>81</v>
      </c>
      <c r="G49" s="33" t="s">
        <v>84</v>
      </c>
      <c r="H49" s="49" t="s">
        <v>114</v>
      </c>
      <c r="I49" s="49" t="s">
        <v>578</v>
      </c>
      <c r="J49" s="6"/>
      <c r="K49" s="49"/>
      <c r="L49" s="49"/>
      <c r="M49" s="49" t="s">
        <v>88</v>
      </c>
      <c r="N49" s="49" t="s">
        <v>89</v>
      </c>
      <c r="O49" s="49" t="s">
        <v>579</v>
      </c>
      <c r="P49" s="6" t="s">
        <v>580</v>
      </c>
      <c r="Q49" s="49"/>
      <c r="R49" s="75" t="s">
        <v>91</v>
      </c>
      <c r="S49" s="33" t="s">
        <v>92</v>
      </c>
      <c r="T49" s="33" t="s">
        <v>93</v>
      </c>
      <c r="U49" s="78">
        <v>100</v>
      </c>
      <c r="V49" s="33" t="s">
        <v>94</v>
      </c>
      <c r="W49" s="33" t="s">
        <v>95</v>
      </c>
      <c r="X49" s="33">
        <v>2022</v>
      </c>
      <c r="Y49" s="33" t="s">
        <v>117</v>
      </c>
      <c r="Z49" s="33" t="s">
        <v>97</v>
      </c>
      <c r="AA49" s="33" t="s">
        <v>98</v>
      </c>
      <c r="AB49" s="49" t="s">
        <v>99</v>
      </c>
      <c r="AC49" s="48" t="s">
        <v>647</v>
      </c>
      <c r="AD49" s="48" t="s">
        <v>648</v>
      </c>
      <c r="AE49" s="6" t="s">
        <v>627</v>
      </c>
      <c r="AF49" s="6" t="s">
        <v>121</v>
      </c>
      <c r="AG49" s="6" t="s">
        <v>218</v>
      </c>
      <c r="AH49" s="6" t="s">
        <v>123</v>
      </c>
      <c r="AI49" s="6" t="s">
        <v>628</v>
      </c>
      <c r="AJ49" s="6" t="s">
        <v>649</v>
      </c>
      <c r="AK49" s="33" t="s">
        <v>97</v>
      </c>
      <c r="AL49" s="33" t="s">
        <v>97</v>
      </c>
      <c r="AM49" s="5" t="s">
        <v>650</v>
      </c>
      <c r="AN49" s="6" t="s">
        <v>631</v>
      </c>
      <c r="AO49" s="6"/>
      <c r="AP49" s="6"/>
      <c r="AQ49" s="49" t="s">
        <v>589</v>
      </c>
      <c r="AR49" s="20" t="s">
        <v>97</v>
      </c>
      <c r="AS49" s="20" t="s">
        <v>107</v>
      </c>
      <c r="AT49" s="20"/>
      <c r="AU49" s="24">
        <v>0.95</v>
      </c>
      <c r="AV49" s="24">
        <f t="shared" si="7"/>
        <v>0.76</v>
      </c>
      <c r="AW49" s="24">
        <f t="shared" si="8"/>
        <v>0.56999999999999995</v>
      </c>
      <c r="AX49" s="25">
        <v>1E-4</v>
      </c>
      <c r="AY49" s="24">
        <v>0</v>
      </c>
      <c r="AZ49" s="24">
        <f t="shared" si="9"/>
        <v>0.85499999999999998</v>
      </c>
      <c r="BA49" s="24">
        <f t="shared" si="10"/>
        <v>0.68400000000000005</v>
      </c>
      <c r="BB49" s="24">
        <f t="shared" si="11"/>
        <v>0.51300000000000001</v>
      </c>
      <c r="BC49" s="25">
        <v>1E-4</v>
      </c>
      <c r="BD49" s="24">
        <v>0</v>
      </c>
      <c r="BE49" s="26">
        <v>0</v>
      </c>
      <c r="BF49" s="34">
        <f t="shared" si="0"/>
        <v>0</v>
      </c>
      <c r="BG49" s="34">
        <f t="shared" si="1"/>
        <v>0</v>
      </c>
      <c r="BH49" s="26">
        <v>0</v>
      </c>
      <c r="BI49" s="26">
        <v>0</v>
      </c>
      <c r="BJ49" s="20" t="s">
        <v>496</v>
      </c>
      <c r="BK49" s="27">
        <v>0.66785910842047336</v>
      </c>
      <c r="BL49" s="27" t="s">
        <v>651</v>
      </c>
      <c r="BM49" s="27" t="s">
        <v>652</v>
      </c>
      <c r="BN49" s="26"/>
      <c r="BO49" s="34"/>
      <c r="BP49" s="34"/>
      <c r="BQ49" s="34"/>
      <c r="BR49" s="34"/>
      <c r="BS49" s="34"/>
      <c r="BT49" s="34"/>
      <c r="BU49" s="34"/>
      <c r="BV49" s="34"/>
      <c r="BW49" s="34"/>
      <c r="BX49" s="34"/>
      <c r="BY49" s="34"/>
      <c r="BZ49" s="34"/>
      <c r="CA49" s="20"/>
      <c r="CB49" s="20"/>
      <c r="CC49" s="29">
        <v>46003</v>
      </c>
      <c r="CD49" s="35" t="s">
        <v>634</v>
      </c>
    </row>
    <row r="50" spans="1:82" s="18" customFormat="1" ht="66.75" customHeight="1" x14ac:dyDescent="0.25">
      <c r="A50" s="87">
        <v>46</v>
      </c>
      <c r="B50" s="141" t="s">
        <v>653</v>
      </c>
      <c r="C50" s="6" t="s">
        <v>654</v>
      </c>
      <c r="D50" s="6" t="s">
        <v>655</v>
      </c>
      <c r="E50" s="75" t="s">
        <v>113</v>
      </c>
      <c r="F50" s="4" t="s">
        <v>81</v>
      </c>
      <c r="G50" s="33" t="s">
        <v>84</v>
      </c>
      <c r="H50" s="49" t="s">
        <v>114</v>
      </c>
      <c r="I50" s="49" t="s">
        <v>578</v>
      </c>
      <c r="J50" s="6"/>
      <c r="K50" s="49"/>
      <c r="L50" s="49"/>
      <c r="M50" s="49" t="s">
        <v>88</v>
      </c>
      <c r="N50" s="49" t="s">
        <v>89</v>
      </c>
      <c r="O50" s="49" t="s">
        <v>579</v>
      </c>
      <c r="P50" s="6" t="s">
        <v>580</v>
      </c>
      <c r="Q50" s="49"/>
      <c r="R50" s="75" t="s">
        <v>91</v>
      </c>
      <c r="S50" s="33" t="s">
        <v>92</v>
      </c>
      <c r="T50" s="33" t="s">
        <v>93</v>
      </c>
      <c r="U50" s="78">
        <v>100</v>
      </c>
      <c r="V50" s="33" t="s">
        <v>94</v>
      </c>
      <c r="W50" s="33" t="s">
        <v>95</v>
      </c>
      <c r="X50" s="33">
        <v>2022</v>
      </c>
      <c r="Y50" s="33" t="s">
        <v>117</v>
      </c>
      <c r="Z50" s="33" t="s">
        <v>97</v>
      </c>
      <c r="AA50" s="33" t="s">
        <v>98</v>
      </c>
      <c r="AB50" s="49" t="s">
        <v>99</v>
      </c>
      <c r="AC50" s="48" t="s">
        <v>656</v>
      </c>
      <c r="AD50" s="48" t="s">
        <v>657</v>
      </c>
      <c r="AE50" s="6" t="s">
        <v>627</v>
      </c>
      <c r="AF50" s="6" t="s">
        <v>121</v>
      </c>
      <c r="AG50" s="6" t="s">
        <v>218</v>
      </c>
      <c r="AH50" s="6" t="s">
        <v>123</v>
      </c>
      <c r="AI50" s="6" t="s">
        <v>628</v>
      </c>
      <c r="AJ50" s="6" t="s">
        <v>658</v>
      </c>
      <c r="AK50" s="33" t="s">
        <v>97</v>
      </c>
      <c r="AL50" s="33" t="s">
        <v>97</v>
      </c>
      <c r="AM50" s="5" t="s">
        <v>630</v>
      </c>
      <c r="AN50" s="6" t="s">
        <v>631</v>
      </c>
      <c r="AO50" s="6"/>
      <c r="AP50" s="6"/>
      <c r="AQ50" s="49" t="s">
        <v>589</v>
      </c>
      <c r="AR50" s="20" t="s">
        <v>97</v>
      </c>
      <c r="AS50" s="20" t="s">
        <v>107</v>
      </c>
      <c r="AT50" s="20"/>
      <c r="AU50" s="24">
        <v>0.95</v>
      </c>
      <c r="AV50" s="24">
        <f t="shared" si="7"/>
        <v>0.76</v>
      </c>
      <c r="AW50" s="24">
        <f t="shared" si="8"/>
        <v>0.56999999999999995</v>
      </c>
      <c r="AX50" s="25">
        <v>1E-4</v>
      </c>
      <c r="AY50" s="24">
        <v>0</v>
      </c>
      <c r="AZ50" s="24">
        <f t="shared" si="9"/>
        <v>0.85499999999999998</v>
      </c>
      <c r="BA50" s="24">
        <f t="shared" si="10"/>
        <v>0.68400000000000005</v>
      </c>
      <c r="BB50" s="24">
        <f t="shared" si="11"/>
        <v>0.51300000000000001</v>
      </c>
      <c r="BC50" s="25">
        <v>1E-4</v>
      </c>
      <c r="BD50" s="24">
        <v>0</v>
      </c>
      <c r="BE50" s="26">
        <v>0</v>
      </c>
      <c r="BF50" s="34">
        <f t="shared" si="0"/>
        <v>0</v>
      </c>
      <c r="BG50" s="34">
        <f t="shared" si="1"/>
        <v>0</v>
      </c>
      <c r="BH50" s="26">
        <v>0</v>
      </c>
      <c r="BI50" s="26">
        <v>0</v>
      </c>
      <c r="BJ50" s="20" t="s">
        <v>496</v>
      </c>
      <c r="BK50" s="27">
        <v>0.69845240443000534</v>
      </c>
      <c r="BL50" s="27" t="s">
        <v>659</v>
      </c>
      <c r="BM50" s="27" t="s">
        <v>660</v>
      </c>
      <c r="BN50" s="26"/>
      <c r="BO50" s="34"/>
      <c r="BP50" s="34"/>
      <c r="BQ50" s="34"/>
      <c r="BR50" s="34"/>
      <c r="BS50" s="34"/>
      <c r="BT50" s="34"/>
      <c r="BU50" s="34"/>
      <c r="BV50" s="34"/>
      <c r="BW50" s="34"/>
      <c r="BX50" s="34"/>
      <c r="BY50" s="34"/>
      <c r="BZ50" s="34"/>
      <c r="CA50" s="20"/>
      <c r="CB50" s="20"/>
      <c r="CC50" s="29">
        <v>46003</v>
      </c>
      <c r="CD50" s="35" t="s">
        <v>634</v>
      </c>
    </row>
    <row r="51" spans="1:82" s="18" customFormat="1" ht="66.75" customHeight="1" x14ac:dyDescent="0.25">
      <c r="A51" s="87">
        <v>47</v>
      </c>
      <c r="B51" s="141" t="s">
        <v>661</v>
      </c>
      <c r="C51" s="6" t="s">
        <v>662</v>
      </c>
      <c r="D51" s="6" t="s">
        <v>663</v>
      </c>
      <c r="E51" s="75" t="s">
        <v>113</v>
      </c>
      <c r="F51" s="4" t="s">
        <v>81</v>
      </c>
      <c r="G51" s="33">
        <v>71</v>
      </c>
      <c r="H51" s="49" t="s">
        <v>114</v>
      </c>
      <c r="I51" s="49" t="s">
        <v>578</v>
      </c>
      <c r="J51" s="6"/>
      <c r="K51" s="49"/>
      <c r="L51" s="49"/>
      <c r="M51" s="49" t="s">
        <v>136</v>
      </c>
      <c r="N51" s="49" t="s">
        <v>89</v>
      </c>
      <c r="O51" s="49" t="s">
        <v>579</v>
      </c>
      <c r="P51" s="6" t="s">
        <v>580</v>
      </c>
      <c r="Q51" s="49"/>
      <c r="R51" s="75" t="s">
        <v>175</v>
      </c>
      <c r="S51" s="33" t="s">
        <v>92</v>
      </c>
      <c r="T51" s="33" t="s">
        <v>93</v>
      </c>
      <c r="U51" s="78">
        <v>100</v>
      </c>
      <c r="V51" s="33" t="s">
        <v>94</v>
      </c>
      <c r="W51" s="33" t="s">
        <v>95</v>
      </c>
      <c r="X51" s="33">
        <v>2022</v>
      </c>
      <c r="Y51" s="33" t="s">
        <v>117</v>
      </c>
      <c r="Z51" s="33" t="s">
        <v>97</v>
      </c>
      <c r="AA51" s="33" t="s">
        <v>98</v>
      </c>
      <c r="AB51" s="49" t="s">
        <v>99</v>
      </c>
      <c r="AC51" s="48" t="s">
        <v>664</v>
      </c>
      <c r="AD51" s="48" t="s">
        <v>665</v>
      </c>
      <c r="AE51" s="6" t="s">
        <v>666</v>
      </c>
      <c r="AF51" s="6" t="s">
        <v>121</v>
      </c>
      <c r="AG51" s="6" t="s">
        <v>667</v>
      </c>
      <c r="AH51" s="6" t="s">
        <v>123</v>
      </c>
      <c r="AI51" s="6" t="s">
        <v>668</v>
      </c>
      <c r="AJ51" s="6" t="s">
        <v>640</v>
      </c>
      <c r="AK51" s="33" t="s">
        <v>97</v>
      </c>
      <c r="AL51" s="33" t="s">
        <v>97</v>
      </c>
      <c r="AM51" s="5"/>
      <c r="AN51" s="6" t="s">
        <v>631</v>
      </c>
      <c r="AO51" s="6"/>
      <c r="AP51" s="6"/>
      <c r="AQ51" s="49" t="s">
        <v>589</v>
      </c>
      <c r="AR51" s="20" t="s">
        <v>97</v>
      </c>
      <c r="AS51" s="20" t="s">
        <v>107</v>
      </c>
      <c r="AT51" s="20"/>
      <c r="AU51" s="24">
        <v>0.95</v>
      </c>
      <c r="AV51" s="24">
        <f t="shared" si="7"/>
        <v>0.76</v>
      </c>
      <c r="AW51" s="24">
        <f t="shared" si="8"/>
        <v>0.56999999999999995</v>
      </c>
      <c r="AX51" s="25">
        <v>1E-4</v>
      </c>
      <c r="AY51" s="24">
        <v>0</v>
      </c>
      <c r="AZ51" s="24">
        <f t="shared" si="9"/>
        <v>0.85499999999999998</v>
      </c>
      <c r="BA51" s="24">
        <f t="shared" si="10"/>
        <v>0.68400000000000005</v>
      </c>
      <c r="BB51" s="24">
        <f t="shared" si="11"/>
        <v>0.51300000000000001</v>
      </c>
      <c r="BC51" s="25">
        <v>1E-4</v>
      </c>
      <c r="BD51" s="24">
        <v>0</v>
      </c>
      <c r="BE51" s="26">
        <v>0</v>
      </c>
      <c r="BF51" s="34">
        <f t="shared" si="0"/>
        <v>0</v>
      </c>
      <c r="BG51" s="34">
        <f t="shared" si="1"/>
        <v>0</v>
      </c>
      <c r="BH51" s="26">
        <v>0</v>
      </c>
      <c r="BI51" s="26">
        <v>0</v>
      </c>
      <c r="BJ51" s="20" t="s">
        <v>496</v>
      </c>
      <c r="BK51" s="27">
        <v>0.61566629079722179</v>
      </c>
      <c r="BL51" s="27" t="s">
        <v>669</v>
      </c>
      <c r="BM51" s="27" t="s">
        <v>670</v>
      </c>
      <c r="BN51" s="26"/>
      <c r="BO51" s="34">
        <v>1</v>
      </c>
      <c r="BP51" s="34"/>
      <c r="BQ51" s="34"/>
      <c r="BR51" s="34"/>
      <c r="BS51" s="34"/>
      <c r="BT51" s="34"/>
      <c r="BU51" s="34"/>
      <c r="BV51" s="34"/>
      <c r="BW51" s="34"/>
      <c r="BX51" s="34"/>
      <c r="BY51" s="34"/>
      <c r="BZ51" s="34"/>
      <c r="CA51" s="20"/>
      <c r="CB51" s="20"/>
      <c r="CC51" s="29">
        <v>46003</v>
      </c>
      <c r="CD51" s="35" t="s">
        <v>254</v>
      </c>
    </row>
    <row r="52" spans="1:82" s="18" customFormat="1" ht="66.75" customHeight="1" x14ac:dyDescent="0.25">
      <c r="A52" s="121">
        <v>48</v>
      </c>
      <c r="B52" s="141" t="s">
        <v>671</v>
      </c>
      <c r="C52" s="6" t="s">
        <v>672</v>
      </c>
      <c r="D52" s="6" t="s">
        <v>673</v>
      </c>
      <c r="E52" s="75" t="s">
        <v>113</v>
      </c>
      <c r="F52" s="4" t="s">
        <v>81</v>
      </c>
      <c r="G52" s="33" t="s">
        <v>84</v>
      </c>
      <c r="H52" s="49" t="s">
        <v>114</v>
      </c>
      <c r="I52" s="49" t="s">
        <v>578</v>
      </c>
      <c r="J52" s="6"/>
      <c r="K52" s="49"/>
      <c r="L52" s="49"/>
      <c r="M52" s="49" t="s">
        <v>88</v>
      </c>
      <c r="N52" s="49" t="s">
        <v>89</v>
      </c>
      <c r="O52" s="49" t="s">
        <v>579</v>
      </c>
      <c r="P52" s="6" t="s">
        <v>580</v>
      </c>
      <c r="Q52" s="49"/>
      <c r="R52" s="75" t="s">
        <v>175</v>
      </c>
      <c r="S52" s="33" t="s">
        <v>92</v>
      </c>
      <c r="T52" s="33" t="s">
        <v>93</v>
      </c>
      <c r="U52" s="78">
        <v>100</v>
      </c>
      <c r="V52" s="33" t="s">
        <v>94</v>
      </c>
      <c r="W52" s="33" t="s">
        <v>95</v>
      </c>
      <c r="X52" s="33">
        <v>2022</v>
      </c>
      <c r="Y52" s="33" t="s">
        <v>117</v>
      </c>
      <c r="Z52" s="33" t="s">
        <v>97</v>
      </c>
      <c r="AA52" s="33" t="s">
        <v>98</v>
      </c>
      <c r="AB52" s="49" t="s">
        <v>99</v>
      </c>
      <c r="AC52" s="48" t="s">
        <v>674</v>
      </c>
      <c r="AD52" s="48" t="s">
        <v>665</v>
      </c>
      <c r="AE52" s="6" t="s">
        <v>675</v>
      </c>
      <c r="AF52" s="6" t="s">
        <v>121</v>
      </c>
      <c r="AG52" s="6" t="s">
        <v>667</v>
      </c>
      <c r="AH52" s="6" t="s">
        <v>123</v>
      </c>
      <c r="AI52" s="6" t="s">
        <v>668</v>
      </c>
      <c r="AJ52" s="6" t="s">
        <v>640</v>
      </c>
      <c r="AK52" s="33" t="s">
        <v>97</v>
      </c>
      <c r="AL52" s="33" t="s">
        <v>97</v>
      </c>
      <c r="AM52" s="5"/>
      <c r="AN52" s="6" t="s">
        <v>631</v>
      </c>
      <c r="AO52" s="6"/>
      <c r="AP52" s="6"/>
      <c r="AQ52" s="49" t="s">
        <v>589</v>
      </c>
      <c r="AR52" s="20" t="s">
        <v>97</v>
      </c>
      <c r="AS52" s="20" t="s">
        <v>107</v>
      </c>
      <c r="AT52" s="20"/>
      <c r="AU52" s="24">
        <v>0.95</v>
      </c>
      <c r="AV52" s="24">
        <f t="shared" si="7"/>
        <v>0.76</v>
      </c>
      <c r="AW52" s="24">
        <f t="shared" si="8"/>
        <v>0.56999999999999995</v>
      </c>
      <c r="AX52" s="25">
        <v>1E-4</v>
      </c>
      <c r="AY52" s="24">
        <v>0</v>
      </c>
      <c r="AZ52" s="24">
        <f t="shared" si="9"/>
        <v>0.85499999999999998</v>
      </c>
      <c r="BA52" s="24">
        <f t="shared" si="10"/>
        <v>0.68400000000000005</v>
      </c>
      <c r="BB52" s="24">
        <f t="shared" si="11"/>
        <v>0.51300000000000001</v>
      </c>
      <c r="BC52" s="25">
        <v>1E-4</v>
      </c>
      <c r="BD52" s="24">
        <v>0</v>
      </c>
      <c r="BE52" s="26">
        <v>0</v>
      </c>
      <c r="BF52" s="34">
        <f t="shared" si="0"/>
        <v>0</v>
      </c>
      <c r="BG52" s="34">
        <f t="shared" si="1"/>
        <v>0</v>
      </c>
      <c r="BH52" s="26">
        <v>0</v>
      </c>
      <c r="BI52" s="26">
        <v>0</v>
      </c>
      <c r="BJ52" s="20" t="s">
        <v>496</v>
      </c>
      <c r="BK52" s="27">
        <v>0.62826512023238301</v>
      </c>
      <c r="BL52" s="27" t="s">
        <v>676</v>
      </c>
      <c r="BM52" s="27" t="s">
        <v>677</v>
      </c>
      <c r="BN52" s="26"/>
      <c r="BO52" s="34"/>
      <c r="BP52" s="34"/>
      <c r="BQ52" s="34"/>
      <c r="BR52" s="34"/>
      <c r="BS52" s="34"/>
      <c r="BT52" s="34"/>
      <c r="BU52" s="34"/>
      <c r="BV52" s="34"/>
      <c r="BW52" s="34"/>
      <c r="BX52" s="34"/>
      <c r="BY52" s="34"/>
      <c r="BZ52" s="34"/>
      <c r="CA52" s="20"/>
      <c r="CB52" s="20"/>
      <c r="CC52" s="29">
        <v>46003</v>
      </c>
      <c r="CD52" s="35" t="s">
        <v>254</v>
      </c>
    </row>
    <row r="53" spans="1:82" s="18" customFormat="1" ht="66.75" customHeight="1" x14ac:dyDescent="0.25">
      <c r="A53" s="87">
        <v>49</v>
      </c>
      <c r="B53" s="141" t="s">
        <v>678</v>
      </c>
      <c r="C53" s="6" t="s">
        <v>679</v>
      </c>
      <c r="D53" s="6" t="s">
        <v>680</v>
      </c>
      <c r="E53" s="75" t="s">
        <v>113</v>
      </c>
      <c r="F53" s="4" t="s">
        <v>81</v>
      </c>
      <c r="G53" s="33" t="s">
        <v>84</v>
      </c>
      <c r="H53" s="49" t="s">
        <v>114</v>
      </c>
      <c r="I53" s="49" t="s">
        <v>578</v>
      </c>
      <c r="J53" s="6"/>
      <c r="K53" s="49"/>
      <c r="L53" s="49"/>
      <c r="M53" s="49" t="s">
        <v>88</v>
      </c>
      <c r="N53" s="49" t="s">
        <v>89</v>
      </c>
      <c r="O53" s="49" t="s">
        <v>579</v>
      </c>
      <c r="P53" s="6" t="s">
        <v>580</v>
      </c>
      <c r="Q53" s="49"/>
      <c r="R53" s="75" t="s">
        <v>175</v>
      </c>
      <c r="S53" s="33" t="s">
        <v>92</v>
      </c>
      <c r="T53" s="33" t="s">
        <v>93</v>
      </c>
      <c r="U53" s="78">
        <v>100</v>
      </c>
      <c r="V53" s="33" t="s">
        <v>94</v>
      </c>
      <c r="W53" s="33" t="s">
        <v>95</v>
      </c>
      <c r="X53" s="33">
        <v>2022</v>
      </c>
      <c r="Y53" s="33" t="s">
        <v>117</v>
      </c>
      <c r="Z53" s="33" t="s">
        <v>97</v>
      </c>
      <c r="AA53" s="33" t="s">
        <v>98</v>
      </c>
      <c r="AB53" s="49" t="s">
        <v>99</v>
      </c>
      <c r="AC53" s="48" t="s">
        <v>681</v>
      </c>
      <c r="AD53" s="48" t="s">
        <v>665</v>
      </c>
      <c r="AE53" s="6" t="s">
        <v>627</v>
      </c>
      <c r="AF53" s="6" t="s">
        <v>121</v>
      </c>
      <c r="AG53" s="6" t="s">
        <v>667</v>
      </c>
      <c r="AH53" s="6" t="s">
        <v>123</v>
      </c>
      <c r="AI53" s="6" t="s">
        <v>668</v>
      </c>
      <c r="AJ53" s="6" t="s">
        <v>640</v>
      </c>
      <c r="AK53" s="33" t="s">
        <v>97</v>
      </c>
      <c r="AL53" s="33" t="s">
        <v>97</v>
      </c>
      <c r="AM53" s="5"/>
      <c r="AN53" s="6" t="s">
        <v>631</v>
      </c>
      <c r="AO53" s="6"/>
      <c r="AP53" s="6"/>
      <c r="AQ53" s="49" t="s">
        <v>589</v>
      </c>
      <c r="AR53" s="20" t="s">
        <v>97</v>
      </c>
      <c r="AS53" s="20" t="s">
        <v>107</v>
      </c>
      <c r="AT53" s="20"/>
      <c r="AU53" s="24">
        <v>0.95</v>
      </c>
      <c r="AV53" s="24">
        <f t="shared" si="7"/>
        <v>0.76</v>
      </c>
      <c r="AW53" s="24">
        <f t="shared" si="8"/>
        <v>0.56999999999999995</v>
      </c>
      <c r="AX53" s="25">
        <v>1E-4</v>
      </c>
      <c r="AY53" s="24">
        <v>0</v>
      </c>
      <c r="AZ53" s="24">
        <f t="shared" si="9"/>
        <v>0.85499999999999998</v>
      </c>
      <c r="BA53" s="24">
        <f t="shared" si="10"/>
        <v>0.68400000000000005</v>
      </c>
      <c r="BB53" s="24">
        <f t="shared" si="11"/>
        <v>0.51300000000000001</v>
      </c>
      <c r="BC53" s="25">
        <v>1E-4</v>
      </c>
      <c r="BD53" s="24">
        <v>0</v>
      </c>
      <c r="BE53" s="26">
        <v>0</v>
      </c>
      <c r="BF53" s="34">
        <f t="shared" si="0"/>
        <v>0</v>
      </c>
      <c r="BG53" s="34">
        <f t="shared" si="1"/>
        <v>0</v>
      </c>
      <c r="BH53" s="26">
        <v>0</v>
      </c>
      <c r="BI53" s="26">
        <v>0</v>
      </c>
      <c r="BJ53" s="20" t="s">
        <v>496</v>
      </c>
      <c r="BK53" s="27">
        <v>0.81309597243449305</v>
      </c>
      <c r="BL53" s="27" t="s">
        <v>682</v>
      </c>
      <c r="BM53" s="27" t="s">
        <v>683</v>
      </c>
      <c r="BN53" s="26"/>
      <c r="BO53" s="34"/>
      <c r="BP53" s="34"/>
      <c r="BQ53" s="34"/>
      <c r="BR53" s="34"/>
      <c r="BS53" s="34"/>
      <c r="BT53" s="34"/>
      <c r="BU53" s="34"/>
      <c r="BV53" s="34"/>
      <c r="BW53" s="34"/>
      <c r="BX53" s="34"/>
      <c r="BY53" s="34"/>
      <c r="BZ53" s="34"/>
      <c r="CA53" s="20"/>
      <c r="CB53" s="20"/>
      <c r="CC53" s="29">
        <v>46003</v>
      </c>
      <c r="CD53" s="35" t="s">
        <v>254</v>
      </c>
    </row>
    <row r="54" spans="1:82" s="18" customFormat="1" ht="66.75" customHeight="1" x14ac:dyDescent="0.25">
      <c r="A54" s="87">
        <v>50</v>
      </c>
      <c r="B54" s="141" t="s">
        <v>684</v>
      </c>
      <c r="C54" s="6" t="s">
        <v>685</v>
      </c>
      <c r="D54" s="6" t="s">
        <v>686</v>
      </c>
      <c r="E54" s="75" t="s">
        <v>113</v>
      </c>
      <c r="F54" s="4" t="s">
        <v>81</v>
      </c>
      <c r="G54" s="33" t="s">
        <v>84</v>
      </c>
      <c r="H54" s="49" t="s">
        <v>114</v>
      </c>
      <c r="I54" s="49" t="s">
        <v>578</v>
      </c>
      <c r="J54" s="6"/>
      <c r="K54" s="49"/>
      <c r="L54" s="49"/>
      <c r="M54" s="49" t="s">
        <v>88</v>
      </c>
      <c r="N54" s="49" t="s">
        <v>89</v>
      </c>
      <c r="O54" s="49" t="s">
        <v>579</v>
      </c>
      <c r="P54" s="6" t="s">
        <v>580</v>
      </c>
      <c r="Q54" s="49"/>
      <c r="R54" s="75" t="s">
        <v>175</v>
      </c>
      <c r="S54" s="33" t="s">
        <v>92</v>
      </c>
      <c r="T54" s="33" t="s">
        <v>93</v>
      </c>
      <c r="U54" s="78">
        <v>100</v>
      </c>
      <c r="V54" s="33" t="s">
        <v>94</v>
      </c>
      <c r="W54" s="33" t="s">
        <v>95</v>
      </c>
      <c r="X54" s="33">
        <v>2022</v>
      </c>
      <c r="Y54" s="33" t="s">
        <v>117</v>
      </c>
      <c r="Z54" s="33" t="s">
        <v>97</v>
      </c>
      <c r="AA54" s="33" t="s">
        <v>98</v>
      </c>
      <c r="AB54" s="49" t="s">
        <v>99</v>
      </c>
      <c r="AC54" s="48" t="s">
        <v>687</v>
      </c>
      <c r="AD54" s="48" t="s">
        <v>665</v>
      </c>
      <c r="AE54" s="6" t="s">
        <v>627</v>
      </c>
      <c r="AF54" s="6" t="s">
        <v>121</v>
      </c>
      <c r="AG54" s="6" t="s">
        <v>667</v>
      </c>
      <c r="AH54" s="6" t="s">
        <v>123</v>
      </c>
      <c r="AI54" s="6" t="s">
        <v>668</v>
      </c>
      <c r="AJ54" s="6" t="s">
        <v>640</v>
      </c>
      <c r="AK54" s="33" t="s">
        <v>97</v>
      </c>
      <c r="AL54" s="33" t="s">
        <v>97</v>
      </c>
      <c r="AM54" s="5"/>
      <c r="AN54" s="6" t="s">
        <v>631</v>
      </c>
      <c r="AO54" s="6"/>
      <c r="AP54" s="6"/>
      <c r="AQ54" s="49" t="s">
        <v>589</v>
      </c>
      <c r="AR54" s="20" t="s">
        <v>97</v>
      </c>
      <c r="AS54" s="20" t="s">
        <v>107</v>
      </c>
      <c r="AT54" s="20"/>
      <c r="AU54" s="24">
        <v>0.95</v>
      </c>
      <c r="AV54" s="24">
        <f t="shared" si="7"/>
        <v>0.76</v>
      </c>
      <c r="AW54" s="24">
        <f t="shared" si="8"/>
        <v>0.56999999999999995</v>
      </c>
      <c r="AX54" s="25">
        <v>1E-4</v>
      </c>
      <c r="AY54" s="24">
        <v>0</v>
      </c>
      <c r="AZ54" s="24">
        <f t="shared" si="9"/>
        <v>0.85499999999999998</v>
      </c>
      <c r="BA54" s="24">
        <f t="shared" si="10"/>
        <v>0.68400000000000005</v>
      </c>
      <c r="BB54" s="24">
        <f t="shared" si="11"/>
        <v>0.51300000000000001</v>
      </c>
      <c r="BC54" s="25">
        <v>1E-4</v>
      </c>
      <c r="BD54" s="24">
        <v>0</v>
      </c>
      <c r="BE54" s="26">
        <v>0</v>
      </c>
      <c r="BF54" s="34">
        <f t="shared" si="0"/>
        <v>0</v>
      </c>
      <c r="BG54" s="34">
        <f t="shared" si="1"/>
        <v>0</v>
      </c>
      <c r="BH54" s="26">
        <v>0</v>
      </c>
      <c r="BI54" s="26">
        <v>0</v>
      </c>
      <c r="BJ54" s="20" t="s">
        <v>496</v>
      </c>
      <c r="BK54" s="27">
        <v>0.81237566513830395</v>
      </c>
      <c r="BL54" s="27" t="s">
        <v>688</v>
      </c>
      <c r="BM54" s="27" t="s">
        <v>689</v>
      </c>
      <c r="BN54" s="26"/>
      <c r="BO54" s="34"/>
      <c r="BP54" s="34"/>
      <c r="BQ54" s="34"/>
      <c r="BR54" s="34"/>
      <c r="BS54" s="34"/>
      <c r="BT54" s="34"/>
      <c r="BU54" s="34"/>
      <c r="BV54" s="34"/>
      <c r="BW54" s="34"/>
      <c r="BX54" s="34"/>
      <c r="BY54" s="34"/>
      <c r="BZ54" s="34"/>
      <c r="CA54" s="20"/>
      <c r="CB54" s="20"/>
      <c r="CC54" s="29">
        <v>46003</v>
      </c>
      <c r="CD54" s="35" t="s">
        <v>254</v>
      </c>
    </row>
    <row r="55" spans="1:82" s="18" customFormat="1" ht="66.75" customHeight="1" x14ac:dyDescent="0.25">
      <c r="A55" s="121">
        <v>51</v>
      </c>
      <c r="B55" s="141" t="s">
        <v>690</v>
      </c>
      <c r="C55" s="6" t="s">
        <v>691</v>
      </c>
      <c r="D55" s="6" t="s">
        <v>692</v>
      </c>
      <c r="E55" s="75" t="s">
        <v>113</v>
      </c>
      <c r="F55" s="4" t="s">
        <v>81</v>
      </c>
      <c r="G55" s="33" t="s">
        <v>84</v>
      </c>
      <c r="H55" s="49" t="s">
        <v>114</v>
      </c>
      <c r="I55" s="49" t="s">
        <v>578</v>
      </c>
      <c r="J55" s="6"/>
      <c r="K55" s="49"/>
      <c r="L55" s="49"/>
      <c r="M55" s="49" t="s">
        <v>88</v>
      </c>
      <c r="N55" s="49" t="s">
        <v>89</v>
      </c>
      <c r="O55" s="49" t="s">
        <v>579</v>
      </c>
      <c r="P55" s="6" t="s">
        <v>580</v>
      </c>
      <c r="Q55" s="49"/>
      <c r="R55" s="75" t="s">
        <v>175</v>
      </c>
      <c r="S55" s="33" t="s">
        <v>92</v>
      </c>
      <c r="T55" s="33" t="s">
        <v>93</v>
      </c>
      <c r="U55" s="78">
        <v>100</v>
      </c>
      <c r="V55" s="33" t="s">
        <v>94</v>
      </c>
      <c r="W55" s="33" t="s">
        <v>95</v>
      </c>
      <c r="X55" s="33">
        <v>2022</v>
      </c>
      <c r="Y55" s="33" t="s">
        <v>117</v>
      </c>
      <c r="Z55" s="33" t="s">
        <v>97</v>
      </c>
      <c r="AA55" s="33" t="s">
        <v>98</v>
      </c>
      <c r="AB55" s="49" t="s">
        <v>99</v>
      </c>
      <c r="AC55" s="48" t="s">
        <v>693</v>
      </c>
      <c r="AD55" s="48" t="s">
        <v>665</v>
      </c>
      <c r="AE55" s="6" t="s">
        <v>627</v>
      </c>
      <c r="AF55" s="6" t="s">
        <v>121</v>
      </c>
      <c r="AG55" s="6" t="s">
        <v>667</v>
      </c>
      <c r="AH55" s="6" t="s">
        <v>123</v>
      </c>
      <c r="AI55" s="6" t="s">
        <v>668</v>
      </c>
      <c r="AJ55" s="6" t="s">
        <v>640</v>
      </c>
      <c r="AK55" s="33" t="s">
        <v>97</v>
      </c>
      <c r="AL55" s="33" t="s">
        <v>97</v>
      </c>
      <c r="AM55" s="5"/>
      <c r="AN55" s="6" t="s">
        <v>631</v>
      </c>
      <c r="AO55" s="6"/>
      <c r="AP55" s="6"/>
      <c r="AQ55" s="49" t="s">
        <v>589</v>
      </c>
      <c r="AR55" s="20" t="s">
        <v>97</v>
      </c>
      <c r="AS55" s="20" t="s">
        <v>107</v>
      </c>
      <c r="AT55" s="20"/>
      <c r="AU55" s="24">
        <v>0.95</v>
      </c>
      <c r="AV55" s="24">
        <f t="shared" si="7"/>
        <v>0.76</v>
      </c>
      <c r="AW55" s="24">
        <f t="shared" si="8"/>
        <v>0.56999999999999995</v>
      </c>
      <c r="AX55" s="25">
        <v>1E-4</v>
      </c>
      <c r="AY55" s="24">
        <v>0</v>
      </c>
      <c r="AZ55" s="24">
        <f t="shared" si="9"/>
        <v>0.85499999999999998</v>
      </c>
      <c r="BA55" s="24">
        <f t="shared" si="10"/>
        <v>0.68400000000000005</v>
      </c>
      <c r="BB55" s="24">
        <f t="shared" si="11"/>
        <v>0.51300000000000001</v>
      </c>
      <c r="BC55" s="25">
        <v>1E-4</v>
      </c>
      <c r="BD55" s="24">
        <v>0</v>
      </c>
      <c r="BE55" s="26">
        <v>0</v>
      </c>
      <c r="BF55" s="34">
        <f t="shared" si="0"/>
        <v>0</v>
      </c>
      <c r="BG55" s="34">
        <f t="shared" si="1"/>
        <v>0</v>
      </c>
      <c r="BH55" s="26">
        <v>0</v>
      </c>
      <c r="BI55" s="26">
        <v>0</v>
      </c>
      <c r="BJ55" s="20" t="s">
        <v>496</v>
      </c>
      <c r="BK55" s="27">
        <v>0.80213420503612509</v>
      </c>
      <c r="BL55" s="27" t="s">
        <v>694</v>
      </c>
      <c r="BM55" s="27" t="s">
        <v>695</v>
      </c>
      <c r="BN55" s="26"/>
      <c r="BO55" s="34"/>
      <c r="BP55" s="34"/>
      <c r="BQ55" s="34"/>
      <c r="BR55" s="34"/>
      <c r="BS55" s="34"/>
      <c r="BT55" s="34"/>
      <c r="BU55" s="34"/>
      <c r="BV55" s="34"/>
      <c r="BW55" s="34"/>
      <c r="BX55" s="34"/>
      <c r="BY55" s="34"/>
      <c r="BZ55" s="34"/>
      <c r="CA55" s="20"/>
      <c r="CB55" s="20"/>
      <c r="CC55" s="29">
        <v>46003</v>
      </c>
      <c r="CD55" s="35" t="s">
        <v>254</v>
      </c>
    </row>
    <row r="56" spans="1:82" s="18" customFormat="1" ht="51.75" customHeight="1" x14ac:dyDescent="0.25">
      <c r="A56" s="87">
        <v>52</v>
      </c>
      <c r="B56" s="141" t="s">
        <v>696</v>
      </c>
      <c r="C56" s="6" t="s">
        <v>697</v>
      </c>
      <c r="D56" s="6" t="s">
        <v>698</v>
      </c>
      <c r="E56" s="75" t="s">
        <v>113</v>
      </c>
      <c r="F56" s="4" t="s">
        <v>81</v>
      </c>
      <c r="G56" s="33" t="s">
        <v>84</v>
      </c>
      <c r="H56" s="49" t="s">
        <v>114</v>
      </c>
      <c r="I56" s="49" t="s">
        <v>578</v>
      </c>
      <c r="J56" s="6"/>
      <c r="K56" s="49"/>
      <c r="L56" s="49"/>
      <c r="M56" s="49" t="s">
        <v>88</v>
      </c>
      <c r="N56" s="49" t="s">
        <v>89</v>
      </c>
      <c r="O56" s="49" t="s">
        <v>579</v>
      </c>
      <c r="P56" s="6" t="s">
        <v>580</v>
      </c>
      <c r="Q56" s="49"/>
      <c r="R56" s="75" t="s">
        <v>175</v>
      </c>
      <c r="S56" s="33" t="s">
        <v>92</v>
      </c>
      <c r="T56" s="33" t="s">
        <v>93</v>
      </c>
      <c r="U56" s="78">
        <v>100</v>
      </c>
      <c r="V56" s="33" t="s">
        <v>94</v>
      </c>
      <c r="W56" s="33" t="s">
        <v>95</v>
      </c>
      <c r="X56" s="33">
        <v>2022</v>
      </c>
      <c r="Y56" s="33" t="s">
        <v>117</v>
      </c>
      <c r="Z56" s="33" t="s">
        <v>97</v>
      </c>
      <c r="AA56" s="33" t="s">
        <v>98</v>
      </c>
      <c r="AB56" s="49" t="s">
        <v>99</v>
      </c>
      <c r="AC56" s="48" t="s">
        <v>699</v>
      </c>
      <c r="AD56" s="48" t="s">
        <v>665</v>
      </c>
      <c r="AE56" s="6" t="s">
        <v>627</v>
      </c>
      <c r="AF56" s="6" t="s">
        <v>121</v>
      </c>
      <c r="AG56" s="6" t="s">
        <v>667</v>
      </c>
      <c r="AH56" s="6" t="s">
        <v>123</v>
      </c>
      <c r="AI56" s="6" t="s">
        <v>668</v>
      </c>
      <c r="AJ56" s="6" t="s">
        <v>640</v>
      </c>
      <c r="AK56" s="33" t="s">
        <v>97</v>
      </c>
      <c r="AL56" s="33" t="s">
        <v>97</v>
      </c>
      <c r="AM56" s="5"/>
      <c r="AN56" s="6" t="s">
        <v>631</v>
      </c>
      <c r="AO56" s="6"/>
      <c r="AP56" s="6"/>
      <c r="AQ56" s="49" t="s">
        <v>589</v>
      </c>
      <c r="AR56" s="20" t="s">
        <v>97</v>
      </c>
      <c r="AS56" s="20" t="s">
        <v>107</v>
      </c>
      <c r="AT56" s="20"/>
      <c r="AU56" s="24">
        <v>0.95</v>
      </c>
      <c r="AV56" s="24">
        <f t="shared" si="7"/>
        <v>0.76</v>
      </c>
      <c r="AW56" s="24">
        <f t="shared" si="8"/>
        <v>0.56999999999999995</v>
      </c>
      <c r="AX56" s="25">
        <v>1E-4</v>
      </c>
      <c r="AY56" s="24">
        <v>0</v>
      </c>
      <c r="AZ56" s="24">
        <f t="shared" si="9"/>
        <v>0.85499999999999998</v>
      </c>
      <c r="BA56" s="24">
        <f t="shared" si="10"/>
        <v>0.68400000000000005</v>
      </c>
      <c r="BB56" s="24">
        <f t="shared" si="11"/>
        <v>0.51300000000000001</v>
      </c>
      <c r="BC56" s="25">
        <v>1E-4</v>
      </c>
      <c r="BD56" s="24">
        <v>0</v>
      </c>
      <c r="BE56" s="26">
        <v>0</v>
      </c>
      <c r="BF56" s="34">
        <f t="shared" si="0"/>
        <v>0</v>
      </c>
      <c r="BG56" s="34">
        <f t="shared" si="1"/>
        <v>0</v>
      </c>
      <c r="BH56" s="26">
        <v>0</v>
      </c>
      <c r="BI56" s="26">
        <v>0</v>
      </c>
      <c r="BJ56" s="20" t="s">
        <v>496</v>
      </c>
      <c r="BK56" s="27">
        <v>0.81007068179049901</v>
      </c>
      <c r="BL56" s="27" t="s">
        <v>700</v>
      </c>
      <c r="BM56" s="27" t="s">
        <v>701</v>
      </c>
      <c r="BN56" s="26"/>
      <c r="BO56" s="34"/>
      <c r="BP56" s="34"/>
      <c r="BQ56" s="34"/>
      <c r="BR56" s="34"/>
      <c r="BS56" s="34"/>
      <c r="BT56" s="34"/>
      <c r="BU56" s="34"/>
      <c r="BV56" s="34"/>
      <c r="BW56" s="34"/>
      <c r="BX56" s="34"/>
      <c r="BY56" s="34"/>
      <c r="BZ56" s="34"/>
      <c r="CA56" s="20"/>
      <c r="CB56" s="20"/>
      <c r="CC56" s="29">
        <v>46003</v>
      </c>
      <c r="CD56" s="35" t="s">
        <v>254</v>
      </c>
    </row>
    <row r="57" spans="1:82" s="18" customFormat="1" ht="66.75" customHeight="1" x14ac:dyDescent="0.25">
      <c r="A57" s="87">
        <v>53</v>
      </c>
      <c r="B57" s="141" t="s">
        <v>702</v>
      </c>
      <c r="C57" s="6" t="s">
        <v>703</v>
      </c>
      <c r="D57" s="6" t="s">
        <v>704</v>
      </c>
      <c r="E57" s="75" t="s">
        <v>113</v>
      </c>
      <c r="F57" s="4" t="s">
        <v>81</v>
      </c>
      <c r="G57" s="33" t="s">
        <v>84</v>
      </c>
      <c r="H57" s="49" t="s">
        <v>114</v>
      </c>
      <c r="I57" s="49" t="s">
        <v>578</v>
      </c>
      <c r="J57" s="6"/>
      <c r="K57" s="49"/>
      <c r="L57" s="49"/>
      <c r="M57" s="49" t="s">
        <v>88</v>
      </c>
      <c r="N57" s="49" t="s">
        <v>89</v>
      </c>
      <c r="O57" s="49" t="s">
        <v>579</v>
      </c>
      <c r="P57" s="6" t="s">
        <v>580</v>
      </c>
      <c r="Q57" s="49"/>
      <c r="R57" s="75" t="s">
        <v>175</v>
      </c>
      <c r="S57" s="33" t="s">
        <v>92</v>
      </c>
      <c r="T57" s="33" t="s">
        <v>93</v>
      </c>
      <c r="U57" s="78">
        <v>100</v>
      </c>
      <c r="V57" s="33" t="s">
        <v>94</v>
      </c>
      <c r="W57" s="33" t="s">
        <v>95</v>
      </c>
      <c r="X57" s="33">
        <v>2022</v>
      </c>
      <c r="Y57" s="33" t="s">
        <v>117</v>
      </c>
      <c r="Z57" s="33" t="s">
        <v>97</v>
      </c>
      <c r="AA57" s="33" t="s">
        <v>98</v>
      </c>
      <c r="AB57" s="49" t="s">
        <v>99</v>
      </c>
      <c r="AC57" s="48" t="s">
        <v>705</v>
      </c>
      <c r="AD57" s="48" t="s">
        <v>665</v>
      </c>
      <c r="AE57" s="6" t="s">
        <v>627</v>
      </c>
      <c r="AF57" s="6" t="s">
        <v>121</v>
      </c>
      <c r="AG57" s="6" t="s">
        <v>667</v>
      </c>
      <c r="AH57" s="6" t="s">
        <v>123</v>
      </c>
      <c r="AI57" s="6" t="s">
        <v>668</v>
      </c>
      <c r="AJ57" s="6" t="s">
        <v>640</v>
      </c>
      <c r="AK57" s="33" t="s">
        <v>97</v>
      </c>
      <c r="AL57" s="33" t="s">
        <v>97</v>
      </c>
      <c r="AM57" s="5"/>
      <c r="AN57" s="6" t="s">
        <v>631</v>
      </c>
      <c r="AO57" s="6"/>
      <c r="AP57" s="6"/>
      <c r="AQ57" s="49" t="s">
        <v>589</v>
      </c>
      <c r="AR57" s="20" t="s">
        <v>97</v>
      </c>
      <c r="AS57" s="20" t="s">
        <v>107</v>
      </c>
      <c r="AT57" s="20"/>
      <c r="AU57" s="24">
        <v>0.95</v>
      </c>
      <c r="AV57" s="24">
        <f t="shared" si="7"/>
        <v>0.76</v>
      </c>
      <c r="AW57" s="24">
        <f t="shared" si="8"/>
        <v>0.56999999999999995</v>
      </c>
      <c r="AX57" s="25">
        <v>1E-4</v>
      </c>
      <c r="AY57" s="24">
        <v>0</v>
      </c>
      <c r="AZ57" s="24">
        <f t="shared" si="9"/>
        <v>0.85499999999999998</v>
      </c>
      <c r="BA57" s="24">
        <f t="shared" si="10"/>
        <v>0.68400000000000005</v>
      </c>
      <c r="BB57" s="24">
        <f t="shared" si="11"/>
        <v>0.51300000000000001</v>
      </c>
      <c r="BC57" s="25">
        <v>1E-4</v>
      </c>
      <c r="BD57" s="24">
        <v>0</v>
      </c>
      <c r="BE57" s="26">
        <v>0</v>
      </c>
      <c r="BF57" s="34">
        <f t="shared" si="0"/>
        <v>0</v>
      </c>
      <c r="BG57" s="34">
        <f t="shared" si="1"/>
        <v>0</v>
      </c>
      <c r="BH57" s="26">
        <v>0</v>
      </c>
      <c r="BI57" s="26">
        <v>0</v>
      </c>
      <c r="BJ57" s="20" t="s">
        <v>496</v>
      </c>
      <c r="BK57" s="27">
        <v>0.83338244519443549</v>
      </c>
      <c r="BL57" s="27" t="s">
        <v>706</v>
      </c>
      <c r="BM57" s="27" t="s">
        <v>707</v>
      </c>
      <c r="BN57" s="26"/>
      <c r="BO57" s="34"/>
      <c r="BP57" s="34"/>
      <c r="BQ57" s="34"/>
      <c r="BR57" s="34"/>
      <c r="BS57" s="34"/>
      <c r="BT57" s="34"/>
      <c r="BU57" s="34"/>
      <c r="BV57" s="34"/>
      <c r="BW57" s="34"/>
      <c r="BX57" s="34"/>
      <c r="BY57" s="34"/>
      <c r="BZ57" s="34"/>
      <c r="CA57" s="20"/>
      <c r="CB57" s="20"/>
      <c r="CC57" s="29">
        <v>46003</v>
      </c>
      <c r="CD57" s="35" t="s">
        <v>254</v>
      </c>
    </row>
    <row r="58" spans="1:82" s="18" customFormat="1" ht="66.75" customHeight="1" x14ac:dyDescent="0.25">
      <c r="A58" s="121">
        <v>54</v>
      </c>
      <c r="B58" s="141" t="s">
        <v>708</v>
      </c>
      <c r="C58" s="6" t="s">
        <v>709</v>
      </c>
      <c r="D58" s="6" t="s">
        <v>710</v>
      </c>
      <c r="E58" s="75" t="s">
        <v>113</v>
      </c>
      <c r="F58" s="4" t="s">
        <v>81</v>
      </c>
      <c r="G58" s="33" t="s">
        <v>84</v>
      </c>
      <c r="H58" s="49" t="s">
        <v>114</v>
      </c>
      <c r="I58" s="49" t="s">
        <v>578</v>
      </c>
      <c r="J58" s="6"/>
      <c r="K58" s="49"/>
      <c r="L58" s="49"/>
      <c r="M58" s="49" t="s">
        <v>88</v>
      </c>
      <c r="N58" s="49" t="s">
        <v>89</v>
      </c>
      <c r="O58" s="49" t="s">
        <v>579</v>
      </c>
      <c r="P58" s="6" t="s">
        <v>580</v>
      </c>
      <c r="Q58" s="49"/>
      <c r="R58" s="75" t="s">
        <v>175</v>
      </c>
      <c r="S58" s="33" t="s">
        <v>92</v>
      </c>
      <c r="T58" s="33" t="s">
        <v>93</v>
      </c>
      <c r="U58" s="78">
        <v>100</v>
      </c>
      <c r="V58" s="33" t="s">
        <v>94</v>
      </c>
      <c r="W58" s="33" t="s">
        <v>95</v>
      </c>
      <c r="X58" s="33">
        <v>2022</v>
      </c>
      <c r="Y58" s="33" t="s">
        <v>117</v>
      </c>
      <c r="Z58" s="33" t="s">
        <v>97</v>
      </c>
      <c r="AA58" s="33" t="s">
        <v>98</v>
      </c>
      <c r="AB58" s="49" t="s">
        <v>99</v>
      </c>
      <c r="AC58" s="48" t="s">
        <v>711</v>
      </c>
      <c r="AD58" s="48" t="s">
        <v>665</v>
      </c>
      <c r="AE58" s="6" t="s">
        <v>627</v>
      </c>
      <c r="AF58" s="6" t="s">
        <v>121</v>
      </c>
      <c r="AG58" s="6" t="s">
        <v>667</v>
      </c>
      <c r="AH58" s="6" t="s">
        <v>123</v>
      </c>
      <c r="AI58" s="6" t="s">
        <v>668</v>
      </c>
      <c r="AJ58" s="6" t="s">
        <v>640</v>
      </c>
      <c r="AK58" s="33" t="s">
        <v>97</v>
      </c>
      <c r="AL58" s="33" t="s">
        <v>97</v>
      </c>
      <c r="AM58" s="5"/>
      <c r="AN58" s="6" t="s">
        <v>631</v>
      </c>
      <c r="AO58" s="6"/>
      <c r="AP58" s="6"/>
      <c r="AQ58" s="49" t="s">
        <v>589</v>
      </c>
      <c r="AR58" s="20" t="s">
        <v>97</v>
      </c>
      <c r="AS58" s="20" t="s">
        <v>107</v>
      </c>
      <c r="AT58" s="20"/>
      <c r="AU58" s="24">
        <v>0.95</v>
      </c>
      <c r="AV58" s="24">
        <f t="shared" si="7"/>
        <v>0.76</v>
      </c>
      <c r="AW58" s="24">
        <f t="shared" si="8"/>
        <v>0.56999999999999995</v>
      </c>
      <c r="AX58" s="25">
        <v>1E-4</v>
      </c>
      <c r="AY58" s="24">
        <v>0</v>
      </c>
      <c r="AZ58" s="24">
        <f t="shared" si="9"/>
        <v>0.85499999999999998</v>
      </c>
      <c r="BA58" s="24">
        <f t="shared" si="10"/>
        <v>0.68400000000000005</v>
      </c>
      <c r="BB58" s="24">
        <f t="shared" si="11"/>
        <v>0.51300000000000001</v>
      </c>
      <c r="BC58" s="25">
        <v>1E-4</v>
      </c>
      <c r="BD58" s="24">
        <v>0</v>
      </c>
      <c r="BE58" s="26">
        <v>0</v>
      </c>
      <c r="BF58" s="34">
        <f t="shared" si="0"/>
        <v>0</v>
      </c>
      <c r="BG58" s="34">
        <f t="shared" si="1"/>
        <v>0</v>
      </c>
      <c r="BH58" s="26">
        <v>0</v>
      </c>
      <c r="BI58" s="26">
        <v>0</v>
      </c>
      <c r="BJ58" s="20" t="s">
        <v>496</v>
      </c>
      <c r="BK58" s="27">
        <v>0.83431229643133409</v>
      </c>
      <c r="BL58" s="27" t="s">
        <v>712</v>
      </c>
      <c r="BM58" s="27" t="s">
        <v>713</v>
      </c>
      <c r="BN58" s="26"/>
      <c r="BO58" s="34"/>
      <c r="BP58" s="34"/>
      <c r="BQ58" s="34"/>
      <c r="BR58" s="34"/>
      <c r="BS58" s="34"/>
      <c r="BT58" s="34"/>
      <c r="BU58" s="34"/>
      <c r="BV58" s="34"/>
      <c r="BW58" s="34"/>
      <c r="BX58" s="34"/>
      <c r="BY58" s="34"/>
      <c r="BZ58" s="34"/>
      <c r="CA58" s="20"/>
      <c r="CB58" s="20"/>
      <c r="CC58" s="29">
        <v>46003</v>
      </c>
      <c r="CD58" s="35" t="s">
        <v>254</v>
      </c>
    </row>
    <row r="59" spans="1:82" s="18" customFormat="1" ht="66.75" customHeight="1" x14ac:dyDescent="0.25">
      <c r="A59" s="87">
        <v>55</v>
      </c>
      <c r="B59" s="141" t="s">
        <v>714</v>
      </c>
      <c r="C59" s="6" t="s">
        <v>715</v>
      </c>
      <c r="D59" s="6" t="s">
        <v>716</v>
      </c>
      <c r="E59" s="75" t="s">
        <v>113</v>
      </c>
      <c r="F59" s="4" t="s">
        <v>81</v>
      </c>
      <c r="G59" s="33" t="s">
        <v>84</v>
      </c>
      <c r="H59" s="49" t="s">
        <v>114</v>
      </c>
      <c r="I59" s="49" t="s">
        <v>578</v>
      </c>
      <c r="J59" s="6"/>
      <c r="K59" s="49"/>
      <c r="L59" s="49"/>
      <c r="M59" s="49" t="s">
        <v>88</v>
      </c>
      <c r="N59" s="49" t="s">
        <v>89</v>
      </c>
      <c r="O59" s="49" t="s">
        <v>579</v>
      </c>
      <c r="P59" s="6" t="s">
        <v>580</v>
      </c>
      <c r="Q59" s="49"/>
      <c r="R59" s="75" t="s">
        <v>175</v>
      </c>
      <c r="S59" s="33" t="s">
        <v>92</v>
      </c>
      <c r="T59" s="33" t="s">
        <v>93</v>
      </c>
      <c r="U59" s="78">
        <v>100</v>
      </c>
      <c r="V59" s="33" t="s">
        <v>94</v>
      </c>
      <c r="W59" s="33" t="s">
        <v>95</v>
      </c>
      <c r="X59" s="33">
        <v>2022</v>
      </c>
      <c r="Y59" s="33" t="s">
        <v>117</v>
      </c>
      <c r="Z59" s="33" t="s">
        <v>97</v>
      </c>
      <c r="AA59" s="33" t="s">
        <v>98</v>
      </c>
      <c r="AB59" s="49" t="s">
        <v>99</v>
      </c>
      <c r="AC59" s="48" t="s">
        <v>717</v>
      </c>
      <c r="AD59" s="48" t="s">
        <v>665</v>
      </c>
      <c r="AE59" s="6" t="s">
        <v>627</v>
      </c>
      <c r="AF59" s="6" t="s">
        <v>121</v>
      </c>
      <c r="AG59" s="6" t="s">
        <v>667</v>
      </c>
      <c r="AH59" s="6" t="s">
        <v>123</v>
      </c>
      <c r="AI59" s="6" t="s">
        <v>668</v>
      </c>
      <c r="AJ59" s="6" t="s">
        <v>640</v>
      </c>
      <c r="AK59" s="33" t="s">
        <v>97</v>
      </c>
      <c r="AL59" s="33" t="s">
        <v>97</v>
      </c>
      <c r="AM59" s="5"/>
      <c r="AN59" s="6" t="s">
        <v>631</v>
      </c>
      <c r="AO59" s="6"/>
      <c r="AP59" s="6"/>
      <c r="AQ59" s="49" t="s">
        <v>589</v>
      </c>
      <c r="AR59" s="20" t="s">
        <v>97</v>
      </c>
      <c r="AS59" s="20" t="s">
        <v>107</v>
      </c>
      <c r="AT59" s="20"/>
      <c r="AU59" s="24">
        <v>0.95</v>
      </c>
      <c r="AV59" s="24">
        <f t="shared" si="7"/>
        <v>0.76</v>
      </c>
      <c r="AW59" s="24">
        <f t="shared" si="8"/>
        <v>0.56999999999999995</v>
      </c>
      <c r="AX59" s="25">
        <v>1E-4</v>
      </c>
      <c r="AY59" s="24">
        <v>0</v>
      </c>
      <c r="AZ59" s="24">
        <f t="shared" si="9"/>
        <v>0.85499999999999998</v>
      </c>
      <c r="BA59" s="24">
        <f t="shared" si="10"/>
        <v>0.68400000000000005</v>
      </c>
      <c r="BB59" s="24">
        <f t="shared" si="11"/>
        <v>0.51300000000000001</v>
      </c>
      <c r="BC59" s="25">
        <v>1E-4</v>
      </c>
      <c r="BD59" s="24">
        <v>0</v>
      </c>
      <c r="BE59" s="26">
        <v>0</v>
      </c>
      <c r="BF59" s="34">
        <f t="shared" si="0"/>
        <v>0</v>
      </c>
      <c r="BG59" s="34">
        <f t="shared" si="1"/>
        <v>0</v>
      </c>
      <c r="BH59" s="26">
        <v>0</v>
      </c>
      <c r="BI59" s="26">
        <v>0</v>
      </c>
      <c r="BJ59" s="20" t="s">
        <v>496</v>
      </c>
      <c r="BK59" s="27">
        <v>0.823756520418091</v>
      </c>
      <c r="BL59" s="27" t="s">
        <v>718</v>
      </c>
      <c r="BM59" s="27" t="s">
        <v>719</v>
      </c>
      <c r="BN59" s="26"/>
      <c r="BO59" s="34"/>
      <c r="BP59" s="34"/>
      <c r="BQ59" s="34"/>
      <c r="BR59" s="34"/>
      <c r="BS59" s="34"/>
      <c r="BT59" s="34"/>
      <c r="BU59" s="34"/>
      <c r="BV59" s="34"/>
      <c r="BW59" s="34"/>
      <c r="BX59" s="34"/>
      <c r="BY59" s="34"/>
      <c r="BZ59" s="34"/>
      <c r="CA59" s="20"/>
      <c r="CB59" s="20"/>
      <c r="CC59" s="29">
        <v>46003</v>
      </c>
      <c r="CD59" s="35" t="s">
        <v>254</v>
      </c>
    </row>
    <row r="60" spans="1:82" s="18" customFormat="1" ht="66.75" customHeight="1" x14ac:dyDescent="0.25">
      <c r="A60" s="87">
        <v>56</v>
      </c>
      <c r="B60" s="141" t="s">
        <v>720</v>
      </c>
      <c r="C60" s="6" t="s">
        <v>721</v>
      </c>
      <c r="D60" s="6" t="s">
        <v>722</v>
      </c>
      <c r="E60" s="75" t="s">
        <v>113</v>
      </c>
      <c r="F60" s="4" t="s">
        <v>81</v>
      </c>
      <c r="G60" s="33">
        <v>73</v>
      </c>
      <c r="H60" s="49" t="s">
        <v>114</v>
      </c>
      <c r="I60" s="49" t="s">
        <v>578</v>
      </c>
      <c r="J60" s="6"/>
      <c r="K60" s="49"/>
      <c r="L60" s="49"/>
      <c r="M60" s="49" t="s">
        <v>136</v>
      </c>
      <c r="N60" s="49" t="s">
        <v>89</v>
      </c>
      <c r="O60" s="49" t="s">
        <v>579</v>
      </c>
      <c r="P60" s="6" t="s">
        <v>580</v>
      </c>
      <c r="Q60" s="49"/>
      <c r="R60" s="75" t="s">
        <v>175</v>
      </c>
      <c r="S60" s="33" t="s">
        <v>92</v>
      </c>
      <c r="T60" s="33" t="s">
        <v>93</v>
      </c>
      <c r="U60" s="78">
        <v>100</v>
      </c>
      <c r="V60" s="33" t="s">
        <v>94</v>
      </c>
      <c r="W60" s="33" t="s">
        <v>95</v>
      </c>
      <c r="X60" s="33">
        <v>2022</v>
      </c>
      <c r="Y60" s="33" t="s">
        <v>117</v>
      </c>
      <c r="Z60" s="33" t="s">
        <v>97</v>
      </c>
      <c r="AA60" s="33" t="s">
        <v>98</v>
      </c>
      <c r="AB60" s="49" t="s">
        <v>99</v>
      </c>
      <c r="AC60" s="48" t="s">
        <v>723</v>
      </c>
      <c r="AD60" s="48" t="s">
        <v>665</v>
      </c>
      <c r="AE60" s="6" t="s">
        <v>627</v>
      </c>
      <c r="AF60" s="6" t="s">
        <v>121</v>
      </c>
      <c r="AG60" s="6" t="s">
        <v>667</v>
      </c>
      <c r="AH60" s="6" t="s">
        <v>123</v>
      </c>
      <c r="AI60" s="6" t="s">
        <v>668</v>
      </c>
      <c r="AJ60" s="6" t="s">
        <v>640</v>
      </c>
      <c r="AK60" s="33" t="s">
        <v>97</v>
      </c>
      <c r="AL60" s="33" t="s">
        <v>97</v>
      </c>
      <c r="AM60" s="5"/>
      <c r="AN60" s="6" t="s">
        <v>631</v>
      </c>
      <c r="AO60" s="6"/>
      <c r="AP60" s="6"/>
      <c r="AQ60" s="49" t="s">
        <v>589</v>
      </c>
      <c r="AR60" s="20" t="s">
        <v>97</v>
      </c>
      <c r="AS60" s="20" t="s">
        <v>107</v>
      </c>
      <c r="AT60" s="20"/>
      <c r="AU60" s="24">
        <v>0.95</v>
      </c>
      <c r="AV60" s="24">
        <f t="shared" si="7"/>
        <v>0.76</v>
      </c>
      <c r="AW60" s="24">
        <f t="shared" si="8"/>
        <v>0.56999999999999995</v>
      </c>
      <c r="AX60" s="25">
        <v>1E-4</v>
      </c>
      <c r="AY60" s="24">
        <v>0</v>
      </c>
      <c r="AZ60" s="24">
        <f t="shared" si="9"/>
        <v>0.85499999999999998</v>
      </c>
      <c r="BA60" s="24">
        <f t="shared" si="10"/>
        <v>0.68400000000000005</v>
      </c>
      <c r="BB60" s="24">
        <f t="shared" si="11"/>
        <v>0.51300000000000001</v>
      </c>
      <c r="BC60" s="25">
        <v>1E-4</v>
      </c>
      <c r="BD60" s="24">
        <v>0</v>
      </c>
      <c r="BE60" s="26">
        <v>0</v>
      </c>
      <c r="BF60" s="34">
        <f t="shared" si="0"/>
        <v>0</v>
      </c>
      <c r="BG60" s="34">
        <f t="shared" si="1"/>
        <v>0</v>
      </c>
      <c r="BH60" s="26">
        <v>0</v>
      </c>
      <c r="BI60" s="26">
        <v>0</v>
      </c>
      <c r="BJ60" s="20" t="s">
        <v>496</v>
      </c>
      <c r="BK60" s="27">
        <v>0.83330386621666941</v>
      </c>
      <c r="BL60" s="27" t="s">
        <v>187</v>
      </c>
      <c r="BM60" s="27" t="s">
        <v>724</v>
      </c>
      <c r="BN60" s="26"/>
      <c r="BO60" s="34">
        <v>1</v>
      </c>
      <c r="BP60" s="34"/>
      <c r="BQ60" s="34"/>
      <c r="BR60" s="34"/>
      <c r="BS60" s="34"/>
      <c r="BT60" s="34"/>
      <c r="BU60" s="34"/>
      <c r="BV60" s="34"/>
      <c r="BW60" s="34"/>
      <c r="BX60" s="34"/>
      <c r="BY60" s="34"/>
      <c r="BZ60" s="34"/>
      <c r="CA60" s="20"/>
      <c r="CB60" s="20"/>
      <c r="CC60" s="29">
        <v>46003</v>
      </c>
      <c r="CD60" s="35" t="s">
        <v>254</v>
      </c>
    </row>
    <row r="61" spans="1:82" s="18" customFormat="1" ht="66.75" customHeight="1" x14ac:dyDescent="0.25">
      <c r="A61" s="121">
        <v>57</v>
      </c>
      <c r="B61" s="144" t="s">
        <v>725</v>
      </c>
      <c r="C61" s="151" t="s">
        <v>726</v>
      </c>
      <c r="D61" s="11" t="s">
        <v>726</v>
      </c>
      <c r="E61" s="75" t="s">
        <v>174</v>
      </c>
      <c r="F61" s="19" t="s">
        <v>81</v>
      </c>
      <c r="G61" s="19">
        <v>72</v>
      </c>
      <c r="H61" s="19" t="s">
        <v>114</v>
      </c>
      <c r="I61" s="20" t="s">
        <v>578</v>
      </c>
      <c r="J61" s="11"/>
      <c r="K61" s="19"/>
      <c r="L61" s="19"/>
      <c r="M61" s="19" t="s">
        <v>136</v>
      </c>
      <c r="N61" s="19" t="s">
        <v>89</v>
      </c>
      <c r="O61" s="19" t="s">
        <v>579</v>
      </c>
      <c r="P61" s="11" t="s">
        <v>580</v>
      </c>
      <c r="Q61" s="19"/>
      <c r="R61" s="19" t="s">
        <v>91</v>
      </c>
      <c r="S61" s="33" t="s">
        <v>92</v>
      </c>
      <c r="T61" s="19" t="s">
        <v>93</v>
      </c>
      <c r="U61" s="19">
        <v>100</v>
      </c>
      <c r="V61" s="19" t="s">
        <v>94</v>
      </c>
      <c r="W61" s="19" t="s">
        <v>95</v>
      </c>
      <c r="X61" s="19">
        <v>2022</v>
      </c>
      <c r="Y61" s="19" t="s">
        <v>117</v>
      </c>
      <c r="Z61" s="19" t="s">
        <v>97</v>
      </c>
      <c r="AA61" s="19" t="s">
        <v>98</v>
      </c>
      <c r="AB61" s="19" t="s">
        <v>99</v>
      </c>
      <c r="AC61" s="11" t="s">
        <v>727</v>
      </c>
      <c r="AD61" s="11" t="s">
        <v>728</v>
      </c>
      <c r="AE61" s="11" t="s">
        <v>627</v>
      </c>
      <c r="AF61" s="11" t="s">
        <v>121</v>
      </c>
      <c r="AG61" s="15" t="s">
        <v>729</v>
      </c>
      <c r="AH61" s="11" t="s">
        <v>123</v>
      </c>
      <c r="AI61" s="15" t="s">
        <v>730</v>
      </c>
      <c r="AJ61" s="11" t="s">
        <v>731</v>
      </c>
      <c r="AK61" s="20" t="s">
        <v>97</v>
      </c>
      <c r="AL61" s="20" t="s">
        <v>97</v>
      </c>
      <c r="AM61" s="11" t="s">
        <v>732</v>
      </c>
      <c r="AN61" s="11" t="s">
        <v>631</v>
      </c>
      <c r="AO61" s="11" t="s">
        <v>733</v>
      </c>
      <c r="AP61" s="11" t="s">
        <v>734</v>
      </c>
      <c r="AQ61" s="75" t="s">
        <v>589</v>
      </c>
      <c r="AR61" s="19" t="s">
        <v>97</v>
      </c>
      <c r="AS61" s="54" t="s">
        <v>95</v>
      </c>
      <c r="AT61" s="39">
        <v>993130</v>
      </c>
      <c r="AU61" s="59">
        <v>0.95</v>
      </c>
      <c r="AV61" s="24">
        <f t="shared" si="7"/>
        <v>0.76</v>
      </c>
      <c r="AW61" s="24">
        <f t="shared" si="8"/>
        <v>0.56999999999999995</v>
      </c>
      <c r="AX61" s="25">
        <v>1E-4</v>
      </c>
      <c r="AY61" s="24">
        <v>0</v>
      </c>
      <c r="AZ61" s="24">
        <f t="shared" si="9"/>
        <v>0.85499999999999998</v>
      </c>
      <c r="BA61" s="24">
        <f t="shared" si="10"/>
        <v>0.68400000000000005</v>
      </c>
      <c r="BB61" s="24">
        <f t="shared" si="11"/>
        <v>0.51300000000000001</v>
      </c>
      <c r="BC61" s="25">
        <v>1E-4</v>
      </c>
      <c r="BD61" s="24">
        <v>0</v>
      </c>
      <c r="BE61" s="20">
        <v>50</v>
      </c>
      <c r="BF61" s="34">
        <f t="shared" si="0"/>
        <v>40</v>
      </c>
      <c r="BG61" s="34">
        <f t="shared" si="1"/>
        <v>30</v>
      </c>
      <c r="BH61" s="26">
        <v>1</v>
      </c>
      <c r="BI61" s="20">
        <v>0</v>
      </c>
      <c r="BJ61" s="20" t="s">
        <v>496</v>
      </c>
      <c r="BK61" s="27">
        <v>0.82976781221719587</v>
      </c>
      <c r="BL61" s="27" t="s">
        <v>735</v>
      </c>
      <c r="BM61" s="27" t="s">
        <v>736</v>
      </c>
      <c r="BN61" s="26"/>
      <c r="BO61" s="34">
        <v>1</v>
      </c>
      <c r="BP61" s="34"/>
      <c r="BQ61" s="34"/>
      <c r="BR61" s="34"/>
      <c r="BS61" s="34"/>
      <c r="BT61" s="34"/>
      <c r="BU61" s="34"/>
      <c r="BV61" s="34"/>
      <c r="BW61" s="34"/>
      <c r="BX61" s="34">
        <v>1</v>
      </c>
      <c r="BY61" s="34"/>
      <c r="BZ61" s="34"/>
      <c r="CA61" s="20"/>
      <c r="CB61" s="33"/>
      <c r="CC61" s="29">
        <v>46042</v>
      </c>
      <c r="CD61" s="11" t="s">
        <v>737</v>
      </c>
    </row>
    <row r="62" spans="1:82" s="18" customFormat="1" ht="66.75" customHeight="1" x14ac:dyDescent="0.25">
      <c r="A62" s="87">
        <v>58</v>
      </c>
      <c r="B62" s="141" t="s">
        <v>738</v>
      </c>
      <c r="C62" s="6" t="s">
        <v>739</v>
      </c>
      <c r="D62" s="6" t="s">
        <v>740</v>
      </c>
      <c r="E62" s="75" t="s">
        <v>113</v>
      </c>
      <c r="F62" s="4" t="s">
        <v>81</v>
      </c>
      <c r="G62" s="33" t="s">
        <v>84</v>
      </c>
      <c r="H62" s="49" t="s">
        <v>114</v>
      </c>
      <c r="I62" s="49" t="s">
        <v>578</v>
      </c>
      <c r="J62" s="6"/>
      <c r="K62" s="49"/>
      <c r="L62" s="49"/>
      <c r="M62" s="49" t="s">
        <v>88</v>
      </c>
      <c r="N62" s="49" t="s">
        <v>89</v>
      </c>
      <c r="O62" s="49" t="s">
        <v>579</v>
      </c>
      <c r="P62" s="6" t="s">
        <v>580</v>
      </c>
      <c r="Q62" s="49"/>
      <c r="R62" s="75" t="s">
        <v>175</v>
      </c>
      <c r="S62" s="33" t="s">
        <v>92</v>
      </c>
      <c r="T62" s="33" t="s">
        <v>93</v>
      </c>
      <c r="U62" s="78">
        <v>100</v>
      </c>
      <c r="V62" s="33" t="s">
        <v>94</v>
      </c>
      <c r="W62" s="33" t="s">
        <v>95</v>
      </c>
      <c r="X62" s="33">
        <v>2022</v>
      </c>
      <c r="Y62" s="33" t="s">
        <v>117</v>
      </c>
      <c r="Z62" s="33" t="s">
        <v>97</v>
      </c>
      <c r="AA62" s="33" t="s">
        <v>98</v>
      </c>
      <c r="AB62" s="49" t="s">
        <v>99</v>
      </c>
      <c r="AC62" s="48" t="s">
        <v>741</v>
      </c>
      <c r="AD62" s="48" t="s">
        <v>665</v>
      </c>
      <c r="AE62" s="6" t="s">
        <v>627</v>
      </c>
      <c r="AF62" s="6" t="s">
        <v>121</v>
      </c>
      <c r="AG62" s="6" t="s">
        <v>667</v>
      </c>
      <c r="AH62" s="6" t="s">
        <v>123</v>
      </c>
      <c r="AI62" s="6" t="s">
        <v>668</v>
      </c>
      <c r="AJ62" s="6" t="s">
        <v>640</v>
      </c>
      <c r="AK62" s="33" t="s">
        <v>97</v>
      </c>
      <c r="AL62" s="33" t="s">
        <v>97</v>
      </c>
      <c r="AM62" s="5"/>
      <c r="AN62" s="6" t="s">
        <v>631</v>
      </c>
      <c r="AO62" s="6"/>
      <c r="AP62" s="6"/>
      <c r="AQ62" s="49" t="s">
        <v>589</v>
      </c>
      <c r="AR62" s="20" t="s">
        <v>97</v>
      </c>
      <c r="AS62" s="20" t="s">
        <v>107</v>
      </c>
      <c r="AT62" s="20"/>
      <c r="AU62" s="24">
        <v>0.95</v>
      </c>
      <c r="AV62" s="24">
        <f t="shared" si="7"/>
        <v>0.76</v>
      </c>
      <c r="AW62" s="24">
        <f t="shared" si="8"/>
        <v>0.56999999999999995</v>
      </c>
      <c r="AX62" s="25">
        <v>1E-4</v>
      </c>
      <c r="AY62" s="24">
        <v>0</v>
      </c>
      <c r="AZ62" s="24">
        <f t="shared" si="9"/>
        <v>0.85499999999999998</v>
      </c>
      <c r="BA62" s="24">
        <f t="shared" si="10"/>
        <v>0.68400000000000005</v>
      </c>
      <c r="BB62" s="24">
        <f t="shared" si="11"/>
        <v>0.51300000000000001</v>
      </c>
      <c r="BC62" s="25">
        <v>1E-4</v>
      </c>
      <c r="BD62" s="24">
        <v>0</v>
      </c>
      <c r="BE62" s="26">
        <v>0</v>
      </c>
      <c r="BF62" s="34">
        <f t="shared" si="0"/>
        <v>0</v>
      </c>
      <c r="BG62" s="34">
        <f t="shared" si="1"/>
        <v>0</v>
      </c>
      <c r="BH62" s="26">
        <v>0</v>
      </c>
      <c r="BI62" s="26">
        <v>0</v>
      </c>
      <c r="BJ62" s="20" t="s">
        <v>496</v>
      </c>
      <c r="BK62" s="27">
        <v>0.82878557499511996</v>
      </c>
      <c r="BL62" s="27" t="s">
        <v>742</v>
      </c>
      <c r="BM62" s="27" t="s">
        <v>743</v>
      </c>
      <c r="BN62" s="26"/>
      <c r="BO62" s="34"/>
      <c r="BP62" s="34"/>
      <c r="BQ62" s="34"/>
      <c r="BR62" s="34"/>
      <c r="BS62" s="34"/>
      <c r="BT62" s="34"/>
      <c r="BU62" s="34"/>
      <c r="BV62" s="34"/>
      <c r="BW62" s="34"/>
      <c r="BX62" s="34"/>
      <c r="BY62" s="34"/>
      <c r="BZ62" s="34"/>
      <c r="CA62" s="20"/>
      <c r="CB62" s="20"/>
      <c r="CC62" s="29">
        <v>46003</v>
      </c>
      <c r="CD62" s="35" t="s">
        <v>254</v>
      </c>
    </row>
    <row r="63" spans="1:82" s="18" customFormat="1" ht="66.75" customHeight="1" x14ac:dyDescent="0.25">
      <c r="A63" s="87">
        <v>59</v>
      </c>
      <c r="B63" s="141" t="s">
        <v>744</v>
      </c>
      <c r="C63" s="6" t="s">
        <v>745</v>
      </c>
      <c r="D63" s="6" t="s">
        <v>746</v>
      </c>
      <c r="E63" s="75" t="s">
        <v>113</v>
      </c>
      <c r="F63" s="4" t="s">
        <v>81</v>
      </c>
      <c r="G63" s="33">
        <v>74</v>
      </c>
      <c r="H63" s="49" t="s">
        <v>114</v>
      </c>
      <c r="I63" s="49" t="s">
        <v>578</v>
      </c>
      <c r="J63" s="6"/>
      <c r="K63" s="49"/>
      <c r="L63" s="49"/>
      <c r="M63" s="49" t="s">
        <v>136</v>
      </c>
      <c r="N63" s="49" t="s">
        <v>89</v>
      </c>
      <c r="O63" s="49" t="s">
        <v>579</v>
      </c>
      <c r="P63" s="6" t="s">
        <v>580</v>
      </c>
      <c r="Q63" s="49"/>
      <c r="R63" s="75" t="s">
        <v>175</v>
      </c>
      <c r="S63" s="33" t="s">
        <v>92</v>
      </c>
      <c r="T63" s="33" t="s">
        <v>93</v>
      </c>
      <c r="U63" s="78">
        <v>100</v>
      </c>
      <c r="V63" s="33" t="s">
        <v>94</v>
      </c>
      <c r="W63" s="33" t="s">
        <v>95</v>
      </c>
      <c r="X63" s="33">
        <v>2022</v>
      </c>
      <c r="Y63" s="33" t="s">
        <v>117</v>
      </c>
      <c r="Z63" s="33" t="s">
        <v>97</v>
      </c>
      <c r="AA63" s="33" t="s">
        <v>98</v>
      </c>
      <c r="AB63" s="49" t="s">
        <v>99</v>
      </c>
      <c r="AC63" s="48" t="s">
        <v>747</v>
      </c>
      <c r="AD63" s="48" t="s">
        <v>748</v>
      </c>
      <c r="AE63" s="6" t="s">
        <v>627</v>
      </c>
      <c r="AF63" s="6" t="s">
        <v>121</v>
      </c>
      <c r="AG63" s="6" t="s">
        <v>667</v>
      </c>
      <c r="AH63" s="6" t="s">
        <v>123</v>
      </c>
      <c r="AI63" s="6" t="s">
        <v>749</v>
      </c>
      <c r="AJ63" s="6" t="s">
        <v>750</v>
      </c>
      <c r="AK63" s="33" t="s">
        <v>97</v>
      </c>
      <c r="AL63" s="33" t="s">
        <v>97</v>
      </c>
      <c r="AM63" s="5"/>
      <c r="AN63" s="6" t="s">
        <v>631</v>
      </c>
      <c r="AO63" s="6"/>
      <c r="AP63" s="6"/>
      <c r="AQ63" s="49" t="s">
        <v>589</v>
      </c>
      <c r="AR63" s="20" t="s">
        <v>97</v>
      </c>
      <c r="AS63" s="20" t="s">
        <v>107</v>
      </c>
      <c r="AT63" s="20"/>
      <c r="AU63" s="24">
        <v>0.95</v>
      </c>
      <c r="AV63" s="24">
        <f t="shared" si="7"/>
        <v>0.76</v>
      </c>
      <c r="AW63" s="24">
        <f t="shared" si="8"/>
        <v>0.56999999999999995</v>
      </c>
      <c r="AX63" s="25">
        <v>1E-4</v>
      </c>
      <c r="AY63" s="24">
        <v>0</v>
      </c>
      <c r="AZ63" s="24">
        <f t="shared" si="9"/>
        <v>0.85499999999999998</v>
      </c>
      <c r="BA63" s="24">
        <f t="shared" si="10"/>
        <v>0.68400000000000005</v>
      </c>
      <c r="BB63" s="24">
        <f t="shared" si="11"/>
        <v>0.51300000000000001</v>
      </c>
      <c r="BC63" s="25">
        <v>1E-4</v>
      </c>
      <c r="BD63" s="24">
        <v>0</v>
      </c>
      <c r="BE63" s="26">
        <v>0</v>
      </c>
      <c r="BF63" s="34">
        <f t="shared" si="0"/>
        <v>0</v>
      </c>
      <c r="BG63" s="34">
        <f t="shared" si="1"/>
        <v>0</v>
      </c>
      <c r="BH63" s="26">
        <v>0</v>
      </c>
      <c r="BI63" s="26">
        <v>0</v>
      </c>
      <c r="BJ63" s="20" t="s">
        <v>496</v>
      </c>
      <c r="BK63" s="27">
        <v>0.78520050879191761</v>
      </c>
      <c r="BL63" s="27" t="s">
        <v>751</v>
      </c>
      <c r="BM63" s="27" t="s">
        <v>752</v>
      </c>
      <c r="BN63" s="26"/>
      <c r="BO63" s="34">
        <v>1</v>
      </c>
      <c r="BP63" s="34"/>
      <c r="BQ63" s="34"/>
      <c r="BR63" s="34"/>
      <c r="BS63" s="34"/>
      <c r="BT63" s="34"/>
      <c r="BU63" s="34"/>
      <c r="BV63" s="34"/>
      <c r="BW63" s="34"/>
      <c r="BX63" s="34"/>
      <c r="BY63" s="34"/>
      <c r="BZ63" s="34"/>
      <c r="CA63" s="20"/>
      <c r="CB63" s="20"/>
      <c r="CC63" s="29">
        <v>46003</v>
      </c>
      <c r="CD63" s="35" t="s">
        <v>254</v>
      </c>
    </row>
    <row r="64" spans="1:82" s="18" customFormat="1" ht="66.75" customHeight="1" x14ac:dyDescent="0.25">
      <c r="A64" s="121">
        <v>60</v>
      </c>
      <c r="B64" s="141" t="s">
        <v>753</v>
      </c>
      <c r="C64" s="6" t="s">
        <v>754</v>
      </c>
      <c r="D64" s="6" t="s">
        <v>755</v>
      </c>
      <c r="E64" s="75" t="s">
        <v>113</v>
      </c>
      <c r="F64" s="4" t="s">
        <v>81</v>
      </c>
      <c r="G64" s="33">
        <v>75</v>
      </c>
      <c r="H64" s="49" t="s">
        <v>114</v>
      </c>
      <c r="I64" s="49" t="s">
        <v>578</v>
      </c>
      <c r="J64" s="6"/>
      <c r="K64" s="49"/>
      <c r="L64" s="49"/>
      <c r="M64" s="49" t="s">
        <v>136</v>
      </c>
      <c r="N64" s="49" t="s">
        <v>89</v>
      </c>
      <c r="O64" s="49" t="s">
        <v>579</v>
      </c>
      <c r="P64" s="6" t="s">
        <v>580</v>
      </c>
      <c r="Q64" s="49"/>
      <c r="R64" s="75" t="s">
        <v>175</v>
      </c>
      <c r="S64" s="33" t="s">
        <v>92</v>
      </c>
      <c r="T64" s="33" t="s">
        <v>93</v>
      </c>
      <c r="U64" s="78">
        <v>100</v>
      </c>
      <c r="V64" s="33" t="s">
        <v>94</v>
      </c>
      <c r="W64" s="33" t="s">
        <v>95</v>
      </c>
      <c r="X64" s="33">
        <v>2022</v>
      </c>
      <c r="Y64" s="33" t="s">
        <v>117</v>
      </c>
      <c r="Z64" s="33" t="s">
        <v>97</v>
      </c>
      <c r="AA64" s="33" t="s">
        <v>98</v>
      </c>
      <c r="AB64" s="49" t="s">
        <v>99</v>
      </c>
      <c r="AC64" s="48" t="s">
        <v>756</v>
      </c>
      <c r="AD64" s="48" t="s">
        <v>748</v>
      </c>
      <c r="AE64" s="6" t="s">
        <v>757</v>
      </c>
      <c r="AF64" s="6" t="s">
        <v>121</v>
      </c>
      <c r="AG64" s="6" t="s">
        <v>667</v>
      </c>
      <c r="AH64" s="6" t="s">
        <v>123</v>
      </c>
      <c r="AI64" s="6" t="s">
        <v>749</v>
      </c>
      <c r="AJ64" s="6" t="s">
        <v>750</v>
      </c>
      <c r="AK64" s="33" t="s">
        <v>97</v>
      </c>
      <c r="AL64" s="33" t="s">
        <v>97</v>
      </c>
      <c r="AM64" s="5"/>
      <c r="AN64" s="6" t="s">
        <v>631</v>
      </c>
      <c r="AO64" s="6"/>
      <c r="AP64" s="6"/>
      <c r="AQ64" s="49" t="s">
        <v>589</v>
      </c>
      <c r="AR64" s="20" t="s">
        <v>97</v>
      </c>
      <c r="AS64" s="20" t="s">
        <v>107</v>
      </c>
      <c r="AT64" s="20"/>
      <c r="AU64" s="24">
        <v>0.95</v>
      </c>
      <c r="AV64" s="24">
        <f t="shared" si="7"/>
        <v>0.76</v>
      </c>
      <c r="AW64" s="24">
        <f t="shared" si="8"/>
        <v>0.56999999999999995</v>
      </c>
      <c r="AX64" s="25">
        <v>1E-4</v>
      </c>
      <c r="AY64" s="24">
        <v>0</v>
      </c>
      <c r="AZ64" s="24">
        <f t="shared" si="9"/>
        <v>0.85499999999999998</v>
      </c>
      <c r="BA64" s="24">
        <f t="shared" si="10"/>
        <v>0.68400000000000005</v>
      </c>
      <c r="BB64" s="24">
        <f t="shared" si="11"/>
        <v>0.51300000000000001</v>
      </c>
      <c r="BC64" s="25">
        <v>1E-4</v>
      </c>
      <c r="BD64" s="24">
        <v>0</v>
      </c>
      <c r="BE64" s="26">
        <v>0</v>
      </c>
      <c r="BF64" s="34">
        <f t="shared" si="0"/>
        <v>0</v>
      </c>
      <c r="BG64" s="34">
        <f t="shared" si="1"/>
        <v>0</v>
      </c>
      <c r="BH64" s="26">
        <v>0</v>
      </c>
      <c r="BI64" s="26">
        <v>0</v>
      </c>
      <c r="BJ64" s="20" t="s">
        <v>496</v>
      </c>
      <c r="BK64" s="27">
        <v>0.79259224980332288</v>
      </c>
      <c r="BL64" s="27" t="s">
        <v>758</v>
      </c>
      <c r="BM64" s="27" t="s">
        <v>759</v>
      </c>
      <c r="BN64" s="26"/>
      <c r="BO64" s="34">
        <v>1</v>
      </c>
      <c r="BP64" s="34"/>
      <c r="BQ64" s="34"/>
      <c r="BR64" s="34"/>
      <c r="BS64" s="34"/>
      <c r="BT64" s="34"/>
      <c r="BU64" s="34"/>
      <c r="BV64" s="34"/>
      <c r="BW64" s="34"/>
      <c r="BX64" s="34"/>
      <c r="BY64" s="34"/>
      <c r="BZ64" s="34"/>
      <c r="CA64" s="20"/>
      <c r="CB64" s="20"/>
      <c r="CC64" s="29">
        <v>46003</v>
      </c>
      <c r="CD64" s="35" t="s">
        <v>254</v>
      </c>
    </row>
    <row r="65" spans="1:82" s="18" customFormat="1" ht="66.75" customHeight="1" x14ac:dyDescent="0.25">
      <c r="A65" s="87">
        <v>61</v>
      </c>
      <c r="B65" s="141" t="s">
        <v>760</v>
      </c>
      <c r="C65" s="6" t="s">
        <v>761</v>
      </c>
      <c r="D65" s="6" t="s">
        <v>762</v>
      </c>
      <c r="E65" s="75" t="s">
        <v>113</v>
      </c>
      <c r="F65" s="4" t="s">
        <v>81</v>
      </c>
      <c r="G65" s="33">
        <v>76</v>
      </c>
      <c r="H65" s="49" t="s">
        <v>114</v>
      </c>
      <c r="I65" s="49" t="s">
        <v>578</v>
      </c>
      <c r="J65" s="6"/>
      <c r="K65" s="49"/>
      <c r="L65" s="49"/>
      <c r="M65" s="49" t="s">
        <v>136</v>
      </c>
      <c r="N65" s="49" t="s">
        <v>89</v>
      </c>
      <c r="O65" s="49" t="s">
        <v>579</v>
      </c>
      <c r="P65" s="6" t="s">
        <v>580</v>
      </c>
      <c r="Q65" s="49"/>
      <c r="R65" s="75" t="s">
        <v>175</v>
      </c>
      <c r="S65" s="33" t="s">
        <v>92</v>
      </c>
      <c r="T65" s="33" t="s">
        <v>93</v>
      </c>
      <c r="U65" s="78">
        <v>100</v>
      </c>
      <c r="V65" s="33" t="s">
        <v>94</v>
      </c>
      <c r="W65" s="33" t="s">
        <v>95</v>
      </c>
      <c r="X65" s="33">
        <v>2022</v>
      </c>
      <c r="Y65" s="33" t="s">
        <v>117</v>
      </c>
      <c r="Z65" s="33" t="s">
        <v>97</v>
      </c>
      <c r="AA65" s="33" t="s">
        <v>98</v>
      </c>
      <c r="AB65" s="49" t="s">
        <v>99</v>
      </c>
      <c r="AC65" s="48" t="s">
        <v>763</v>
      </c>
      <c r="AD65" s="48" t="s">
        <v>748</v>
      </c>
      <c r="AE65" s="6" t="s">
        <v>627</v>
      </c>
      <c r="AF65" s="6" t="s">
        <v>121</v>
      </c>
      <c r="AG65" s="6" t="s">
        <v>667</v>
      </c>
      <c r="AH65" s="6" t="s">
        <v>123</v>
      </c>
      <c r="AI65" s="6" t="s">
        <v>749</v>
      </c>
      <c r="AJ65" s="6" t="s">
        <v>750</v>
      </c>
      <c r="AK65" s="33" t="s">
        <v>97</v>
      </c>
      <c r="AL65" s="33" t="s">
        <v>97</v>
      </c>
      <c r="AM65" s="5"/>
      <c r="AN65" s="82" t="s">
        <v>631</v>
      </c>
      <c r="AO65" s="6"/>
      <c r="AP65" s="6"/>
      <c r="AQ65" s="49" t="s">
        <v>589</v>
      </c>
      <c r="AR65" s="20" t="s">
        <v>97</v>
      </c>
      <c r="AS65" s="20" t="s">
        <v>107</v>
      </c>
      <c r="AT65" s="20"/>
      <c r="AU65" s="24">
        <v>0.95</v>
      </c>
      <c r="AV65" s="24">
        <f t="shared" si="7"/>
        <v>0.76</v>
      </c>
      <c r="AW65" s="24">
        <f t="shared" si="8"/>
        <v>0.56999999999999995</v>
      </c>
      <c r="AX65" s="25">
        <v>1E-4</v>
      </c>
      <c r="AY65" s="24">
        <v>0</v>
      </c>
      <c r="AZ65" s="24">
        <f t="shared" si="9"/>
        <v>0.85499999999999998</v>
      </c>
      <c r="BA65" s="24">
        <f t="shared" si="10"/>
        <v>0.68400000000000005</v>
      </c>
      <c r="BB65" s="24">
        <f t="shared" si="11"/>
        <v>0.51300000000000001</v>
      </c>
      <c r="BC65" s="25">
        <v>1E-4</v>
      </c>
      <c r="BD65" s="24">
        <v>0</v>
      </c>
      <c r="BE65" s="26">
        <v>0</v>
      </c>
      <c r="BF65" s="34">
        <f t="shared" si="0"/>
        <v>0</v>
      </c>
      <c r="BG65" s="34">
        <f t="shared" si="1"/>
        <v>0</v>
      </c>
      <c r="BH65" s="26">
        <v>0</v>
      </c>
      <c r="BI65" s="26">
        <v>0</v>
      </c>
      <c r="BJ65" s="20" t="s">
        <v>496</v>
      </c>
      <c r="BK65" s="27">
        <v>0.78440004952841513</v>
      </c>
      <c r="BL65" s="27" t="s">
        <v>764</v>
      </c>
      <c r="BM65" s="27" t="s">
        <v>765</v>
      </c>
      <c r="BN65" s="26"/>
      <c r="BO65" s="34">
        <v>1</v>
      </c>
      <c r="BP65" s="34"/>
      <c r="BQ65" s="34"/>
      <c r="BR65" s="34"/>
      <c r="BS65" s="34"/>
      <c r="BT65" s="34"/>
      <c r="BU65" s="34"/>
      <c r="BV65" s="34"/>
      <c r="BW65" s="34"/>
      <c r="BX65" s="34"/>
      <c r="BY65" s="34"/>
      <c r="BZ65" s="34"/>
      <c r="CA65" s="20"/>
      <c r="CB65" s="20"/>
      <c r="CC65" s="29">
        <v>46003</v>
      </c>
      <c r="CD65" s="35" t="s">
        <v>254</v>
      </c>
    </row>
    <row r="66" spans="1:82" s="18" customFormat="1" ht="66.75" customHeight="1" x14ac:dyDescent="0.25">
      <c r="A66" s="87">
        <v>62</v>
      </c>
      <c r="B66" s="141" t="s">
        <v>766</v>
      </c>
      <c r="C66" s="6" t="s">
        <v>767</v>
      </c>
      <c r="D66" s="6" t="s">
        <v>768</v>
      </c>
      <c r="E66" s="75" t="s">
        <v>113</v>
      </c>
      <c r="F66" s="4" t="s">
        <v>81</v>
      </c>
      <c r="G66" s="33" t="s">
        <v>84</v>
      </c>
      <c r="H66" s="49" t="s">
        <v>114</v>
      </c>
      <c r="I66" s="49" t="s">
        <v>578</v>
      </c>
      <c r="J66" s="6"/>
      <c r="K66" s="49"/>
      <c r="L66" s="49"/>
      <c r="M66" s="49" t="s">
        <v>88</v>
      </c>
      <c r="N66" s="49" t="s">
        <v>89</v>
      </c>
      <c r="O66" s="49" t="s">
        <v>579</v>
      </c>
      <c r="P66" s="6" t="s">
        <v>580</v>
      </c>
      <c r="Q66" s="49"/>
      <c r="R66" s="75" t="s">
        <v>175</v>
      </c>
      <c r="S66" s="33" t="s">
        <v>92</v>
      </c>
      <c r="T66" s="33" t="s">
        <v>93</v>
      </c>
      <c r="U66" s="78">
        <v>100</v>
      </c>
      <c r="V66" s="33" t="s">
        <v>94</v>
      </c>
      <c r="W66" s="33" t="s">
        <v>95</v>
      </c>
      <c r="X66" s="33">
        <v>2022</v>
      </c>
      <c r="Y66" s="33" t="s">
        <v>117</v>
      </c>
      <c r="Z66" s="33" t="s">
        <v>97</v>
      </c>
      <c r="AA66" s="33" t="s">
        <v>98</v>
      </c>
      <c r="AB66" s="49" t="s">
        <v>99</v>
      </c>
      <c r="AC66" s="48" t="s">
        <v>769</v>
      </c>
      <c r="AD66" s="48" t="s">
        <v>748</v>
      </c>
      <c r="AE66" s="6" t="s">
        <v>627</v>
      </c>
      <c r="AF66" s="6" t="s">
        <v>121</v>
      </c>
      <c r="AG66" s="6" t="s">
        <v>667</v>
      </c>
      <c r="AH66" s="6" t="s">
        <v>123</v>
      </c>
      <c r="AI66" s="6" t="s">
        <v>749</v>
      </c>
      <c r="AJ66" s="6" t="s">
        <v>750</v>
      </c>
      <c r="AK66" s="33" t="s">
        <v>97</v>
      </c>
      <c r="AL66" s="33" t="s">
        <v>97</v>
      </c>
      <c r="AM66" s="5"/>
      <c r="AN66" s="6" t="s">
        <v>631</v>
      </c>
      <c r="AO66" s="6"/>
      <c r="AP66" s="6"/>
      <c r="AQ66" s="49" t="s">
        <v>589</v>
      </c>
      <c r="AR66" s="20" t="s">
        <v>97</v>
      </c>
      <c r="AS66" s="20" t="s">
        <v>107</v>
      </c>
      <c r="AT66" s="20"/>
      <c r="AU66" s="24">
        <v>0.95</v>
      </c>
      <c r="AV66" s="24">
        <f t="shared" si="7"/>
        <v>0.76</v>
      </c>
      <c r="AW66" s="24">
        <f t="shared" si="8"/>
        <v>0.56999999999999995</v>
      </c>
      <c r="AX66" s="25">
        <v>1E-4</v>
      </c>
      <c r="AY66" s="24">
        <v>0</v>
      </c>
      <c r="AZ66" s="24">
        <f t="shared" si="9"/>
        <v>0.85499999999999998</v>
      </c>
      <c r="BA66" s="24">
        <f t="shared" si="10"/>
        <v>0.68400000000000005</v>
      </c>
      <c r="BB66" s="24">
        <f t="shared" si="11"/>
        <v>0.51300000000000001</v>
      </c>
      <c r="BC66" s="25">
        <v>1E-4</v>
      </c>
      <c r="BD66" s="24">
        <v>0</v>
      </c>
      <c r="BE66" s="26">
        <v>0</v>
      </c>
      <c r="BF66" s="34">
        <f t="shared" si="0"/>
        <v>0</v>
      </c>
      <c r="BG66" s="34">
        <f t="shared" si="1"/>
        <v>0</v>
      </c>
      <c r="BH66" s="26">
        <v>0</v>
      </c>
      <c r="BI66" s="26">
        <v>0</v>
      </c>
      <c r="BJ66" s="20" t="s">
        <v>496</v>
      </c>
      <c r="BK66" s="27">
        <v>0.78605099675938894</v>
      </c>
      <c r="BL66" s="27" t="s">
        <v>770</v>
      </c>
      <c r="BM66" s="27" t="s">
        <v>771</v>
      </c>
      <c r="BN66" s="26"/>
      <c r="BO66" s="34"/>
      <c r="BP66" s="34"/>
      <c r="BQ66" s="34"/>
      <c r="BR66" s="34"/>
      <c r="BS66" s="34"/>
      <c r="BT66" s="34"/>
      <c r="BU66" s="34"/>
      <c r="BV66" s="34"/>
      <c r="BW66" s="34"/>
      <c r="BX66" s="34"/>
      <c r="BY66" s="34"/>
      <c r="BZ66" s="34"/>
      <c r="CA66" s="20"/>
      <c r="CB66" s="20"/>
      <c r="CC66" s="29">
        <v>46003</v>
      </c>
      <c r="CD66" s="35" t="s">
        <v>254</v>
      </c>
    </row>
    <row r="67" spans="1:82" s="18" customFormat="1" ht="66.75" customHeight="1" x14ac:dyDescent="0.25">
      <c r="A67" s="121">
        <v>63</v>
      </c>
      <c r="B67" s="144" t="s">
        <v>772</v>
      </c>
      <c r="C67" s="11" t="s">
        <v>773</v>
      </c>
      <c r="D67" s="76" t="s">
        <v>774</v>
      </c>
      <c r="E67" s="75" t="s">
        <v>113</v>
      </c>
      <c r="F67" s="19" t="s">
        <v>81</v>
      </c>
      <c r="G67" s="20" t="s">
        <v>84</v>
      </c>
      <c r="H67" s="54" t="s">
        <v>775</v>
      </c>
      <c r="I67" s="20" t="s">
        <v>578</v>
      </c>
      <c r="J67" s="7"/>
      <c r="K67" s="20"/>
      <c r="L67" s="20"/>
      <c r="M67" s="20" t="s">
        <v>88</v>
      </c>
      <c r="N67" s="20" t="s">
        <v>89</v>
      </c>
      <c r="O67" s="20" t="s">
        <v>579</v>
      </c>
      <c r="P67" s="7" t="s">
        <v>580</v>
      </c>
      <c r="Q67" s="20"/>
      <c r="R67" s="20" t="s">
        <v>175</v>
      </c>
      <c r="S67" s="33" t="s">
        <v>92</v>
      </c>
      <c r="T67" s="20" t="s">
        <v>93</v>
      </c>
      <c r="U67" s="20">
        <v>100</v>
      </c>
      <c r="V67" s="20" t="s">
        <v>94</v>
      </c>
      <c r="W67" s="20" t="s">
        <v>95</v>
      </c>
      <c r="X67" s="20">
        <v>2022</v>
      </c>
      <c r="Y67" s="20" t="s">
        <v>117</v>
      </c>
      <c r="Z67" s="20" t="s">
        <v>97</v>
      </c>
      <c r="AA67" s="20" t="s">
        <v>98</v>
      </c>
      <c r="AB67" s="20" t="s">
        <v>99</v>
      </c>
      <c r="AC67" s="7" t="s">
        <v>776</v>
      </c>
      <c r="AD67" s="7" t="s">
        <v>777</v>
      </c>
      <c r="AE67" s="7" t="s">
        <v>778</v>
      </c>
      <c r="AF67" s="7" t="s">
        <v>121</v>
      </c>
      <c r="AG67" s="7" t="s">
        <v>667</v>
      </c>
      <c r="AH67" s="7" t="s">
        <v>123</v>
      </c>
      <c r="AI67" s="7" t="s">
        <v>779</v>
      </c>
      <c r="AJ67" s="7" t="s">
        <v>780</v>
      </c>
      <c r="AK67" s="20" t="s">
        <v>97</v>
      </c>
      <c r="AL67" s="20" t="s">
        <v>97</v>
      </c>
      <c r="AM67" s="7" t="s">
        <v>781</v>
      </c>
      <c r="AN67" s="7" t="s">
        <v>631</v>
      </c>
      <c r="AO67" s="7" t="s">
        <v>781</v>
      </c>
      <c r="AP67" s="7" t="s">
        <v>781</v>
      </c>
      <c r="AQ67" s="7" t="s">
        <v>782</v>
      </c>
      <c r="AR67" s="20" t="s">
        <v>97</v>
      </c>
      <c r="AS67" s="20" t="s">
        <v>107</v>
      </c>
      <c r="AT67" s="20"/>
      <c r="AU67" s="59">
        <v>0.95</v>
      </c>
      <c r="AV67" s="24">
        <f t="shared" si="7"/>
        <v>0.76</v>
      </c>
      <c r="AW67" s="24">
        <f t="shared" si="8"/>
        <v>0.56999999999999995</v>
      </c>
      <c r="AX67" s="25">
        <v>1E-4</v>
      </c>
      <c r="AY67" s="24">
        <v>0</v>
      </c>
      <c r="AZ67" s="24">
        <f t="shared" si="9"/>
        <v>0.85499999999999998</v>
      </c>
      <c r="BA67" s="24">
        <f t="shared" si="10"/>
        <v>0.68400000000000005</v>
      </c>
      <c r="BB67" s="24">
        <f t="shared" si="11"/>
        <v>0.51300000000000001</v>
      </c>
      <c r="BC67" s="25">
        <v>1E-4</v>
      </c>
      <c r="BD67" s="24">
        <v>0</v>
      </c>
      <c r="BE67" s="26">
        <v>0</v>
      </c>
      <c r="BF67" s="34">
        <f t="shared" si="0"/>
        <v>0</v>
      </c>
      <c r="BG67" s="34">
        <f t="shared" si="1"/>
        <v>0</v>
      </c>
      <c r="BH67" s="26">
        <v>0</v>
      </c>
      <c r="BI67" s="26">
        <v>0</v>
      </c>
      <c r="BJ67" s="20" t="s">
        <v>496</v>
      </c>
      <c r="BK67" s="27">
        <v>0.75582115238617986</v>
      </c>
      <c r="BL67" s="27" t="s">
        <v>783</v>
      </c>
      <c r="BM67" s="27" t="s">
        <v>784</v>
      </c>
      <c r="BN67" s="26"/>
      <c r="BO67" s="34"/>
      <c r="BP67" s="34"/>
      <c r="BQ67" s="34"/>
      <c r="BR67" s="34"/>
      <c r="BS67" s="34"/>
      <c r="BT67" s="34"/>
      <c r="BU67" s="34"/>
      <c r="BV67" s="34"/>
      <c r="BW67" s="34"/>
      <c r="BX67" s="34"/>
      <c r="BY67" s="34"/>
      <c r="BZ67" s="34"/>
      <c r="CA67" s="20"/>
      <c r="CB67" s="33"/>
      <c r="CC67" s="29">
        <v>46003</v>
      </c>
      <c r="CD67" s="42" t="s">
        <v>785</v>
      </c>
    </row>
    <row r="68" spans="1:82" s="18" customFormat="1" ht="66.75" customHeight="1" x14ac:dyDescent="0.25">
      <c r="A68" s="87">
        <v>64</v>
      </c>
      <c r="B68" s="141" t="s">
        <v>786</v>
      </c>
      <c r="C68" s="6" t="s">
        <v>787</v>
      </c>
      <c r="D68" s="6" t="s">
        <v>788</v>
      </c>
      <c r="E68" s="75" t="s">
        <v>113</v>
      </c>
      <c r="F68" s="4" t="s">
        <v>81</v>
      </c>
      <c r="G68" s="33" t="s">
        <v>84</v>
      </c>
      <c r="H68" s="49" t="s">
        <v>114</v>
      </c>
      <c r="I68" s="49" t="s">
        <v>578</v>
      </c>
      <c r="J68" s="6"/>
      <c r="K68" s="49"/>
      <c r="L68" s="49"/>
      <c r="M68" s="49" t="s">
        <v>88</v>
      </c>
      <c r="N68" s="49" t="s">
        <v>89</v>
      </c>
      <c r="O68" s="49" t="s">
        <v>579</v>
      </c>
      <c r="P68" s="6" t="s">
        <v>580</v>
      </c>
      <c r="Q68" s="49"/>
      <c r="R68" s="75" t="s">
        <v>175</v>
      </c>
      <c r="S68" s="33" t="s">
        <v>92</v>
      </c>
      <c r="T68" s="33" t="s">
        <v>93</v>
      </c>
      <c r="U68" s="78">
        <v>100</v>
      </c>
      <c r="V68" s="33" t="s">
        <v>94</v>
      </c>
      <c r="W68" s="33" t="s">
        <v>95</v>
      </c>
      <c r="X68" s="33">
        <v>2022</v>
      </c>
      <c r="Y68" s="33" t="s">
        <v>117</v>
      </c>
      <c r="Z68" s="33" t="s">
        <v>97</v>
      </c>
      <c r="AA68" s="33" t="s">
        <v>98</v>
      </c>
      <c r="AB68" s="49" t="s">
        <v>99</v>
      </c>
      <c r="AC68" s="48" t="s">
        <v>789</v>
      </c>
      <c r="AD68" s="48" t="s">
        <v>748</v>
      </c>
      <c r="AE68" s="6" t="s">
        <v>675</v>
      </c>
      <c r="AF68" s="6" t="s">
        <v>121</v>
      </c>
      <c r="AG68" s="6" t="s">
        <v>667</v>
      </c>
      <c r="AH68" s="6" t="s">
        <v>123</v>
      </c>
      <c r="AI68" s="6" t="s">
        <v>749</v>
      </c>
      <c r="AJ68" s="6" t="s">
        <v>750</v>
      </c>
      <c r="AK68" s="33" t="s">
        <v>97</v>
      </c>
      <c r="AL68" s="33" t="s">
        <v>97</v>
      </c>
      <c r="AM68" s="5"/>
      <c r="AN68" s="6" t="s">
        <v>631</v>
      </c>
      <c r="AO68" s="6"/>
      <c r="AP68" s="6"/>
      <c r="AQ68" s="49" t="s">
        <v>589</v>
      </c>
      <c r="AR68" s="20" t="s">
        <v>97</v>
      </c>
      <c r="AS68" s="20" t="s">
        <v>107</v>
      </c>
      <c r="AT68" s="20"/>
      <c r="AU68" s="24">
        <v>0.95</v>
      </c>
      <c r="AV68" s="24">
        <f t="shared" si="7"/>
        <v>0.76</v>
      </c>
      <c r="AW68" s="24">
        <f t="shared" si="8"/>
        <v>0.56999999999999995</v>
      </c>
      <c r="AX68" s="25">
        <v>1E-4</v>
      </c>
      <c r="AY68" s="24">
        <v>0</v>
      </c>
      <c r="AZ68" s="24">
        <f t="shared" si="9"/>
        <v>0.85499999999999998</v>
      </c>
      <c r="BA68" s="24">
        <f t="shared" si="10"/>
        <v>0.68400000000000005</v>
      </c>
      <c r="BB68" s="24">
        <f t="shared" si="11"/>
        <v>0.51300000000000001</v>
      </c>
      <c r="BC68" s="25">
        <v>1E-4</v>
      </c>
      <c r="BD68" s="24">
        <v>0</v>
      </c>
      <c r="BE68" s="26">
        <v>0</v>
      </c>
      <c r="BF68" s="34">
        <f t="shared" ref="BF68:BF131" si="12">+BE68*80%</f>
        <v>0</v>
      </c>
      <c r="BG68" s="34">
        <f t="shared" ref="BG68:BG131" si="13">+BE68*60%</f>
        <v>0</v>
      </c>
      <c r="BH68" s="26">
        <v>0</v>
      </c>
      <c r="BI68" s="26">
        <v>0</v>
      </c>
      <c r="BJ68" s="20" t="s">
        <v>496</v>
      </c>
      <c r="BK68" s="27">
        <v>0.71472257207572687</v>
      </c>
      <c r="BL68" s="27" t="s">
        <v>790</v>
      </c>
      <c r="BM68" s="27" t="s">
        <v>791</v>
      </c>
      <c r="BN68" s="26"/>
      <c r="BO68" s="34"/>
      <c r="BP68" s="34"/>
      <c r="BQ68" s="34"/>
      <c r="BR68" s="34"/>
      <c r="BS68" s="34"/>
      <c r="BT68" s="34"/>
      <c r="BU68" s="34"/>
      <c r="BV68" s="34"/>
      <c r="BW68" s="34"/>
      <c r="BX68" s="34"/>
      <c r="BY68" s="34"/>
      <c r="BZ68" s="34"/>
      <c r="CA68" s="20"/>
      <c r="CB68" s="20"/>
      <c r="CC68" s="29">
        <v>46003</v>
      </c>
      <c r="CD68" s="35" t="s">
        <v>254</v>
      </c>
    </row>
    <row r="69" spans="1:82" s="18" customFormat="1" ht="66.75" customHeight="1" x14ac:dyDescent="0.25">
      <c r="A69" s="87">
        <v>65</v>
      </c>
      <c r="B69" s="141" t="s">
        <v>792</v>
      </c>
      <c r="C69" s="6" t="s">
        <v>793</v>
      </c>
      <c r="D69" s="6" t="s">
        <v>794</v>
      </c>
      <c r="E69" s="75" t="s">
        <v>113</v>
      </c>
      <c r="F69" s="4" t="s">
        <v>81</v>
      </c>
      <c r="G69" s="33" t="s">
        <v>84</v>
      </c>
      <c r="H69" s="49" t="s">
        <v>114</v>
      </c>
      <c r="I69" s="49" t="s">
        <v>578</v>
      </c>
      <c r="J69" s="6"/>
      <c r="K69" s="49"/>
      <c r="L69" s="49"/>
      <c r="M69" s="49" t="s">
        <v>88</v>
      </c>
      <c r="N69" s="49" t="s">
        <v>89</v>
      </c>
      <c r="O69" s="49" t="s">
        <v>579</v>
      </c>
      <c r="P69" s="6" t="s">
        <v>580</v>
      </c>
      <c r="Q69" s="49"/>
      <c r="R69" s="75" t="s">
        <v>175</v>
      </c>
      <c r="S69" s="33" t="s">
        <v>92</v>
      </c>
      <c r="T69" s="33" t="s">
        <v>93</v>
      </c>
      <c r="U69" s="78">
        <v>100</v>
      </c>
      <c r="V69" s="33" t="s">
        <v>94</v>
      </c>
      <c r="W69" s="33" t="s">
        <v>95</v>
      </c>
      <c r="X69" s="33">
        <v>2023</v>
      </c>
      <c r="Y69" s="33" t="s">
        <v>117</v>
      </c>
      <c r="Z69" s="33" t="s">
        <v>97</v>
      </c>
      <c r="AA69" s="33" t="s">
        <v>98</v>
      </c>
      <c r="AB69" s="49" t="s">
        <v>99</v>
      </c>
      <c r="AC69" s="48" t="s">
        <v>795</v>
      </c>
      <c r="AD69" s="48" t="s">
        <v>748</v>
      </c>
      <c r="AE69" s="6" t="s">
        <v>627</v>
      </c>
      <c r="AF69" s="6" t="s">
        <v>121</v>
      </c>
      <c r="AG69" s="6" t="s">
        <v>667</v>
      </c>
      <c r="AH69" s="6" t="s">
        <v>123</v>
      </c>
      <c r="AI69" s="6" t="s">
        <v>749</v>
      </c>
      <c r="AJ69" s="6" t="s">
        <v>750</v>
      </c>
      <c r="AK69" s="33" t="s">
        <v>97</v>
      </c>
      <c r="AL69" s="33" t="s">
        <v>97</v>
      </c>
      <c r="AM69" s="5" t="s">
        <v>796</v>
      </c>
      <c r="AN69" s="6" t="s">
        <v>631</v>
      </c>
      <c r="AO69" s="6"/>
      <c r="AP69" s="6"/>
      <c r="AQ69" s="49" t="s">
        <v>589</v>
      </c>
      <c r="AR69" s="20" t="s">
        <v>97</v>
      </c>
      <c r="AS69" s="20" t="s">
        <v>107</v>
      </c>
      <c r="AT69" s="20"/>
      <c r="AU69" s="24">
        <v>0.95</v>
      </c>
      <c r="AV69" s="24">
        <f t="shared" si="7"/>
        <v>0.76</v>
      </c>
      <c r="AW69" s="24">
        <f t="shared" si="8"/>
        <v>0.56999999999999995</v>
      </c>
      <c r="AX69" s="25">
        <v>1E-4</v>
      </c>
      <c r="AY69" s="24">
        <v>0</v>
      </c>
      <c r="AZ69" s="24">
        <f t="shared" si="9"/>
        <v>0.85499999999999998</v>
      </c>
      <c r="BA69" s="24">
        <f t="shared" si="10"/>
        <v>0.68400000000000005</v>
      </c>
      <c r="BB69" s="24">
        <f t="shared" si="11"/>
        <v>0.51300000000000001</v>
      </c>
      <c r="BC69" s="25">
        <v>1E-4</v>
      </c>
      <c r="BD69" s="24">
        <v>0</v>
      </c>
      <c r="BE69" s="26">
        <v>0</v>
      </c>
      <c r="BF69" s="34">
        <f t="shared" si="12"/>
        <v>0</v>
      </c>
      <c r="BG69" s="34">
        <f t="shared" si="13"/>
        <v>0</v>
      </c>
      <c r="BH69" s="26">
        <v>0</v>
      </c>
      <c r="BI69" s="26">
        <v>0</v>
      </c>
      <c r="BJ69" s="20" t="s">
        <v>496</v>
      </c>
      <c r="BK69" s="27">
        <v>0.71636101213070835</v>
      </c>
      <c r="BL69" s="27" t="s">
        <v>797</v>
      </c>
      <c r="BM69" s="27" t="s">
        <v>798</v>
      </c>
      <c r="BN69" s="26"/>
      <c r="BO69" s="34"/>
      <c r="BP69" s="34"/>
      <c r="BQ69" s="34"/>
      <c r="BR69" s="34"/>
      <c r="BS69" s="34"/>
      <c r="BT69" s="34"/>
      <c r="BU69" s="34"/>
      <c r="BV69" s="34"/>
      <c r="BW69" s="34"/>
      <c r="BX69" s="34"/>
      <c r="BY69" s="34"/>
      <c r="BZ69" s="34"/>
      <c r="CA69" s="20"/>
      <c r="CB69" s="20"/>
      <c r="CC69" s="29">
        <v>46003</v>
      </c>
      <c r="CD69" s="35" t="s">
        <v>254</v>
      </c>
    </row>
    <row r="70" spans="1:82" s="18" customFormat="1" ht="66.75" customHeight="1" x14ac:dyDescent="0.25">
      <c r="A70" s="121">
        <v>66</v>
      </c>
      <c r="B70" s="141" t="s">
        <v>799</v>
      </c>
      <c r="C70" s="6" t="s">
        <v>800</v>
      </c>
      <c r="D70" s="6" t="s">
        <v>801</v>
      </c>
      <c r="E70" s="75" t="s">
        <v>113</v>
      </c>
      <c r="F70" s="4" t="s">
        <v>81</v>
      </c>
      <c r="G70" s="33">
        <v>77</v>
      </c>
      <c r="H70" s="49" t="s">
        <v>114</v>
      </c>
      <c r="I70" s="49" t="s">
        <v>578</v>
      </c>
      <c r="J70" s="6"/>
      <c r="K70" s="49"/>
      <c r="L70" s="49"/>
      <c r="M70" s="49" t="s">
        <v>136</v>
      </c>
      <c r="N70" s="49" t="s">
        <v>89</v>
      </c>
      <c r="O70" s="49" t="s">
        <v>579</v>
      </c>
      <c r="P70" s="6" t="s">
        <v>580</v>
      </c>
      <c r="Q70" s="49"/>
      <c r="R70" s="75" t="s">
        <v>175</v>
      </c>
      <c r="S70" s="33" t="s">
        <v>92</v>
      </c>
      <c r="T70" s="33" t="s">
        <v>93</v>
      </c>
      <c r="U70" s="78">
        <v>100</v>
      </c>
      <c r="V70" s="33" t="s">
        <v>94</v>
      </c>
      <c r="W70" s="33" t="s">
        <v>95</v>
      </c>
      <c r="X70" s="33">
        <v>2023</v>
      </c>
      <c r="Y70" s="33" t="s">
        <v>117</v>
      </c>
      <c r="Z70" s="33" t="s">
        <v>97</v>
      </c>
      <c r="AA70" s="33" t="s">
        <v>98</v>
      </c>
      <c r="AB70" s="49" t="s">
        <v>99</v>
      </c>
      <c r="AC70" s="48" t="s">
        <v>802</v>
      </c>
      <c r="AD70" s="48" t="s">
        <v>748</v>
      </c>
      <c r="AE70" s="6" t="s">
        <v>627</v>
      </c>
      <c r="AF70" s="6" t="s">
        <v>121</v>
      </c>
      <c r="AG70" s="6" t="s">
        <v>667</v>
      </c>
      <c r="AH70" s="6" t="s">
        <v>123</v>
      </c>
      <c r="AI70" s="6" t="s">
        <v>749</v>
      </c>
      <c r="AJ70" s="6" t="s">
        <v>750</v>
      </c>
      <c r="AK70" s="33" t="s">
        <v>97</v>
      </c>
      <c r="AL70" s="33" t="s">
        <v>97</v>
      </c>
      <c r="AM70" s="5" t="s">
        <v>796</v>
      </c>
      <c r="AN70" s="6" t="s">
        <v>631</v>
      </c>
      <c r="AO70" s="6"/>
      <c r="AP70" s="6"/>
      <c r="AQ70" s="49" t="s">
        <v>589</v>
      </c>
      <c r="AR70" s="20" t="s">
        <v>97</v>
      </c>
      <c r="AS70" s="20" t="s">
        <v>107</v>
      </c>
      <c r="AT70" s="20"/>
      <c r="AU70" s="24">
        <v>0.95</v>
      </c>
      <c r="AV70" s="24">
        <f t="shared" si="7"/>
        <v>0.76</v>
      </c>
      <c r="AW70" s="24">
        <f t="shared" si="8"/>
        <v>0.56999999999999995</v>
      </c>
      <c r="AX70" s="25">
        <v>1E-4</v>
      </c>
      <c r="AY70" s="24">
        <v>0</v>
      </c>
      <c r="AZ70" s="24">
        <f t="shared" si="9"/>
        <v>0.85499999999999998</v>
      </c>
      <c r="BA70" s="24">
        <f t="shared" si="10"/>
        <v>0.68400000000000005</v>
      </c>
      <c r="BB70" s="24">
        <f t="shared" si="11"/>
        <v>0.51300000000000001</v>
      </c>
      <c r="BC70" s="25">
        <v>1E-4</v>
      </c>
      <c r="BD70" s="24">
        <v>0</v>
      </c>
      <c r="BE70" s="26">
        <v>0</v>
      </c>
      <c r="BF70" s="34">
        <f t="shared" si="12"/>
        <v>0</v>
      </c>
      <c r="BG70" s="34">
        <f t="shared" si="13"/>
        <v>0</v>
      </c>
      <c r="BH70" s="26">
        <v>0</v>
      </c>
      <c r="BI70" s="26">
        <v>0</v>
      </c>
      <c r="BJ70" s="20" t="s">
        <v>496</v>
      </c>
      <c r="BK70" s="27">
        <v>0.7121335866453361</v>
      </c>
      <c r="BL70" s="27" t="s">
        <v>803</v>
      </c>
      <c r="BM70" s="27" t="s">
        <v>804</v>
      </c>
      <c r="BN70" s="26"/>
      <c r="BO70" s="34">
        <v>1</v>
      </c>
      <c r="BP70" s="34"/>
      <c r="BQ70" s="34"/>
      <c r="BR70" s="34"/>
      <c r="BS70" s="34"/>
      <c r="BT70" s="34"/>
      <c r="BU70" s="34"/>
      <c r="BV70" s="34"/>
      <c r="BW70" s="34"/>
      <c r="BX70" s="34"/>
      <c r="BY70" s="34"/>
      <c r="BZ70" s="34"/>
      <c r="CA70" s="20"/>
      <c r="CB70" s="20"/>
      <c r="CC70" s="29">
        <v>46003</v>
      </c>
      <c r="CD70" s="35" t="s">
        <v>254</v>
      </c>
    </row>
    <row r="71" spans="1:82" s="18" customFormat="1" ht="66.75" customHeight="1" x14ac:dyDescent="0.25">
      <c r="A71" s="87">
        <v>67</v>
      </c>
      <c r="B71" s="141" t="s">
        <v>805</v>
      </c>
      <c r="C71" s="6" t="s">
        <v>806</v>
      </c>
      <c r="D71" s="6" t="s">
        <v>807</v>
      </c>
      <c r="E71" s="75" t="s">
        <v>113</v>
      </c>
      <c r="F71" s="4" t="s">
        <v>81</v>
      </c>
      <c r="G71" s="33">
        <v>77</v>
      </c>
      <c r="H71" s="49" t="s">
        <v>114</v>
      </c>
      <c r="I71" s="49" t="s">
        <v>578</v>
      </c>
      <c r="J71" s="6"/>
      <c r="K71" s="49"/>
      <c r="L71" s="49"/>
      <c r="M71" s="49" t="s">
        <v>136</v>
      </c>
      <c r="N71" s="49" t="s">
        <v>89</v>
      </c>
      <c r="O71" s="49" t="s">
        <v>579</v>
      </c>
      <c r="P71" s="6" t="s">
        <v>580</v>
      </c>
      <c r="Q71" s="49"/>
      <c r="R71" s="75" t="s">
        <v>175</v>
      </c>
      <c r="S71" s="33" t="s">
        <v>92</v>
      </c>
      <c r="T71" s="33" t="s">
        <v>93</v>
      </c>
      <c r="U71" s="78">
        <v>100</v>
      </c>
      <c r="V71" s="33" t="s">
        <v>94</v>
      </c>
      <c r="W71" s="33" t="s">
        <v>95</v>
      </c>
      <c r="X71" s="33">
        <v>2022</v>
      </c>
      <c r="Y71" s="33" t="s">
        <v>117</v>
      </c>
      <c r="Z71" s="33" t="s">
        <v>97</v>
      </c>
      <c r="AA71" s="33" t="s">
        <v>98</v>
      </c>
      <c r="AB71" s="49" t="s">
        <v>99</v>
      </c>
      <c r="AC71" s="48" t="s">
        <v>808</v>
      </c>
      <c r="AD71" s="48" t="s">
        <v>809</v>
      </c>
      <c r="AE71" s="6" t="s">
        <v>627</v>
      </c>
      <c r="AF71" s="6" t="s">
        <v>810</v>
      </c>
      <c r="AG71" s="6" t="s">
        <v>667</v>
      </c>
      <c r="AH71" s="6" t="s">
        <v>123</v>
      </c>
      <c r="AI71" s="6" t="s">
        <v>811</v>
      </c>
      <c r="AJ71" s="6" t="s">
        <v>812</v>
      </c>
      <c r="AK71" s="33" t="s">
        <v>97</v>
      </c>
      <c r="AL71" s="33" t="s">
        <v>97</v>
      </c>
      <c r="AM71" s="6" t="s">
        <v>813</v>
      </c>
      <c r="AN71" s="6" t="s">
        <v>631</v>
      </c>
      <c r="AO71" s="6"/>
      <c r="AP71" s="6"/>
      <c r="AQ71" s="49" t="s">
        <v>589</v>
      </c>
      <c r="AR71" s="20" t="s">
        <v>97</v>
      </c>
      <c r="AS71" s="20" t="s">
        <v>107</v>
      </c>
      <c r="AT71" s="20"/>
      <c r="AU71" s="24">
        <v>0.95</v>
      </c>
      <c r="AV71" s="24">
        <f t="shared" si="7"/>
        <v>0.76</v>
      </c>
      <c r="AW71" s="24">
        <f t="shared" si="8"/>
        <v>0.56999999999999995</v>
      </c>
      <c r="AX71" s="25">
        <v>1E-4</v>
      </c>
      <c r="AY71" s="24">
        <v>0</v>
      </c>
      <c r="AZ71" s="24">
        <f t="shared" si="9"/>
        <v>0.85499999999999998</v>
      </c>
      <c r="BA71" s="24">
        <f t="shared" si="10"/>
        <v>0.68400000000000005</v>
      </c>
      <c r="BB71" s="24">
        <f t="shared" si="11"/>
        <v>0.51300000000000001</v>
      </c>
      <c r="BC71" s="25">
        <v>1E-4</v>
      </c>
      <c r="BD71" s="24">
        <v>0</v>
      </c>
      <c r="BE71" s="26">
        <v>0</v>
      </c>
      <c r="BF71" s="34">
        <f t="shared" si="12"/>
        <v>0</v>
      </c>
      <c r="BG71" s="34">
        <f t="shared" si="13"/>
        <v>0</v>
      </c>
      <c r="BH71" s="26">
        <v>0</v>
      </c>
      <c r="BI71" s="26">
        <v>0</v>
      </c>
      <c r="BJ71" s="20" t="s">
        <v>496</v>
      </c>
      <c r="BK71" s="27">
        <v>0.46273586544503181</v>
      </c>
      <c r="BL71" s="27" t="s">
        <v>814</v>
      </c>
      <c r="BM71" s="27" t="s">
        <v>815</v>
      </c>
      <c r="BN71" s="26"/>
      <c r="BO71" s="34">
        <v>1</v>
      </c>
      <c r="BP71" s="34"/>
      <c r="BQ71" s="34"/>
      <c r="BR71" s="34"/>
      <c r="BS71" s="34"/>
      <c r="BT71" s="34"/>
      <c r="BU71" s="34"/>
      <c r="BV71" s="34"/>
      <c r="BW71" s="34"/>
      <c r="BX71" s="34"/>
      <c r="BY71" s="34"/>
      <c r="BZ71" s="34"/>
      <c r="CA71" s="20"/>
      <c r="CB71" s="20"/>
      <c r="CC71" s="29">
        <v>46003</v>
      </c>
      <c r="CD71" s="40" t="s">
        <v>816</v>
      </c>
    </row>
    <row r="72" spans="1:82" s="18" customFormat="1" ht="66.75" customHeight="1" x14ac:dyDescent="0.25">
      <c r="A72" s="87">
        <v>68</v>
      </c>
      <c r="B72" s="141" t="s">
        <v>817</v>
      </c>
      <c r="C72" s="6" t="s">
        <v>818</v>
      </c>
      <c r="D72" s="6" t="s">
        <v>819</v>
      </c>
      <c r="E72" s="75" t="s">
        <v>113</v>
      </c>
      <c r="F72" s="4" t="s">
        <v>81</v>
      </c>
      <c r="G72" s="33" t="s">
        <v>84</v>
      </c>
      <c r="H72" s="49" t="s">
        <v>114</v>
      </c>
      <c r="I72" s="49" t="s">
        <v>578</v>
      </c>
      <c r="J72" s="6"/>
      <c r="K72" s="49"/>
      <c r="L72" s="49"/>
      <c r="M72" s="49" t="s">
        <v>88</v>
      </c>
      <c r="N72" s="49" t="s">
        <v>89</v>
      </c>
      <c r="O72" s="49" t="s">
        <v>579</v>
      </c>
      <c r="P72" s="6" t="s">
        <v>580</v>
      </c>
      <c r="Q72" s="49"/>
      <c r="R72" s="75" t="s">
        <v>175</v>
      </c>
      <c r="S72" s="33" t="s">
        <v>92</v>
      </c>
      <c r="T72" s="33" t="s">
        <v>93</v>
      </c>
      <c r="U72" s="78">
        <v>100</v>
      </c>
      <c r="V72" s="33" t="s">
        <v>94</v>
      </c>
      <c r="W72" s="33" t="s">
        <v>95</v>
      </c>
      <c r="X72" s="33">
        <v>2022</v>
      </c>
      <c r="Y72" s="33" t="s">
        <v>117</v>
      </c>
      <c r="Z72" s="33" t="s">
        <v>97</v>
      </c>
      <c r="AA72" s="33" t="s">
        <v>98</v>
      </c>
      <c r="AB72" s="49" t="s">
        <v>99</v>
      </c>
      <c r="AC72" s="48" t="s">
        <v>820</v>
      </c>
      <c r="AD72" s="48" t="s">
        <v>821</v>
      </c>
      <c r="AE72" s="6" t="s">
        <v>675</v>
      </c>
      <c r="AF72" s="6" t="s">
        <v>121</v>
      </c>
      <c r="AG72" s="6" t="s">
        <v>667</v>
      </c>
      <c r="AH72" s="6" t="s">
        <v>123</v>
      </c>
      <c r="AI72" s="6" t="s">
        <v>811</v>
      </c>
      <c r="AJ72" s="6" t="s">
        <v>812</v>
      </c>
      <c r="AK72" s="33" t="s">
        <v>97</v>
      </c>
      <c r="AL72" s="33" t="s">
        <v>97</v>
      </c>
      <c r="AM72" s="5"/>
      <c r="AN72" s="6" t="s">
        <v>631</v>
      </c>
      <c r="AO72" s="6"/>
      <c r="AP72" s="6"/>
      <c r="AQ72" s="49" t="s">
        <v>589</v>
      </c>
      <c r="AR72" s="20" t="s">
        <v>97</v>
      </c>
      <c r="AS72" s="20" t="s">
        <v>107</v>
      </c>
      <c r="AT72" s="20"/>
      <c r="AU72" s="24">
        <v>0.95</v>
      </c>
      <c r="AV72" s="24">
        <f t="shared" si="7"/>
        <v>0.76</v>
      </c>
      <c r="AW72" s="24">
        <f t="shared" si="8"/>
        <v>0.56999999999999995</v>
      </c>
      <c r="AX72" s="25">
        <v>1E-4</v>
      </c>
      <c r="AY72" s="24">
        <v>0</v>
      </c>
      <c r="AZ72" s="24">
        <f t="shared" si="9"/>
        <v>0.85499999999999998</v>
      </c>
      <c r="BA72" s="24">
        <f t="shared" si="10"/>
        <v>0.68400000000000005</v>
      </c>
      <c r="BB72" s="24">
        <f t="shared" si="11"/>
        <v>0.51300000000000001</v>
      </c>
      <c r="BC72" s="25">
        <v>1E-4</v>
      </c>
      <c r="BD72" s="24">
        <v>0</v>
      </c>
      <c r="BE72" s="26">
        <v>0</v>
      </c>
      <c r="BF72" s="34">
        <f t="shared" si="12"/>
        <v>0</v>
      </c>
      <c r="BG72" s="34">
        <f t="shared" si="13"/>
        <v>0</v>
      </c>
      <c r="BH72" s="26">
        <v>0</v>
      </c>
      <c r="BI72" s="26">
        <v>0</v>
      </c>
      <c r="BJ72" s="20" t="s">
        <v>496</v>
      </c>
      <c r="BK72" s="27">
        <v>0.70100949715357064</v>
      </c>
      <c r="BL72" s="27" t="s">
        <v>822</v>
      </c>
      <c r="BM72" s="27" t="s">
        <v>823</v>
      </c>
      <c r="BN72" s="26"/>
      <c r="BO72" s="34"/>
      <c r="BP72" s="34"/>
      <c r="BQ72" s="34"/>
      <c r="BR72" s="34"/>
      <c r="BS72" s="34"/>
      <c r="BT72" s="34"/>
      <c r="BU72" s="34"/>
      <c r="BV72" s="34"/>
      <c r="BW72" s="34"/>
      <c r="BX72" s="34"/>
      <c r="BY72" s="34"/>
      <c r="BZ72" s="34"/>
      <c r="CA72" s="20"/>
      <c r="CB72" s="20"/>
      <c r="CC72" s="29">
        <v>46003</v>
      </c>
      <c r="CD72" s="35" t="s">
        <v>254</v>
      </c>
    </row>
    <row r="73" spans="1:82" s="18" customFormat="1" ht="66.75" customHeight="1" x14ac:dyDescent="0.25">
      <c r="A73" s="121">
        <v>69</v>
      </c>
      <c r="B73" s="141" t="s">
        <v>824</v>
      </c>
      <c r="C73" s="6" t="s">
        <v>825</v>
      </c>
      <c r="D73" s="6" t="s">
        <v>826</v>
      </c>
      <c r="E73" s="75" t="s">
        <v>113</v>
      </c>
      <c r="F73" s="4" t="s">
        <v>81</v>
      </c>
      <c r="G73" s="33" t="s">
        <v>84</v>
      </c>
      <c r="H73" s="49" t="s">
        <v>114</v>
      </c>
      <c r="I73" s="49" t="s">
        <v>578</v>
      </c>
      <c r="J73" s="6"/>
      <c r="K73" s="49"/>
      <c r="L73" s="49"/>
      <c r="M73" s="49" t="s">
        <v>88</v>
      </c>
      <c r="N73" s="49" t="s">
        <v>89</v>
      </c>
      <c r="O73" s="49" t="s">
        <v>579</v>
      </c>
      <c r="P73" s="6" t="s">
        <v>580</v>
      </c>
      <c r="Q73" s="49"/>
      <c r="R73" s="75" t="s">
        <v>175</v>
      </c>
      <c r="S73" s="33" t="s">
        <v>92</v>
      </c>
      <c r="T73" s="33" t="s">
        <v>93</v>
      </c>
      <c r="U73" s="78">
        <v>100</v>
      </c>
      <c r="V73" s="33" t="s">
        <v>94</v>
      </c>
      <c r="W73" s="33" t="s">
        <v>95</v>
      </c>
      <c r="X73" s="33">
        <v>2022</v>
      </c>
      <c r="Y73" s="33" t="s">
        <v>117</v>
      </c>
      <c r="Z73" s="33" t="s">
        <v>97</v>
      </c>
      <c r="AA73" s="33" t="s">
        <v>98</v>
      </c>
      <c r="AB73" s="49" t="s">
        <v>99</v>
      </c>
      <c r="AC73" s="48" t="s">
        <v>827</v>
      </c>
      <c r="AD73" s="48" t="s">
        <v>821</v>
      </c>
      <c r="AE73" s="6" t="s">
        <v>627</v>
      </c>
      <c r="AF73" s="6" t="s">
        <v>121</v>
      </c>
      <c r="AG73" s="6" t="s">
        <v>667</v>
      </c>
      <c r="AH73" s="6" t="s">
        <v>123</v>
      </c>
      <c r="AI73" s="6" t="s">
        <v>811</v>
      </c>
      <c r="AJ73" s="6" t="s">
        <v>812</v>
      </c>
      <c r="AK73" s="33" t="s">
        <v>97</v>
      </c>
      <c r="AL73" s="33" t="s">
        <v>97</v>
      </c>
      <c r="AM73" s="5"/>
      <c r="AN73" s="6" t="s">
        <v>631</v>
      </c>
      <c r="AO73" s="6"/>
      <c r="AP73" s="6"/>
      <c r="AQ73" s="49" t="s">
        <v>589</v>
      </c>
      <c r="AR73" s="20" t="s">
        <v>97</v>
      </c>
      <c r="AS73" s="20" t="s">
        <v>107</v>
      </c>
      <c r="AT73" s="20"/>
      <c r="AU73" s="24">
        <v>0.95</v>
      </c>
      <c r="AV73" s="24">
        <f t="shared" si="7"/>
        <v>0.76</v>
      </c>
      <c r="AW73" s="24">
        <f t="shared" si="8"/>
        <v>0.56999999999999995</v>
      </c>
      <c r="AX73" s="25">
        <v>1E-4</v>
      </c>
      <c r="AY73" s="24">
        <v>0</v>
      </c>
      <c r="AZ73" s="24">
        <f t="shared" si="9"/>
        <v>0.85499999999999998</v>
      </c>
      <c r="BA73" s="24">
        <f t="shared" si="10"/>
        <v>0.68400000000000005</v>
      </c>
      <c r="BB73" s="24">
        <f t="shared" si="11"/>
        <v>0.51300000000000001</v>
      </c>
      <c r="BC73" s="25">
        <v>1E-4</v>
      </c>
      <c r="BD73" s="24">
        <v>0</v>
      </c>
      <c r="BE73" s="26">
        <v>0</v>
      </c>
      <c r="BF73" s="34">
        <f t="shared" si="12"/>
        <v>0</v>
      </c>
      <c r="BG73" s="34">
        <f t="shared" si="13"/>
        <v>0</v>
      </c>
      <c r="BH73" s="26">
        <v>0</v>
      </c>
      <c r="BI73" s="26">
        <v>0</v>
      </c>
      <c r="BJ73" s="20" t="s">
        <v>496</v>
      </c>
      <c r="BK73" s="27">
        <v>0.70909362644529217</v>
      </c>
      <c r="BL73" s="27" t="s">
        <v>828</v>
      </c>
      <c r="BM73" s="27" t="s">
        <v>829</v>
      </c>
      <c r="BN73" s="26"/>
      <c r="BO73" s="34"/>
      <c r="BP73" s="34"/>
      <c r="BQ73" s="34"/>
      <c r="BR73" s="34"/>
      <c r="BS73" s="34"/>
      <c r="BT73" s="34"/>
      <c r="BU73" s="34"/>
      <c r="BV73" s="34"/>
      <c r="BW73" s="34"/>
      <c r="BX73" s="34"/>
      <c r="BY73" s="34"/>
      <c r="BZ73" s="34"/>
      <c r="CA73" s="20"/>
      <c r="CB73" s="20"/>
      <c r="CC73" s="29">
        <v>46003</v>
      </c>
      <c r="CD73" s="35" t="s">
        <v>254</v>
      </c>
    </row>
    <row r="74" spans="1:82" s="18" customFormat="1" ht="66.75" customHeight="1" x14ac:dyDescent="0.25">
      <c r="A74" s="87">
        <v>70</v>
      </c>
      <c r="B74" s="141" t="s">
        <v>830</v>
      </c>
      <c r="C74" s="6" t="s">
        <v>831</v>
      </c>
      <c r="D74" s="6" t="s">
        <v>832</v>
      </c>
      <c r="E74" s="75" t="s">
        <v>113</v>
      </c>
      <c r="F74" s="4" t="s">
        <v>81</v>
      </c>
      <c r="G74" s="33" t="s">
        <v>84</v>
      </c>
      <c r="H74" s="49" t="s">
        <v>114</v>
      </c>
      <c r="I74" s="49" t="s">
        <v>578</v>
      </c>
      <c r="J74" s="6"/>
      <c r="K74" s="49"/>
      <c r="L74" s="49"/>
      <c r="M74" s="49" t="s">
        <v>88</v>
      </c>
      <c r="N74" s="49" t="s">
        <v>89</v>
      </c>
      <c r="O74" s="49" t="s">
        <v>579</v>
      </c>
      <c r="P74" s="6" t="s">
        <v>580</v>
      </c>
      <c r="Q74" s="49"/>
      <c r="R74" s="75" t="s">
        <v>175</v>
      </c>
      <c r="S74" s="33" t="s">
        <v>92</v>
      </c>
      <c r="T74" s="33" t="s">
        <v>93</v>
      </c>
      <c r="U74" s="78">
        <v>100</v>
      </c>
      <c r="V74" s="33" t="s">
        <v>94</v>
      </c>
      <c r="W74" s="33" t="s">
        <v>95</v>
      </c>
      <c r="X74" s="33">
        <v>2022</v>
      </c>
      <c r="Y74" s="33" t="s">
        <v>117</v>
      </c>
      <c r="Z74" s="33" t="s">
        <v>97</v>
      </c>
      <c r="AA74" s="33" t="s">
        <v>98</v>
      </c>
      <c r="AB74" s="49" t="s">
        <v>99</v>
      </c>
      <c r="AC74" s="48" t="s">
        <v>833</v>
      </c>
      <c r="AD74" s="48" t="s">
        <v>821</v>
      </c>
      <c r="AE74" s="6" t="s">
        <v>627</v>
      </c>
      <c r="AF74" s="6" t="s">
        <v>121</v>
      </c>
      <c r="AG74" s="6" t="s">
        <v>667</v>
      </c>
      <c r="AH74" s="6" t="s">
        <v>123</v>
      </c>
      <c r="AI74" s="6" t="s">
        <v>811</v>
      </c>
      <c r="AJ74" s="6" t="s">
        <v>812</v>
      </c>
      <c r="AK74" s="33" t="s">
        <v>97</v>
      </c>
      <c r="AL74" s="33" t="s">
        <v>97</v>
      </c>
      <c r="AM74" s="5"/>
      <c r="AN74" s="6" t="s">
        <v>631</v>
      </c>
      <c r="AO74" s="6"/>
      <c r="AP74" s="6"/>
      <c r="AQ74" s="49" t="s">
        <v>589</v>
      </c>
      <c r="AR74" s="20" t="s">
        <v>97</v>
      </c>
      <c r="AS74" s="20" t="s">
        <v>107</v>
      </c>
      <c r="AT74" s="20"/>
      <c r="AU74" s="24">
        <v>0.95</v>
      </c>
      <c r="AV74" s="24">
        <f t="shared" si="7"/>
        <v>0.76</v>
      </c>
      <c r="AW74" s="24">
        <f t="shared" si="8"/>
        <v>0.56999999999999995</v>
      </c>
      <c r="AX74" s="25">
        <v>1E-4</v>
      </c>
      <c r="AY74" s="24">
        <v>0</v>
      </c>
      <c r="AZ74" s="24">
        <f t="shared" si="9"/>
        <v>0.85499999999999998</v>
      </c>
      <c r="BA74" s="24">
        <f t="shared" si="10"/>
        <v>0.68400000000000005</v>
      </c>
      <c r="BB74" s="24">
        <f t="shared" si="11"/>
        <v>0.51300000000000001</v>
      </c>
      <c r="BC74" s="25">
        <v>1E-4</v>
      </c>
      <c r="BD74" s="24">
        <v>0</v>
      </c>
      <c r="BE74" s="26">
        <v>0</v>
      </c>
      <c r="BF74" s="34">
        <f t="shared" si="12"/>
        <v>0</v>
      </c>
      <c r="BG74" s="34">
        <f t="shared" si="13"/>
        <v>0</v>
      </c>
      <c r="BH74" s="26">
        <v>0</v>
      </c>
      <c r="BI74" s="26">
        <v>0</v>
      </c>
      <c r="BJ74" s="20" t="s">
        <v>496</v>
      </c>
      <c r="BK74" s="27">
        <v>0.71279602179318147</v>
      </c>
      <c r="BL74" s="27" t="s">
        <v>828</v>
      </c>
      <c r="BM74" s="27" t="s">
        <v>834</v>
      </c>
      <c r="BN74" s="26"/>
      <c r="BO74" s="34"/>
      <c r="BP74" s="34"/>
      <c r="BQ74" s="34"/>
      <c r="BR74" s="34"/>
      <c r="BS74" s="34"/>
      <c r="BT74" s="34"/>
      <c r="BU74" s="34"/>
      <c r="BV74" s="34"/>
      <c r="BW74" s="34"/>
      <c r="BX74" s="34"/>
      <c r="BY74" s="34"/>
      <c r="BZ74" s="34"/>
      <c r="CA74" s="20"/>
      <c r="CB74" s="20"/>
      <c r="CC74" s="29">
        <v>46003</v>
      </c>
      <c r="CD74" s="35" t="s">
        <v>254</v>
      </c>
    </row>
    <row r="75" spans="1:82" s="18" customFormat="1" ht="66.75" customHeight="1" x14ac:dyDescent="0.25">
      <c r="A75" s="87">
        <v>71</v>
      </c>
      <c r="B75" s="141" t="s">
        <v>835</v>
      </c>
      <c r="C75" s="6" t="s">
        <v>836</v>
      </c>
      <c r="D75" s="6" t="s">
        <v>837</v>
      </c>
      <c r="E75" s="75" t="s">
        <v>113</v>
      </c>
      <c r="F75" s="4" t="s">
        <v>81</v>
      </c>
      <c r="G75" s="33" t="s">
        <v>84</v>
      </c>
      <c r="H75" s="49" t="s">
        <v>775</v>
      </c>
      <c r="I75" s="49" t="s">
        <v>578</v>
      </c>
      <c r="J75" s="6"/>
      <c r="K75" s="49"/>
      <c r="L75" s="49"/>
      <c r="M75" s="49" t="s">
        <v>88</v>
      </c>
      <c r="N75" s="49" t="s">
        <v>89</v>
      </c>
      <c r="O75" s="49" t="s">
        <v>579</v>
      </c>
      <c r="P75" s="6" t="s">
        <v>580</v>
      </c>
      <c r="Q75" s="49"/>
      <c r="R75" s="75" t="s">
        <v>91</v>
      </c>
      <c r="S75" s="33" t="s">
        <v>92</v>
      </c>
      <c r="T75" s="33" t="s">
        <v>93</v>
      </c>
      <c r="U75" s="78">
        <v>100</v>
      </c>
      <c r="V75" s="33" t="s">
        <v>94</v>
      </c>
      <c r="W75" s="33" t="s">
        <v>95</v>
      </c>
      <c r="X75" s="33">
        <v>2022</v>
      </c>
      <c r="Y75" s="33" t="s">
        <v>117</v>
      </c>
      <c r="Z75" s="33" t="s">
        <v>97</v>
      </c>
      <c r="AA75" s="33" t="s">
        <v>98</v>
      </c>
      <c r="AB75" s="49" t="s">
        <v>99</v>
      </c>
      <c r="AC75" s="48" t="s">
        <v>838</v>
      </c>
      <c r="AD75" s="48" t="s">
        <v>839</v>
      </c>
      <c r="AE75" s="6" t="s">
        <v>840</v>
      </c>
      <c r="AF75" s="6" t="s">
        <v>121</v>
      </c>
      <c r="AG75" s="6" t="s">
        <v>218</v>
      </c>
      <c r="AH75" s="6" t="s">
        <v>123</v>
      </c>
      <c r="AI75" s="6" t="s">
        <v>841</v>
      </c>
      <c r="AJ75" s="6" t="s">
        <v>842</v>
      </c>
      <c r="AK75" s="33" t="s">
        <v>97</v>
      </c>
      <c r="AL75" s="33" t="s">
        <v>97</v>
      </c>
      <c r="AM75" s="5" t="s">
        <v>641</v>
      </c>
      <c r="AN75" s="6" t="s">
        <v>631</v>
      </c>
      <c r="AO75" s="6"/>
      <c r="AP75" s="6"/>
      <c r="AQ75" s="49" t="s">
        <v>589</v>
      </c>
      <c r="AR75" s="20" t="s">
        <v>97</v>
      </c>
      <c r="AS75" s="20" t="s">
        <v>107</v>
      </c>
      <c r="AT75" s="20"/>
      <c r="AU75" s="24">
        <v>0.95</v>
      </c>
      <c r="AV75" s="24">
        <f t="shared" si="7"/>
        <v>0.76</v>
      </c>
      <c r="AW75" s="24">
        <f t="shared" si="8"/>
        <v>0.56999999999999995</v>
      </c>
      <c r="AX75" s="25">
        <v>1E-4</v>
      </c>
      <c r="AY75" s="24">
        <v>0</v>
      </c>
      <c r="AZ75" s="24">
        <f t="shared" si="9"/>
        <v>0.85499999999999998</v>
      </c>
      <c r="BA75" s="24">
        <f t="shared" si="10"/>
        <v>0.68400000000000005</v>
      </c>
      <c r="BB75" s="24">
        <f t="shared" si="11"/>
        <v>0.51300000000000001</v>
      </c>
      <c r="BC75" s="25">
        <v>1E-4</v>
      </c>
      <c r="BD75" s="24">
        <v>0</v>
      </c>
      <c r="BE75" s="26">
        <v>0</v>
      </c>
      <c r="BF75" s="34">
        <f t="shared" si="12"/>
        <v>0</v>
      </c>
      <c r="BG75" s="34">
        <f t="shared" si="13"/>
        <v>0</v>
      </c>
      <c r="BH75" s="26">
        <v>0</v>
      </c>
      <c r="BI75" s="26">
        <v>0</v>
      </c>
      <c r="BJ75" s="20" t="s">
        <v>496</v>
      </c>
      <c r="BK75" s="27">
        <v>0.7457381164606236</v>
      </c>
      <c r="BL75" s="27" t="s">
        <v>843</v>
      </c>
      <c r="BM75" s="27" t="s">
        <v>844</v>
      </c>
      <c r="BN75" s="26"/>
      <c r="BO75" s="34"/>
      <c r="BP75" s="34"/>
      <c r="BQ75" s="34"/>
      <c r="BR75" s="34"/>
      <c r="BS75" s="34"/>
      <c r="BT75" s="34"/>
      <c r="BU75" s="34"/>
      <c r="BV75" s="34"/>
      <c r="BW75" s="34"/>
      <c r="BX75" s="34"/>
      <c r="BY75" s="34"/>
      <c r="BZ75" s="34"/>
      <c r="CA75" s="20"/>
      <c r="CB75" s="20"/>
      <c r="CC75" s="29">
        <v>46003</v>
      </c>
      <c r="CD75" s="30" t="s">
        <v>845</v>
      </c>
    </row>
    <row r="76" spans="1:82" s="18" customFormat="1" ht="66.75" customHeight="1" x14ac:dyDescent="0.25">
      <c r="A76" s="121">
        <v>72</v>
      </c>
      <c r="B76" s="141" t="s">
        <v>846</v>
      </c>
      <c r="C76" s="6" t="s">
        <v>847</v>
      </c>
      <c r="D76" s="6" t="s">
        <v>848</v>
      </c>
      <c r="E76" s="75" t="s">
        <v>113</v>
      </c>
      <c r="F76" s="4" t="s">
        <v>81</v>
      </c>
      <c r="G76" s="33" t="s">
        <v>84</v>
      </c>
      <c r="H76" s="49" t="s">
        <v>114</v>
      </c>
      <c r="I76" s="49" t="s">
        <v>578</v>
      </c>
      <c r="J76" s="6"/>
      <c r="K76" s="49"/>
      <c r="L76" s="49"/>
      <c r="M76" s="49" t="s">
        <v>88</v>
      </c>
      <c r="N76" s="49" t="s">
        <v>89</v>
      </c>
      <c r="O76" s="49" t="s">
        <v>579</v>
      </c>
      <c r="P76" s="6" t="s">
        <v>580</v>
      </c>
      <c r="Q76" s="49"/>
      <c r="R76" s="75" t="s">
        <v>91</v>
      </c>
      <c r="S76" s="33" t="s">
        <v>92</v>
      </c>
      <c r="T76" s="33" t="s">
        <v>93</v>
      </c>
      <c r="U76" s="78">
        <v>100</v>
      </c>
      <c r="V76" s="33" t="s">
        <v>94</v>
      </c>
      <c r="W76" s="33" t="s">
        <v>95</v>
      </c>
      <c r="X76" s="33">
        <v>2022</v>
      </c>
      <c r="Y76" s="33" t="s">
        <v>117</v>
      </c>
      <c r="Z76" s="33" t="s">
        <v>97</v>
      </c>
      <c r="AA76" s="33" t="s">
        <v>98</v>
      </c>
      <c r="AB76" s="49" t="s">
        <v>99</v>
      </c>
      <c r="AC76" s="48" t="s">
        <v>849</v>
      </c>
      <c r="AD76" s="48" t="s">
        <v>850</v>
      </c>
      <c r="AE76" s="6" t="s">
        <v>851</v>
      </c>
      <c r="AF76" s="6" t="s">
        <v>121</v>
      </c>
      <c r="AG76" s="6" t="s">
        <v>852</v>
      </c>
      <c r="AH76" s="6" t="s">
        <v>123</v>
      </c>
      <c r="AI76" s="6" t="s">
        <v>853</v>
      </c>
      <c r="AJ76" s="6" t="s">
        <v>854</v>
      </c>
      <c r="AK76" s="33" t="s">
        <v>97</v>
      </c>
      <c r="AL76" s="33" t="s">
        <v>97</v>
      </c>
      <c r="AM76" s="5" t="s">
        <v>641</v>
      </c>
      <c r="AN76" s="6" t="s">
        <v>631</v>
      </c>
      <c r="AO76" s="6"/>
      <c r="AP76" s="6"/>
      <c r="AQ76" s="49" t="s">
        <v>589</v>
      </c>
      <c r="AR76" s="20" t="s">
        <v>97</v>
      </c>
      <c r="AS76" s="20" t="s">
        <v>107</v>
      </c>
      <c r="AT76" s="20"/>
      <c r="AU76" s="24">
        <v>0.95</v>
      </c>
      <c r="AV76" s="24">
        <f t="shared" si="7"/>
        <v>0.76</v>
      </c>
      <c r="AW76" s="24">
        <f t="shared" si="8"/>
        <v>0.56999999999999995</v>
      </c>
      <c r="AX76" s="25">
        <v>1E-4</v>
      </c>
      <c r="AY76" s="24">
        <v>0</v>
      </c>
      <c r="AZ76" s="24">
        <f t="shared" si="9"/>
        <v>0.85499999999999998</v>
      </c>
      <c r="BA76" s="24">
        <f t="shared" si="10"/>
        <v>0.68400000000000005</v>
      </c>
      <c r="BB76" s="24">
        <f t="shared" si="11"/>
        <v>0.51300000000000001</v>
      </c>
      <c r="BC76" s="25">
        <v>1E-4</v>
      </c>
      <c r="BD76" s="24">
        <v>0</v>
      </c>
      <c r="BE76" s="26">
        <v>0</v>
      </c>
      <c r="BF76" s="34">
        <f t="shared" si="12"/>
        <v>0</v>
      </c>
      <c r="BG76" s="34">
        <f t="shared" si="13"/>
        <v>0</v>
      </c>
      <c r="BH76" s="26">
        <v>0</v>
      </c>
      <c r="BI76" s="26">
        <v>0</v>
      </c>
      <c r="BJ76" s="20" t="s">
        <v>496</v>
      </c>
      <c r="BK76" s="27">
        <v>0.56172529366497703</v>
      </c>
      <c r="BL76" s="27" t="s">
        <v>855</v>
      </c>
      <c r="BM76" s="27" t="s">
        <v>856</v>
      </c>
      <c r="BN76" s="26"/>
      <c r="BO76" s="34"/>
      <c r="BP76" s="34"/>
      <c r="BQ76" s="34"/>
      <c r="BR76" s="34"/>
      <c r="BS76" s="34"/>
      <c r="BT76" s="34"/>
      <c r="BU76" s="34"/>
      <c r="BV76" s="34"/>
      <c r="BW76" s="34"/>
      <c r="BX76" s="34"/>
      <c r="BY76" s="34"/>
      <c r="BZ76" s="34"/>
      <c r="CA76" s="20"/>
      <c r="CB76" s="20"/>
      <c r="CC76" s="29">
        <v>46003</v>
      </c>
      <c r="CD76" s="35" t="s">
        <v>634</v>
      </c>
    </row>
    <row r="77" spans="1:82" s="18" customFormat="1" ht="66.75" customHeight="1" x14ac:dyDescent="0.25">
      <c r="A77" s="87">
        <v>73</v>
      </c>
      <c r="B77" s="141" t="s">
        <v>857</v>
      </c>
      <c r="C77" s="6" t="s">
        <v>858</v>
      </c>
      <c r="D77" s="6" t="s">
        <v>859</v>
      </c>
      <c r="E77" s="75" t="s">
        <v>113</v>
      </c>
      <c r="F77" s="4" t="s">
        <v>81</v>
      </c>
      <c r="G77" s="33" t="s">
        <v>84</v>
      </c>
      <c r="H77" s="49" t="s">
        <v>114</v>
      </c>
      <c r="I77" s="49" t="s">
        <v>578</v>
      </c>
      <c r="J77" s="6"/>
      <c r="K77" s="49"/>
      <c r="L77" s="49"/>
      <c r="M77" s="49" t="s">
        <v>88</v>
      </c>
      <c r="N77" s="49" t="s">
        <v>89</v>
      </c>
      <c r="O77" s="49" t="s">
        <v>579</v>
      </c>
      <c r="P77" s="6" t="s">
        <v>580</v>
      </c>
      <c r="Q77" s="49"/>
      <c r="R77" s="75" t="s">
        <v>91</v>
      </c>
      <c r="S77" s="33" t="s">
        <v>92</v>
      </c>
      <c r="T77" s="33" t="s">
        <v>93</v>
      </c>
      <c r="U77" s="78">
        <v>100</v>
      </c>
      <c r="V77" s="33" t="s">
        <v>94</v>
      </c>
      <c r="W77" s="33" t="s">
        <v>95</v>
      </c>
      <c r="X77" s="33">
        <v>2022</v>
      </c>
      <c r="Y77" s="33" t="s">
        <v>117</v>
      </c>
      <c r="Z77" s="33" t="s">
        <v>97</v>
      </c>
      <c r="AA77" s="33" t="s">
        <v>98</v>
      </c>
      <c r="AB77" s="49" t="s">
        <v>99</v>
      </c>
      <c r="AC77" s="48" t="s">
        <v>860</v>
      </c>
      <c r="AD77" s="48" t="s">
        <v>861</v>
      </c>
      <c r="AE77" s="6" t="s">
        <v>627</v>
      </c>
      <c r="AF77" s="6" t="s">
        <v>121</v>
      </c>
      <c r="AG77" s="6" t="s">
        <v>218</v>
      </c>
      <c r="AH77" s="6" t="s">
        <v>123</v>
      </c>
      <c r="AI77" s="6" t="s">
        <v>862</v>
      </c>
      <c r="AJ77" s="6" t="s">
        <v>863</v>
      </c>
      <c r="AK77" s="33" t="s">
        <v>97</v>
      </c>
      <c r="AL77" s="33" t="s">
        <v>97</v>
      </c>
      <c r="AM77" s="5"/>
      <c r="AN77" s="6" t="s">
        <v>631</v>
      </c>
      <c r="AO77" s="6"/>
      <c r="AP77" s="6"/>
      <c r="AQ77" s="49" t="s">
        <v>589</v>
      </c>
      <c r="AR77" s="20" t="s">
        <v>97</v>
      </c>
      <c r="AS77" s="20" t="s">
        <v>107</v>
      </c>
      <c r="AT77" s="20"/>
      <c r="AU77" s="24" t="s">
        <v>864</v>
      </c>
      <c r="AV77" s="24"/>
      <c r="AW77" s="24"/>
      <c r="AX77" s="25"/>
      <c r="AY77" s="24">
        <v>0</v>
      </c>
      <c r="AZ77" s="24" t="s">
        <v>864</v>
      </c>
      <c r="BA77" s="24"/>
      <c r="BB77" s="24"/>
      <c r="BC77" s="25" t="s">
        <v>865</v>
      </c>
      <c r="BD77" s="24"/>
      <c r="BE77" s="26">
        <v>0</v>
      </c>
      <c r="BF77" s="34">
        <f t="shared" si="12"/>
        <v>0</v>
      </c>
      <c r="BG77" s="34">
        <f t="shared" si="13"/>
        <v>0</v>
      </c>
      <c r="BH77" s="26">
        <v>0</v>
      </c>
      <c r="BI77" s="26">
        <v>0</v>
      </c>
      <c r="BJ77" s="20" t="s">
        <v>496</v>
      </c>
      <c r="BK77" s="27">
        <v>0.46674347790305326</v>
      </c>
      <c r="BL77" s="27" t="s">
        <v>866</v>
      </c>
      <c r="BM77" s="27" t="s">
        <v>867</v>
      </c>
      <c r="BN77" s="26"/>
      <c r="BO77" s="34"/>
      <c r="BP77" s="34"/>
      <c r="BQ77" s="34"/>
      <c r="BR77" s="34"/>
      <c r="BS77" s="34"/>
      <c r="BT77" s="34"/>
      <c r="BU77" s="34"/>
      <c r="BV77" s="34"/>
      <c r="BW77" s="34"/>
      <c r="BX77" s="34"/>
      <c r="BY77" s="34"/>
      <c r="BZ77" s="34"/>
      <c r="CA77" s="20"/>
      <c r="CB77" s="20"/>
      <c r="CC77" s="29">
        <v>46003</v>
      </c>
      <c r="CD77" s="35" t="s">
        <v>254</v>
      </c>
    </row>
    <row r="78" spans="1:82" s="18" customFormat="1" ht="66.75" customHeight="1" x14ac:dyDescent="0.25">
      <c r="A78" s="87">
        <v>74</v>
      </c>
      <c r="B78" s="141" t="s">
        <v>868</v>
      </c>
      <c r="C78" s="6" t="s">
        <v>869</v>
      </c>
      <c r="D78" s="6" t="s">
        <v>870</v>
      </c>
      <c r="E78" s="75" t="s">
        <v>113</v>
      </c>
      <c r="F78" s="4" t="s">
        <v>81</v>
      </c>
      <c r="G78" s="33" t="s">
        <v>84</v>
      </c>
      <c r="H78" s="49" t="s">
        <v>114</v>
      </c>
      <c r="I78" s="49" t="s">
        <v>578</v>
      </c>
      <c r="J78" s="6"/>
      <c r="K78" s="49"/>
      <c r="L78" s="49"/>
      <c r="M78" s="49" t="s">
        <v>88</v>
      </c>
      <c r="N78" s="49" t="s">
        <v>89</v>
      </c>
      <c r="O78" s="49" t="s">
        <v>579</v>
      </c>
      <c r="P78" s="6" t="s">
        <v>580</v>
      </c>
      <c r="Q78" s="49"/>
      <c r="R78" s="75" t="s">
        <v>91</v>
      </c>
      <c r="S78" s="33" t="s">
        <v>92</v>
      </c>
      <c r="T78" s="33" t="s">
        <v>93</v>
      </c>
      <c r="U78" s="78">
        <v>100</v>
      </c>
      <c r="V78" s="33" t="s">
        <v>94</v>
      </c>
      <c r="W78" s="33" t="s">
        <v>95</v>
      </c>
      <c r="X78" s="33">
        <v>2022</v>
      </c>
      <c r="Y78" s="33" t="s">
        <v>117</v>
      </c>
      <c r="Z78" s="33" t="s">
        <v>97</v>
      </c>
      <c r="AA78" s="33" t="s">
        <v>98</v>
      </c>
      <c r="AB78" s="49" t="s">
        <v>99</v>
      </c>
      <c r="AC78" s="48" t="s">
        <v>871</v>
      </c>
      <c r="AD78" s="48" t="s">
        <v>872</v>
      </c>
      <c r="AE78" s="6" t="s">
        <v>627</v>
      </c>
      <c r="AF78" s="6" t="s">
        <v>121</v>
      </c>
      <c r="AG78" s="6" t="s">
        <v>218</v>
      </c>
      <c r="AH78" s="6" t="s">
        <v>123</v>
      </c>
      <c r="AI78" s="6" t="s">
        <v>873</v>
      </c>
      <c r="AJ78" s="6" t="s">
        <v>874</v>
      </c>
      <c r="AK78" s="33" t="s">
        <v>97</v>
      </c>
      <c r="AL78" s="33" t="s">
        <v>97</v>
      </c>
      <c r="AM78" s="5"/>
      <c r="AN78" s="6" t="s">
        <v>631</v>
      </c>
      <c r="AO78" s="6"/>
      <c r="AP78" s="6"/>
      <c r="AQ78" s="49" t="s">
        <v>589</v>
      </c>
      <c r="AR78" s="20" t="s">
        <v>97</v>
      </c>
      <c r="AS78" s="20" t="s">
        <v>107</v>
      </c>
      <c r="AT78" s="20"/>
      <c r="AU78" s="24" t="s">
        <v>864</v>
      </c>
      <c r="AV78" s="24"/>
      <c r="AW78" s="24"/>
      <c r="AX78" s="25"/>
      <c r="AY78" s="24">
        <v>0</v>
      </c>
      <c r="AZ78" s="24" t="s">
        <v>864</v>
      </c>
      <c r="BA78" s="24"/>
      <c r="BB78" s="24"/>
      <c r="BC78" s="25" t="s">
        <v>865</v>
      </c>
      <c r="BD78" s="24"/>
      <c r="BE78" s="26">
        <v>0</v>
      </c>
      <c r="BF78" s="34">
        <f t="shared" si="12"/>
        <v>0</v>
      </c>
      <c r="BG78" s="34">
        <f t="shared" si="13"/>
        <v>0</v>
      </c>
      <c r="BH78" s="26">
        <v>0</v>
      </c>
      <c r="BI78" s="26">
        <v>0</v>
      </c>
      <c r="BJ78" s="20" t="s">
        <v>496</v>
      </c>
      <c r="BK78" s="27">
        <v>0.13604350206560151</v>
      </c>
      <c r="BL78" s="27" t="s">
        <v>875</v>
      </c>
      <c r="BM78" s="27" t="s">
        <v>876</v>
      </c>
      <c r="BN78" s="26"/>
      <c r="BO78" s="34"/>
      <c r="BP78" s="34"/>
      <c r="BQ78" s="34"/>
      <c r="BR78" s="34"/>
      <c r="BS78" s="34"/>
      <c r="BT78" s="34"/>
      <c r="BU78" s="34"/>
      <c r="BV78" s="34"/>
      <c r="BW78" s="34"/>
      <c r="BX78" s="34"/>
      <c r="BY78" s="34"/>
      <c r="BZ78" s="34"/>
      <c r="CA78" s="20"/>
      <c r="CB78" s="20"/>
      <c r="CC78" s="29">
        <v>46003</v>
      </c>
      <c r="CD78" s="35" t="s">
        <v>254</v>
      </c>
    </row>
    <row r="79" spans="1:82" s="18" customFormat="1" ht="66.75" customHeight="1" x14ac:dyDescent="0.25">
      <c r="A79" s="121">
        <v>75</v>
      </c>
      <c r="B79" s="141" t="s">
        <v>877</v>
      </c>
      <c r="C79" s="6" t="s">
        <v>878</v>
      </c>
      <c r="D79" s="6" t="s">
        <v>879</v>
      </c>
      <c r="E79" s="75" t="s">
        <v>113</v>
      </c>
      <c r="F79" s="4" t="s">
        <v>81</v>
      </c>
      <c r="G79" s="33" t="s">
        <v>84</v>
      </c>
      <c r="H79" s="49" t="s">
        <v>114</v>
      </c>
      <c r="I79" s="49" t="s">
        <v>578</v>
      </c>
      <c r="J79" s="6"/>
      <c r="K79" s="49"/>
      <c r="L79" s="49"/>
      <c r="M79" s="49" t="s">
        <v>88</v>
      </c>
      <c r="N79" s="49" t="s">
        <v>89</v>
      </c>
      <c r="O79" s="49" t="s">
        <v>579</v>
      </c>
      <c r="P79" s="6" t="s">
        <v>580</v>
      </c>
      <c r="Q79" s="49"/>
      <c r="R79" s="75" t="s">
        <v>91</v>
      </c>
      <c r="S79" s="33" t="s">
        <v>92</v>
      </c>
      <c r="T79" s="33" t="s">
        <v>93</v>
      </c>
      <c r="U79" s="78">
        <v>100</v>
      </c>
      <c r="V79" s="33" t="s">
        <v>94</v>
      </c>
      <c r="W79" s="33" t="s">
        <v>95</v>
      </c>
      <c r="X79" s="33">
        <v>2023</v>
      </c>
      <c r="Y79" s="33" t="s">
        <v>117</v>
      </c>
      <c r="Z79" s="33" t="s">
        <v>97</v>
      </c>
      <c r="AA79" s="33" t="s">
        <v>98</v>
      </c>
      <c r="AB79" s="49" t="s">
        <v>99</v>
      </c>
      <c r="AC79" s="48" t="s">
        <v>880</v>
      </c>
      <c r="AD79" s="48" t="s">
        <v>881</v>
      </c>
      <c r="AE79" s="6" t="s">
        <v>627</v>
      </c>
      <c r="AF79" s="6" t="s">
        <v>121</v>
      </c>
      <c r="AG79" s="6" t="s">
        <v>218</v>
      </c>
      <c r="AH79" s="6" t="s">
        <v>123</v>
      </c>
      <c r="AI79" s="6" t="s">
        <v>882</v>
      </c>
      <c r="AJ79" s="6" t="s">
        <v>883</v>
      </c>
      <c r="AK79" s="33" t="s">
        <v>97</v>
      </c>
      <c r="AL79" s="33" t="s">
        <v>97</v>
      </c>
      <c r="AM79" s="5" t="s">
        <v>884</v>
      </c>
      <c r="AN79" s="6" t="s">
        <v>631</v>
      </c>
      <c r="AO79" s="6"/>
      <c r="AP79" s="6"/>
      <c r="AQ79" s="49" t="s">
        <v>589</v>
      </c>
      <c r="AR79" s="20" t="s">
        <v>97</v>
      </c>
      <c r="AS79" s="20" t="s">
        <v>107</v>
      </c>
      <c r="AT79" s="20"/>
      <c r="AU79" s="24" t="s">
        <v>864</v>
      </c>
      <c r="AV79" s="24"/>
      <c r="AW79" s="24"/>
      <c r="AX79" s="25"/>
      <c r="AY79" s="24">
        <v>0</v>
      </c>
      <c r="AZ79" s="24" t="s">
        <v>864</v>
      </c>
      <c r="BA79" s="24"/>
      <c r="BB79" s="24"/>
      <c r="BC79" s="25" t="s">
        <v>865</v>
      </c>
      <c r="BD79" s="24"/>
      <c r="BE79" s="26">
        <v>0</v>
      </c>
      <c r="BF79" s="34">
        <f t="shared" si="12"/>
        <v>0</v>
      </c>
      <c r="BG79" s="34">
        <f t="shared" si="13"/>
        <v>0</v>
      </c>
      <c r="BH79" s="26">
        <v>0</v>
      </c>
      <c r="BI79" s="26">
        <v>0</v>
      </c>
      <c r="BJ79" s="20" t="s">
        <v>496</v>
      </c>
      <c r="BK79" s="27">
        <v>0.2948005274452517</v>
      </c>
      <c r="BL79" s="27" t="s">
        <v>885</v>
      </c>
      <c r="BM79" s="27" t="s">
        <v>886</v>
      </c>
      <c r="BN79" s="26"/>
      <c r="BO79" s="34"/>
      <c r="BP79" s="34"/>
      <c r="BQ79" s="34"/>
      <c r="BR79" s="34"/>
      <c r="BS79" s="34"/>
      <c r="BT79" s="34"/>
      <c r="BU79" s="34"/>
      <c r="BV79" s="34"/>
      <c r="BW79" s="34"/>
      <c r="BX79" s="34"/>
      <c r="BY79" s="34"/>
      <c r="BZ79" s="34"/>
      <c r="CA79" s="20"/>
      <c r="CB79" s="20"/>
      <c r="CC79" s="29">
        <v>46003</v>
      </c>
      <c r="CD79" s="35" t="s">
        <v>254</v>
      </c>
    </row>
    <row r="80" spans="1:82" s="18" customFormat="1" ht="66.75" customHeight="1" x14ac:dyDescent="0.25">
      <c r="A80" s="87">
        <v>76</v>
      </c>
      <c r="B80" s="141" t="s">
        <v>887</v>
      </c>
      <c r="C80" s="6" t="s">
        <v>888</v>
      </c>
      <c r="D80" s="6" t="s">
        <v>889</v>
      </c>
      <c r="E80" s="75" t="s">
        <v>113</v>
      </c>
      <c r="F80" s="4" t="s">
        <v>81</v>
      </c>
      <c r="G80" s="33" t="s">
        <v>84</v>
      </c>
      <c r="H80" s="49" t="s">
        <v>114</v>
      </c>
      <c r="I80" s="49" t="s">
        <v>578</v>
      </c>
      <c r="J80" s="6"/>
      <c r="K80" s="49"/>
      <c r="L80" s="49"/>
      <c r="M80" s="49" t="s">
        <v>88</v>
      </c>
      <c r="N80" s="49" t="s">
        <v>89</v>
      </c>
      <c r="O80" s="49" t="s">
        <v>579</v>
      </c>
      <c r="P80" s="6" t="s">
        <v>580</v>
      </c>
      <c r="Q80" s="49"/>
      <c r="R80" s="75" t="s">
        <v>91</v>
      </c>
      <c r="S80" s="33" t="s">
        <v>92</v>
      </c>
      <c r="T80" s="33" t="s">
        <v>93</v>
      </c>
      <c r="U80" s="78">
        <v>100</v>
      </c>
      <c r="V80" s="33" t="s">
        <v>94</v>
      </c>
      <c r="W80" s="33" t="s">
        <v>95</v>
      </c>
      <c r="X80" s="33">
        <v>2022</v>
      </c>
      <c r="Y80" s="33" t="s">
        <v>117</v>
      </c>
      <c r="Z80" s="33" t="s">
        <v>97</v>
      </c>
      <c r="AA80" s="33" t="s">
        <v>98</v>
      </c>
      <c r="AB80" s="49" t="s">
        <v>99</v>
      </c>
      <c r="AC80" s="48" t="s">
        <v>890</v>
      </c>
      <c r="AD80" s="48" t="s">
        <v>891</v>
      </c>
      <c r="AE80" s="6" t="s">
        <v>627</v>
      </c>
      <c r="AF80" s="6" t="s">
        <v>121</v>
      </c>
      <c r="AG80" s="6" t="s">
        <v>218</v>
      </c>
      <c r="AH80" s="6" t="s">
        <v>123</v>
      </c>
      <c r="AI80" s="6" t="s">
        <v>892</v>
      </c>
      <c r="AJ80" s="6" t="s">
        <v>893</v>
      </c>
      <c r="AK80" s="33" t="s">
        <v>97</v>
      </c>
      <c r="AL80" s="33" t="s">
        <v>97</v>
      </c>
      <c r="AM80" s="5" t="s">
        <v>884</v>
      </c>
      <c r="AN80" s="6" t="s">
        <v>631</v>
      </c>
      <c r="AO80" s="6"/>
      <c r="AP80" s="6"/>
      <c r="AQ80" s="49" t="s">
        <v>589</v>
      </c>
      <c r="AR80" s="20" t="s">
        <v>97</v>
      </c>
      <c r="AS80" s="20" t="s">
        <v>107</v>
      </c>
      <c r="AT80" s="20"/>
      <c r="AU80" s="24" t="s">
        <v>864</v>
      </c>
      <c r="AV80" s="24"/>
      <c r="AW80" s="24"/>
      <c r="AX80" s="25"/>
      <c r="AY80" s="24">
        <v>0</v>
      </c>
      <c r="AZ80" s="24" t="s">
        <v>864</v>
      </c>
      <c r="BA80" s="24"/>
      <c r="BB80" s="24"/>
      <c r="BC80" s="25" t="s">
        <v>865</v>
      </c>
      <c r="BD80" s="24"/>
      <c r="BE80" s="26">
        <v>0</v>
      </c>
      <c r="BF80" s="34">
        <f t="shared" si="12"/>
        <v>0</v>
      </c>
      <c r="BG80" s="34">
        <f t="shared" si="13"/>
        <v>0</v>
      </c>
      <c r="BH80" s="26">
        <v>0</v>
      </c>
      <c r="BI80" s="26">
        <v>0</v>
      </c>
      <c r="BJ80" s="20" t="s">
        <v>496</v>
      </c>
      <c r="BK80" s="27">
        <v>0.22965986394557822</v>
      </c>
      <c r="BL80" s="27" t="s">
        <v>894</v>
      </c>
      <c r="BM80" s="27" t="s">
        <v>895</v>
      </c>
      <c r="BN80" s="26"/>
      <c r="BO80" s="34"/>
      <c r="BP80" s="34"/>
      <c r="BQ80" s="34"/>
      <c r="BR80" s="34"/>
      <c r="BS80" s="34"/>
      <c r="BT80" s="34"/>
      <c r="BU80" s="34"/>
      <c r="BV80" s="34"/>
      <c r="BW80" s="34"/>
      <c r="BX80" s="34"/>
      <c r="BY80" s="34"/>
      <c r="BZ80" s="34"/>
      <c r="CA80" s="20"/>
      <c r="CB80" s="20"/>
      <c r="CC80" s="29">
        <v>46003</v>
      </c>
      <c r="CD80" s="35" t="s">
        <v>254</v>
      </c>
    </row>
    <row r="81" spans="1:82" s="18" customFormat="1" ht="66.75" customHeight="1" x14ac:dyDescent="0.25">
      <c r="A81" s="87">
        <v>77</v>
      </c>
      <c r="B81" s="141" t="s">
        <v>896</v>
      </c>
      <c r="C81" s="6" t="s">
        <v>897</v>
      </c>
      <c r="D81" s="6" t="s">
        <v>898</v>
      </c>
      <c r="E81" s="75" t="s">
        <v>113</v>
      </c>
      <c r="F81" s="4" t="s">
        <v>81</v>
      </c>
      <c r="G81" s="33" t="s">
        <v>84</v>
      </c>
      <c r="H81" s="49" t="s">
        <v>114</v>
      </c>
      <c r="I81" s="49" t="s">
        <v>578</v>
      </c>
      <c r="J81" s="6"/>
      <c r="K81" s="49"/>
      <c r="L81" s="49"/>
      <c r="M81" s="49" t="s">
        <v>88</v>
      </c>
      <c r="N81" s="49" t="s">
        <v>89</v>
      </c>
      <c r="O81" s="49" t="s">
        <v>579</v>
      </c>
      <c r="P81" s="6" t="s">
        <v>580</v>
      </c>
      <c r="Q81" s="49"/>
      <c r="R81" s="75" t="s">
        <v>91</v>
      </c>
      <c r="S81" s="33" t="s">
        <v>92</v>
      </c>
      <c r="T81" s="33" t="s">
        <v>93</v>
      </c>
      <c r="U81" s="78">
        <v>100</v>
      </c>
      <c r="V81" s="33" t="s">
        <v>94</v>
      </c>
      <c r="W81" s="33" t="s">
        <v>95</v>
      </c>
      <c r="X81" s="33">
        <v>2022</v>
      </c>
      <c r="Y81" s="33" t="s">
        <v>117</v>
      </c>
      <c r="Z81" s="33" t="s">
        <v>97</v>
      </c>
      <c r="AA81" s="33" t="s">
        <v>98</v>
      </c>
      <c r="AB81" s="49" t="s">
        <v>99</v>
      </c>
      <c r="AC81" s="48" t="s">
        <v>899</v>
      </c>
      <c r="AD81" s="48" t="s">
        <v>900</v>
      </c>
      <c r="AE81" s="6" t="s">
        <v>901</v>
      </c>
      <c r="AF81" s="6" t="s">
        <v>121</v>
      </c>
      <c r="AG81" s="6" t="s">
        <v>218</v>
      </c>
      <c r="AH81" s="6" t="s">
        <v>123</v>
      </c>
      <c r="AI81" s="6" t="s">
        <v>902</v>
      </c>
      <c r="AJ81" s="6" t="s">
        <v>903</v>
      </c>
      <c r="AK81" s="33" t="s">
        <v>97</v>
      </c>
      <c r="AL81" s="33" t="s">
        <v>97</v>
      </c>
      <c r="AM81" s="5"/>
      <c r="AN81" s="6" t="s">
        <v>631</v>
      </c>
      <c r="AO81" s="6"/>
      <c r="AP81" s="6"/>
      <c r="AQ81" s="49" t="s">
        <v>589</v>
      </c>
      <c r="AR81" s="20" t="s">
        <v>97</v>
      </c>
      <c r="AS81" s="20" t="s">
        <v>107</v>
      </c>
      <c r="AT81" s="20"/>
      <c r="AU81" s="24">
        <v>0.95</v>
      </c>
      <c r="AV81" s="24">
        <f t="shared" ref="AV81:AV98" si="14">+AU81*80%</f>
        <v>0.76</v>
      </c>
      <c r="AW81" s="24">
        <f t="shared" ref="AW81:AW98" si="15">+AU81*60%</f>
        <v>0.56999999999999995</v>
      </c>
      <c r="AX81" s="25">
        <v>1E-4</v>
      </c>
      <c r="AY81" s="24">
        <v>0</v>
      </c>
      <c r="AZ81" s="24">
        <f t="shared" ref="AZ81:AZ112" si="16">+AU81*90%</f>
        <v>0.85499999999999998</v>
      </c>
      <c r="BA81" s="24">
        <f t="shared" ref="BA81:BA112" si="17">AZ81*80%</f>
        <v>0.68400000000000005</v>
      </c>
      <c r="BB81" s="24">
        <f t="shared" ref="BB81:BB112" si="18">AZ81*60%</f>
        <v>0.51300000000000001</v>
      </c>
      <c r="BC81" s="25">
        <v>1E-4</v>
      </c>
      <c r="BD81" s="24">
        <v>0</v>
      </c>
      <c r="BE81" s="26">
        <v>0</v>
      </c>
      <c r="BF81" s="34">
        <f t="shared" si="12"/>
        <v>0</v>
      </c>
      <c r="BG81" s="34">
        <f t="shared" si="13"/>
        <v>0</v>
      </c>
      <c r="BH81" s="26">
        <v>0</v>
      </c>
      <c r="BI81" s="26">
        <v>0</v>
      </c>
      <c r="BJ81" s="20" t="s">
        <v>496</v>
      </c>
      <c r="BK81" s="27">
        <v>0.97535001059179227</v>
      </c>
      <c r="BL81" s="27" t="s">
        <v>904</v>
      </c>
      <c r="BM81" s="27" t="s">
        <v>905</v>
      </c>
      <c r="BN81" s="26"/>
      <c r="BO81" s="34"/>
      <c r="BP81" s="34"/>
      <c r="BQ81" s="34"/>
      <c r="BR81" s="34"/>
      <c r="BS81" s="34"/>
      <c r="BT81" s="34"/>
      <c r="BU81" s="34"/>
      <c r="BV81" s="34"/>
      <c r="BW81" s="34"/>
      <c r="BX81" s="34"/>
      <c r="BY81" s="34"/>
      <c r="BZ81" s="34"/>
      <c r="CA81" s="20"/>
      <c r="CB81" s="20"/>
      <c r="CC81" s="29">
        <v>46003</v>
      </c>
      <c r="CD81" s="35" t="s">
        <v>254</v>
      </c>
    </row>
    <row r="82" spans="1:82" s="18" customFormat="1" ht="66.75" customHeight="1" x14ac:dyDescent="0.25">
      <c r="A82" s="121">
        <v>78</v>
      </c>
      <c r="B82" s="141" t="s">
        <v>906</v>
      </c>
      <c r="C82" s="6" t="s">
        <v>907</v>
      </c>
      <c r="D82" s="6" t="s">
        <v>908</v>
      </c>
      <c r="E82" s="75" t="s">
        <v>113</v>
      </c>
      <c r="F82" s="4" t="s">
        <v>81</v>
      </c>
      <c r="G82" s="33" t="s">
        <v>84</v>
      </c>
      <c r="H82" s="49" t="s">
        <v>114</v>
      </c>
      <c r="I82" s="49" t="s">
        <v>578</v>
      </c>
      <c r="J82" s="6"/>
      <c r="K82" s="49"/>
      <c r="L82" s="49"/>
      <c r="M82" s="49" t="s">
        <v>88</v>
      </c>
      <c r="N82" s="49" t="s">
        <v>89</v>
      </c>
      <c r="O82" s="49" t="s">
        <v>579</v>
      </c>
      <c r="P82" s="6" t="s">
        <v>580</v>
      </c>
      <c r="Q82" s="49"/>
      <c r="R82" s="75" t="s">
        <v>91</v>
      </c>
      <c r="S82" s="33" t="s">
        <v>92</v>
      </c>
      <c r="T82" s="33" t="s">
        <v>93</v>
      </c>
      <c r="U82" s="78">
        <v>100</v>
      </c>
      <c r="V82" s="33" t="s">
        <v>94</v>
      </c>
      <c r="W82" s="33" t="s">
        <v>95</v>
      </c>
      <c r="X82" s="33">
        <v>2022</v>
      </c>
      <c r="Y82" s="33" t="s">
        <v>117</v>
      </c>
      <c r="Z82" s="33" t="s">
        <v>97</v>
      </c>
      <c r="AA82" s="33" t="s">
        <v>98</v>
      </c>
      <c r="AB82" s="49" t="s">
        <v>99</v>
      </c>
      <c r="AC82" s="48" t="s">
        <v>909</v>
      </c>
      <c r="AD82" s="48" t="s">
        <v>910</v>
      </c>
      <c r="AE82" s="6" t="s">
        <v>627</v>
      </c>
      <c r="AF82" s="6" t="s">
        <v>121</v>
      </c>
      <c r="AG82" s="6" t="s">
        <v>218</v>
      </c>
      <c r="AH82" s="6" t="s">
        <v>123</v>
      </c>
      <c r="AI82" s="6" t="s">
        <v>902</v>
      </c>
      <c r="AJ82" s="6" t="s">
        <v>911</v>
      </c>
      <c r="AK82" s="33" t="s">
        <v>97</v>
      </c>
      <c r="AL82" s="33" t="s">
        <v>97</v>
      </c>
      <c r="AM82" s="5" t="s">
        <v>884</v>
      </c>
      <c r="AN82" s="6" t="s">
        <v>631</v>
      </c>
      <c r="AO82" s="6"/>
      <c r="AP82" s="6"/>
      <c r="AQ82" s="49" t="s">
        <v>589</v>
      </c>
      <c r="AR82" s="20" t="s">
        <v>97</v>
      </c>
      <c r="AS82" s="20" t="s">
        <v>107</v>
      </c>
      <c r="AT82" s="20"/>
      <c r="AU82" s="24">
        <v>0.95</v>
      </c>
      <c r="AV82" s="24">
        <f t="shared" si="14"/>
        <v>0.76</v>
      </c>
      <c r="AW82" s="24">
        <f t="shared" si="15"/>
        <v>0.56999999999999995</v>
      </c>
      <c r="AX82" s="25">
        <v>1E-4</v>
      </c>
      <c r="AY82" s="24">
        <v>0</v>
      </c>
      <c r="AZ82" s="24">
        <f t="shared" si="16"/>
        <v>0.85499999999999998</v>
      </c>
      <c r="BA82" s="24">
        <f t="shared" si="17"/>
        <v>0.68400000000000005</v>
      </c>
      <c r="BB82" s="24">
        <f t="shared" si="18"/>
        <v>0.51300000000000001</v>
      </c>
      <c r="BC82" s="25">
        <v>1E-4</v>
      </c>
      <c r="BD82" s="24">
        <v>0</v>
      </c>
      <c r="BE82" s="26">
        <v>0</v>
      </c>
      <c r="BF82" s="34">
        <f t="shared" si="12"/>
        <v>0</v>
      </c>
      <c r="BG82" s="34">
        <f t="shared" si="13"/>
        <v>0</v>
      </c>
      <c r="BH82" s="26">
        <v>0</v>
      </c>
      <c r="BI82" s="26">
        <v>0</v>
      </c>
      <c r="BJ82" s="20" t="s">
        <v>496</v>
      </c>
      <c r="BK82" s="27">
        <v>0.90069037839727339</v>
      </c>
      <c r="BL82" s="27" t="s">
        <v>912</v>
      </c>
      <c r="BM82" s="27" t="s">
        <v>913</v>
      </c>
      <c r="BN82" s="26"/>
      <c r="BO82" s="34"/>
      <c r="BP82" s="34"/>
      <c r="BQ82" s="34"/>
      <c r="BR82" s="34"/>
      <c r="BS82" s="34"/>
      <c r="BT82" s="34"/>
      <c r="BU82" s="34"/>
      <c r="BV82" s="34"/>
      <c r="BW82" s="34"/>
      <c r="BX82" s="34"/>
      <c r="BY82" s="34"/>
      <c r="BZ82" s="34"/>
      <c r="CA82" s="20"/>
      <c r="CB82" s="20"/>
      <c r="CC82" s="29">
        <v>46003</v>
      </c>
      <c r="CD82" s="35" t="s">
        <v>254</v>
      </c>
    </row>
    <row r="83" spans="1:82" s="18" customFormat="1" ht="66.75" customHeight="1" x14ac:dyDescent="0.25">
      <c r="A83" s="87">
        <v>79</v>
      </c>
      <c r="B83" s="141" t="s">
        <v>914</v>
      </c>
      <c r="C83" s="6" t="s">
        <v>915</v>
      </c>
      <c r="D83" s="6" t="s">
        <v>916</v>
      </c>
      <c r="E83" s="75" t="s">
        <v>113</v>
      </c>
      <c r="F83" s="4" t="s">
        <v>81</v>
      </c>
      <c r="G83" s="33" t="s">
        <v>84</v>
      </c>
      <c r="H83" s="49" t="s">
        <v>114</v>
      </c>
      <c r="I83" s="49" t="s">
        <v>578</v>
      </c>
      <c r="J83" s="6"/>
      <c r="K83" s="49"/>
      <c r="L83" s="49"/>
      <c r="M83" s="49" t="s">
        <v>88</v>
      </c>
      <c r="N83" s="49" t="s">
        <v>89</v>
      </c>
      <c r="O83" s="49" t="s">
        <v>579</v>
      </c>
      <c r="P83" s="6" t="s">
        <v>580</v>
      </c>
      <c r="Q83" s="49"/>
      <c r="R83" s="75" t="s">
        <v>91</v>
      </c>
      <c r="S83" s="33" t="s">
        <v>92</v>
      </c>
      <c r="T83" s="33" t="s">
        <v>93</v>
      </c>
      <c r="U83" s="78">
        <v>100</v>
      </c>
      <c r="V83" s="33" t="s">
        <v>94</v>
      </c>
      <c r="W83" s="33" t="s">
        <v>95</v>
      </c>
      <c r="X83" s="33">
        <v>2022</v>
      </c>
      <c r="Y83" s="33" t="s">
        <v>117</v>
      </c>
      <c r="Z83" s="33" t="s">
        <v>97</v>
      </c>
      <c r="AA83" s="33" t="s">
        <v>98</v>
      </c>
      <c r="AB83" s="49" t="s">
        <v>99</v>
      </c>
      <c r="AC83" s="48" t="s">
        <v>917</v>
      </c>
      <c r="AD83" s="48" t="s">
        <v>918</v>
      </c>
      <c r="AE83" s="6" t="s">
        <v>627</v>
      </c>
      <c r="AF83" s="6" t="s">
        <v>121</v>
      </c>
      <c r="AG83" s="6" t="s">
        <v>218</v>
      </c>
      <c r="AH83" s="6" t="s">
        <v>123</v>
      </c>
      <c r="AI83" s="6" t="s">
        <v>902</v>
      </c>
      <c r="AJ83" s="6" t="s">
        <v>919</v>
      </c>
      <c r="AK83" s="33" t="s">
        <v>97</v>
      </c>
      <c r="AL83" s="33" t="s">
        <v>97</v>
      </c>
      <c r="AM83" s="5" t="s">
        <v>884</v>
      </c>
      <c r="AN83" s="6" t="s">
        <v>631</v>
      </c>
      <c r="AO83" s="6"/>
      <c r="AP83" s="6"/>
      <c r="AQ83" s="49" t="s">
        <v>589</v>
      </c>
      <c r="AR83" s="20" t="s">
        <v>97</v>
      </c>
      <c r="AS83" s="20" t="s">
        <v>107</v>
      </c>
      <c r="AT83" s="20"/>
      <c r="AU83" s="24">
        <v>0.95</v>
      </c>
      <c r="AV83" s="24">
        <f t="shared" si="14"/>
        <v>0.76</v>
      </c>
      <c r="AW83" s="24">
        <f t="shared" si="15"/>
        <v>0.56999999999999995</v>
      </c>
      <c r="AX83" s="25">
        <v>1E-4</v>
      </c>
      <c r="AY83" s="24">
        <v>0</v>
      </c>
      <c r="AZ83" s="24">
        <f t="shared" si="16"/>
        <v>0.85499999999999998</v>
      </c>
      <c r="BA83" s="24">
        <f t="shared" si="17"/>
        <v>0.68400000000000005</v>
      </c>
      <c r="BB83" s="24">
        <f t="shared" si="18"/>
        <v>0.51300000000000001</v>
      </c>
      <c r="BC83" s="25">
        <v>1E-4</v>
      </c>
      <c r="BD83" s="24">
        <v>0</v>
      </c>
      <c r="BE83" s="26">
        <v>0</v>
      </c>
      <c r="BF83" s="34">
        <f t="shared" si="12"/>
        <v>0</v>
      </c>
      <c r="BG83" s="34">
        <f t="shared" si="13"/>
        <v>0</v>
      </c>
      <c r="BH83" s="26">
        <v>0</v>
      </c>
      <c r="BI83" s="26">
        <v>0</v>
      </c>
      <c r="BJ83" s="20" t="s">
        <v>496</v>
      </c>
      <c r="BK83" s="27">
        <v>0.90242525114426675</v>
      </c>
      <c r="BL83" s="27" t="s">
        <v>920</v>
      </c>
      <c r="BM83" s="27" t="s">
        <v>921</v>
      </c>
      <c r="BN83" s="26"/>
      <c r="BO83" s="34"/>
      <c r="BP83" s="34"/>
      <c r="BQ83" s="34"/>
      <c r="BR83" s="34"/>
      <c r="BS83" s="34"/>
      <c r="BT83" s="34"/>
      <c r="BU83" s="34"/>
      <c r="BV83" s="34"/>
      <c r="BW83" s="34"/>
      <c r="BX83" s="34"/>
      <c r="BY83" s="34"/>
      <c r="BZ83" s="34"/>
      <c r="CA83" s="20"/>
      <c r="CB83" s="20"/>
      <c r="CC83" s="29">
        <v>46003</v>
      </c>
      <c r="CD83" s="35" t="s">
        <v>254</v>
      </c>
    </row>
    <row r="84" spans="1:82" s="18" customFormat="1" ht="66.75" customHeight="1" x14ac:dyDescent="0.25">
      <c r="A84" s="87">
        <v>80</v>
      </c>
      <c r="B84" s="141" t="s">
        <v>922</v>
      </c>
      <c r="C84" s="6" t="s">
        <v>923</v>
      </c>
      <c r="D84" s="6" t="s">
        <v>924</v>
      </c>
      <c r="E84" s="75" t="s">
        <v>113</v>
      </c>
      <c r="F84" s="4" t="s">
        <v>81</v>
      </c>
      <c r="G84" s="33" t="s">
        <v>84</v>
      </c>
      <c r="H84" s="49" t="s">
        <v>114</v>
      </c>
      <c r="I84" s="49" t="s">
        <v>578</v>
      </c>
      <c r="J84" s="6"/>
      <c r="K84" s="49"/>
      <c r="L84" s="49"/>
      <c r="M84" s="49" t="s">
        <v>88</v>
      </c>
      <c r="N84" s="49" t="s">
        <v>89</v>
      </c>
      <c r="O84" s="49" t="s">
        <v>579</v>
      </c>
      <c r="P84" s="6" t="s">
        <v>580</v>
      </c>
      <c r="Q84" s="49"/>
      <c r="R84" s="75" t="s">
        <v>175</v>
      </c>
      <c r="S84" s="33" t="s">
        <v>92</v>
      </c>
      <c r="T84" s="33" t="s">
        <v>93</v>
      </c>
      <c r="U84" s="78">
        <v>100</v>
      </c>
      <c r="V84" s="33" t="s">
        <v>94</v>
      </c>
      <c r="W84" s="33" t="s">
        <v>95</v>
      </c>
      <c r="X84" s="33">
        <v>2022</v>
      </c>
      <c r="Y84" s="33" t="s">
        <v>117</v>
      </c>
      <c r="Z84" s="33" t="s">
        <v>97</v>
      </c>
      <c r="AA84" s="33" t="s">
        <v>98</v>
      </c>
      <c r="AB84" s="49" t="s">
        <v>99</v>
      </c>
      <c r="AC84" s="48" t="s">
        <v>925</v>
      </c>
      <c r="AD84" s="48" t="s">
        <v>665</v>
      </c>
      <c r="AE84" s="6" t="s">
        <v>627</v>
      </c>
      <c r="AF84" s="6" t="s">
        <v>121</v>
      </c>
      <c r="AG84" s="6" t="s">
        <v>667</v>
      </c>
      <c r="AH84" s="6" t="s">
        <v>123</v>
      </c>
      <c r="AI84" s="6" t="s">
        <v>668</v>
      </c>
      <c r="AJ84" s="6" t="s">
        <v>640</v>
      </c>
      <c r="AK84" s="33" t="s">
        <v>97</v>
      </c>
      <c r="AL84" s="33" t="s">
        <v>97</v>
      </c>
      <c r="AM84" s="5"/>
      <c r="AN84" s="6" t="s">
        <v>631</v>
      </c>
      <c r="AO84" s="6"/>
      <c r="AP84" s="6"/>
      <c r="AQ84" s="49" t="s">
        <v>589</v>
      </c>
      <c r="AR84" s="20" t="s">
        <v>97</v>
      </c>
      <c r="AS84" s="20" t="s">
        <v>107</v>
      </c>
      <c r="AT84" s="20"/>
      <c r="AU84" s="24">
        <v>0.95</v>
      </c>
      <c r="AV84" s="24">
        <f t="shared" si="14"/>
        <v>0.76</v>
      </c>
      <c r="AW84" s="24">
        <f t="shared" si="15"/>
        <v>0.56999999999999995</v>
      </c>
      <c r="AX84" s="25">
        <v>1E-4</v>
      </c>
      <c r="AY84" s="24">
        <v>0</v>
      </c>
      <c r="AZ84" s="24">
        <f t="shared" si="16"/>
        <v>0.85499999999999998</v>
      </c>
      <c r="BA84" s="24">
        <f t="shared" si="17"/>
        <v>0.68400000000000005</v>
      </c>
      <c r="BB84" s="24">
        <f t="shared" si="18"/>
        <v>0.51300000000000001</v>
      </c>
      <c r="BC84" s="25">
        <v>1E-4</v>
      </c>
      <c r="BD84" s="24">
        <v>0</v>
      </c>
      <c r="BE84" s="26">
        <v>0</v>
      </c>
      <c r="BF84" s="34">
        <f t="shared" si="12"/>
        <v>0</v>
      </c>
      <c r="BG84" s="34">
        <f t="shared" si="13"/>
        <v>0</v>
      </c>
      <c r="BH84" s="26">
        <v>0</v>
      </c>
      <c r="BI84" s="26">
        <v>0</v>
      </c>
      <c r="BJ84" s="20" t="s">
        <v>496</v>
      </c>
      <c r="BK84" s="27">
        <v>0.67335635697381746</v>
      </c>
      <c r="BL84" s="27" t="s">
        <v>926</v>
      </c>
      <c r="BM84" s="27" t="s">
        <v>927</v>
      </c>
      <c r="BN84" s="26"/>
      <c r="BO84" s="34"/>
      <c r="BP84" s="34"/>
      <c r="BQ84" s="34"/>
      <c r="BR84" s="34"/>
      <c r="BS84" s="34"/>
      <c r="BT84" s="34"/>
      <c r="BU84" s="34"/>
      <c r="BV84" s="34"/>
      <c r="BW84" s="34"/>
      <c r="BX84" s="34"/>
      <c r="BY84" s="34"/>
      <c r="BZ84" s="34"/>
      <c r="CA84" s="20"/>
      <c r="CB84" s="20"/>
      <c r="CC84" s="29">
        <v>46003</v>
      </c>
      <c r="CD84" s="35" t="s">
        <v>254</v>
      </c>
    </row>
    <row r="85" spans="1:82" s="18" customFormat="1" ht="66.75" customHeight="1" x14ac:dyDescent="0.25">
      <c r="A85" s="121">
        <v>81</v>
      </c>
      <c r="B85" s="141" t="s">
        <v>928</v>
      </c>
      <c r="C85" s="6" t="s">
        <v>929</v>
      </c>
      <c r="D85" s="6" t="s">
        <v>930</v>
      </c>
      <c r="E85" s="75" t="s">
        <v>113</v>
      </c>
      <c r="F85" s="4" t="s">
        <v>81</v>
      </c>
      <c r="G85" s="33" t="s">
        <v>84</v>
      </c>
      <c r="H85" s="49" t="s">
        <v>114</v>
      </c>
      <c r="I85" s="49" t="s">
        <v>578</v>
      </c>
      <c r="J85" s="6"/>
      <c r="K85" s="49"/>
      <c r="L85" s="49"/>
      <c r="M85" s="49" t="s">
        <v>88</v>
      </c>
      <c r="N85" s="49" t="s">
        <v>89</v>
      </c>
      <c r="O85" s="49" t="s">
        <v>579</v>
      </c>
      <c r="P85" s="6" t="s">
        <v>580</v>
      </c>
      <c r="Q85" s="49"/>
      <c r="R85" s="75" t="s">
        <v>175</v>
      </c>
      <c r="S85" s="33" t="s">
        <v>92</v>
      </c>
      <c r="T85" s="33" t="s">
        <v>93</v>
      </c>
      <c r="U85" s="78">
        <v>100</v>
      </c>
      <c r="V85" s="33" t="s">
        <v>94</v>
      </c>
      <c r="W85" s="33" t="s">
        <v>95</v>
      </c>
      <c r="X85" s="33">
        <v>2022</v>
      </c>
      <c r="Y85" s="33" t="s">
        <v>117</v>
      </c>
      <c r="Z85" s="33" t="s">
        <v>97</v>
      </c>
      <c r="AA85" s="33" t="s">
        <v>98</v>
      </c>
      <c r="AB85" s="49" t="s">
        <v>99</v>
      </c>
      <c r="AC85" s="48" t="s">
        <v>931</v>
      </c>
      <c r="AD85" s="48" t="s">
        <v>665</v>
      </c>
      <c r="AE85" s="6" t="s">
        <v>627</v>
      </c>
      <c r="AF85" s="6" t="s">
        <v>121</v>
      </c>
      <c r="AG85" s="6" t="s">
        <v>667</v>
      </c>
      <c r="AH85" s="6" t="s">
        <v>123</v>
      </c>
      <c r="AI85" s="6" t="s">
        <v>668</v>
      </c>
      <c r="AJ85" s="6" t="s">
        <v>640</v>
      </c>
      <c r="AK85" s="33" t="s">
        <v>97</v>
      </c>
      <c r="AL85" s="33" t="s">
        <v>97</v>
      </c>
      <c r="AM85" s="5"/>
      <c r="AN85" s="6" t="s">
        <v>631</v>
      </c>
      <c r="AO85" s="6"/>
      <c r="AP85" s="6"/>
      <c r="AQ85" s="49" t="s">
        <v>589</v>
      </c>
      <c r="AR85" s="20" t="s">
        <v>97</v>
      </c>
      <c r="AS85" s="20" t="s">
        <v>107</v>
      </c>
      <c r="AT85" s="20"/>
      <c r="AU85" s="24">
        <v>0.95</v>
      </c>
      <c r="AV85" s="24">
        <f t="shared" si="14"/>
        <v>0.76</v>
      </c>
      <c r="AW85" s="24">
        <f t="shared" si="15"/>
        <v>0.56999999999999995</v>
      </c>
      <c r="AX85" s="25">
        <v>1E-4</v>
      </c>
      <c r="AY85" s="24">
        <v>0</v>
      </c>
      <c r="AZ85" s="24">
        <f t="shared" si="16"/>
        <v>0.85499999999999998</v>
      </c>
      <c r="BA85" s="24">
        <f t="shared" si="17"/>
        <v>0.68400000000000005</v>
      </c>
      <c r="BB85" s="24">
        <f t="shared" si="18"/>
        <v>0.51300000000000001</v>
      </c>
      <c r="BC85" s="25">
        <v>1E-4</v>
      </c>
      <c r="BD85" s="24">
        <v>0</v>
      </c>
      <c r="BE85" s="26">
        <v>0</v>
      </c>
      <c r="BF85" s="34">
        <f t="shared" si="12"/>
        <v>0</v>
      </c>
      <c r="BG85" s="34">
        <f t="shared" si="13"/>
        <v>0</v>
      </c>
      <c r="BH85" s="26">
        <v>0</v>
      </c>
      <c r="BI85" s="26">
        <v>0</v>
      </c>
      <c r="BJ85" s="20" t="s">
        <v>496</v>
      </c>
      <c r="BK85" s="27">
        <v>0.42746963904746482</v>
      </c>
      <c r="BL85" s="27" t="s">
        <v>932</v>
      </c>
      <c r="BM85" s="27" t="s">
        <v>933</v>
      </c>
      <c r="BN85" s="26"/>
      <c r="BO85" s="34"/>
      <c r="BP85" s="34"/>
      <c r="BQ85" s="34"/>
      <c r="BR85" s="34"/>
      <c r="BS85" s="34"/>
      <c r="BT85" s="34"/>
      <c r="BU85" s="34"/>
      <c r="BV85" s="34"/>
      <c r="BW85" s="34"/>
      <c r="BX85" s="34"/>
      <c r="BY85" s="34"/>
      <c r="BZ85" s="34"/>
      <c r="CA85" s="20"/>
      <c r="CB85" s="20"/>
      <c r="CC85" s="29">
        <v>46003</v>
      </c>
      <c r="CD85" s="35" t="s">
        <v>254</v>
      </c>
    </row>
    <row r="86" spans="1:82" s="18" customFormat="1" ht="66.75" customHeight="1" x14ac:dyDescent="0.25">
      <c r="A86" s="87">
        <v>82</v>
      </c>
      <c r="B86" s="141" t="s">
        <v>934</v>
      </c>
      <c r="C86" s="6" t="s">
        <v>935</v>
      </c>
      <c r="D86" s="6" t="s">
        <v>936</v>
      </c>
      <c r="E86" s="75" t="s">
        <v>113</v>
      </c>
      <c r="F86" s="4" t="s">
        <v>81</v>
      </c>
      <c r="G86" s="33" t="s">
        <v>84</v>
      </c>
      <c r="H86" s="49" t="s">
        <v>114</v>
      </c>
      <c r="I86" s="49" t="s">
        <v>578</v>
      </c>
      <c r="J86" s="6"/>
      <c r="K86" s="49"/>
      <c r="L86" s="49"/>
      <c r="M86" s="49" t="s">
        <v>88</v>
      </c>
      <c r="N86" s="49" t="s">
        <v>89</v>
      </c>
      <c r="O86" s="49" t="s">
        <v>579</v>
      </c>
      <c r="P86" s="6" t="s">
        <v>580</v>
      </c>
      <c r="Q86" s="49"/>
      <c r="R86" s="75" t="s">
        <v>175</v>
      </c>
      <c r="S86" s="33" t="s">
        <v>92</v>
      </c>
      <c r="T86" s="33" t="s">
        <v>93</v>
      </c>
      <c r="U86" s="78">
        <v>100</v>
      </c>
      <c r="V86" s="33" t="s">
        <v>94</v>
      </c>
      <c r="W86" s="33" t="s">
        <v>95</v>
      </c>
      <c r="X86" s="33">
        <v>2022</v>
      </c>
      <c r="Y86" s="33" t="s">
        <v>117</v>
      </c>
      <c r="Z86" s="33" t="s">
        <v>97</v>
      </c>
      <c r="AA86" s="33" t="s">
        <v>98</v>
      </c>
      <c r="AB86" s="49" t="s">
        <v>99</v>
      </c>
      <c r="AC86" s="48" t="s">
        <v>937</v>
      </c>
      <c r="AD86" s="48" t="s">
        <v>938</v>
      </c>
      <c r="AE86" s="6" t="s">
        <v>627</v>
      </c>
      <c r="AF86" s="6" t="s">
        <v>121</v>
      </c>
      <c r="AG86" s="6" t="s">
        <v>667</v>
      </c>
      <c r="AH86" s="6" t="s">
        <v>123</v>
      </c>
      <c r="AI86" s="6" t="s">
        <v>749</v>
      </c>
      <c r="AJ86" s="6" t="s">
        <v>750</v>
      </c>
      <c r="AK86" s="33" t="s">
        <v>97</v>
      </c>
      <c r="AL86" s="33" t="s">
        <v>97</v>
      </c>
      <c r="AM86" s="5"/>
      <c r="AN86" s="6" t="s">
        <v>631</v>
      </c>
      <c r="AO86" s="6"/>
      <c r="AP86" s="6"/>
      <c r="AQ86" s="49" t="s">
        <v>589</v>
      </c>
      <c r="AR86" s="20" t="s">
        <v>97</v>
      </c>
      <c r="AS86" s="20" t="s">
        <v>107</v>
      </c>
      <c r="AT86" s="20"/>
      <c r="AU86" s="24">
        <v>0.95</v>
      </c>
      <c r="AV86" s="24">
        <f t="shared" si="14"/>
        <v>0.76</v>
      </c>
      <c r="AW86" s="24">
        <f t="shared" si="15"/>
        <v>0.56999999999999995</v>
      </c>
      <c r="AX86" s="25">
        <v>1E-4</v>
      </c>
      <c r="AY86" s="24">
        <v>0</v>
      </c>
      <c r="AZ86" s="24">
        <f t="shared" si="16"/>
        <v>0.85499999999999998</v>
      </c>
      <c r="BA86" s="24">
        <f t="shared" si="17"/>
        <v>0.68400000000000005</v>
      </c>
      <c r="BB86" s="24">
        <f t="shared" si="18"/>
        <v>0.51300000000000001</v>
      </c>
      <c r="BC86" s="25">
        <v>1E-4</v>
      </c>
      <c r="BD86" s="24">
        <v>0</v>
      </c>
      <c r="BE86" s="26">
        <v>0</v>
      </c>
      <c r="BF86" s="34">
        <f t="shared" si="12"/>
        <v>0</v>
      </c>
      <c r="BG86" s="34">
        <f t="shared" si="13"/>
        <v>0</v>
      </c>
      <c r="BH86" s="26">
        <v>0</v>
      </c>
      <c r="BI86" s="26">
        <v>0</v>
      </c>
      <c r="BJ86" s="20" t="s">
        <v>496</v>
      </c>
      <c r="BK86" s="27">
        <v>0.19012775300739992</v>
      </c>
      <c r="BL86" s="27" t="s">
        <v>939</v>
      </c>
      <c r="BM86" s="27" t="s">
        <v>940</v>
      </c>
      <c r="BN86" s="26"/>
      <c r="BO86" s="34"/>
      <c r="BP86" s="34"/>
      <c r="BQ86" s="34"/>
      <c r="BR86" s="34"/>
      <c r="BS86" s="34"/>
      <c r="BT86" s="34"/>
      <c r="BU86" s="34"/>
      <c r="BV86" s="34"/>
      <c r="BW86" s="34"/>
      <c r="BX86" s="34"/>
      <c r="BY86" s="34"/>
      <c r="BZ86" s="34"/>
      <c r="CA86" s="20"/>
      <c r="CB86" s="20"/>
      <c r="CC86" s="29">
        <v>46003</v>
      </c>
      <c r="CD86" s="35" t="s">
        <v>254</v>
      </c>
    </row>
    <row r="87" spans="1:82" s="18" customFormat="1" ht="66.75" customHeight="1" x14ac:dyDescent="0.25">
      <c r="A87" s="87">
        <v>83</v>
      </c>
      <c r="B87" s="141" t="s">
        <v>941</v>
      </c>
      <c r="C87" s="6" t="s">
        <v>942</v>
      </c>
      <c r="D87" s="6" t="s">
        <v>943</v>
      </c>
      <c r="E87" s="75" t="s">
        <v>113</v>
      </c>
      <c r="F87" s="4" t="s">
        <v>81</v>
      </c>
      <c r="G87" s="33" t="s">
        <v>84</v>
      </c>
      <c r="H87" s="49" t="s">
        <v>114</v>
      </c>
      <c r="I87" s="49" t="s">
        <v>578</v>
      </c>
      <c r="J87" s="6"/>
      <c r="K87" s="49"/>
      <c r="L87" s="49"/>
      <c r="M87" s="49" t="s">
        <v>88</v>
      </c>
      <c r="N87" s="49" t="s">
        <v>89</v>
      </c>
      <c r="O87" s="49" t="s">
        <v>579</v>
      </c>
      <c r="P87" s="6" t="s">
        <v>580</v>
      </c>
      <c r="Q87" s="49"/>
      <c r="R87" s="75" t="s">
        <v>175</v>
      </c>
      <c r="S87" s="33" t="s">
        <v>92</v>
      </c>
      <c r="T87" s="33" t="s">
        <v>93</v>
      </c>
      <c r="U87" s="78">
        <v>100</v>
      </c>
      <c r="V87" s="33" t="s">
        <v>94</v>
      </c>
      <c r="W87" s="33" t="s">
        <v>95</v>
      </c>
      <c r="X87" s="33">
        <v>2022</v>
      </c>
      <c r="Y87" s="33" t="s">
        <v>117</v>
      </c>
      <c r="Z87" s="33" t="s">
        <v>97</v>
      </c>
      <c r="AA87" s="33" t="s">
        <v>98</v>
      </c>
      <c r="AB87" s="49" t="s">
        <v>99</v>
      </c>
      <c r="AC87" s="48" t="s">
        <v>944</v>
      </c>
      <c r="AD87" s="48" t="s">
        <v>938</v>
      </c>
      <c r="AE87" s="6" t="s">
        <v>627</v>
      </c>
      <c r="AF87" s="6" t="s">
        <v>121</v>
      </c>
      <c r="AG87" s="6" t="s">
        <v>667</v>
      </c>
      <c r="AH87" s="6" t="s">
        <v>123</v>
      </c>
      <c r="AI87" s="6" t="s">
        <v>749</v>
      </c>
      <c r="AJ87" s="6" t="s">
        <v>750</v>
      </c>
      <c r="AK87" s="33" t="s">
        <v>97</v>
      </c>
      <c r="AL87" s="33" t="s">
        <v>97</v>
      </c>
      <c r="AM87" s="5"/>
      <c r="AN87" s="6" t="s">
        <v>631</v>
      </c>
      <c r="AO87" s="6"/>
      <c r="AP87" s="6"/>
      <c r="AQ87" s="49" t="s">
        <v>589</v>
      </c>
      <c r="AR87" s="20" t="s">
        <v>97</v>
      </c>
      <c r="AS87" s="20" t="s">
        <v>107</v>
      </c>
      <c r="AT87" s="20"/>
      <c r="AU87" s="24">
        <v>0.95</v>
      </c>
      <c r="AV87" s="24">
        <f t="shared" si="14"/>
        <v>0.76</v>
      </c>
      <c r="AW87" s="24">
        <f t="shared" si="15"/>
        <v>0.56999999999999995</v>
      </c>
      <c r="AX87" s="25">
        <v>1E-4</v>
      </c>
      <c r="AY87" s="24">
        <v>0</v>
      </c>
      <c r="AZ87" s="24">
        <f t="shared" si="16"/>
        <v>0.85499999999999998</v>
      </c>
      <c r="BA87" s="24">
        <f t="shared" si="17"/>
        <v>0.68400000000000005</v>
      </c>
      <c r="BB87" s="24">
        <f t="shared" si="18"/>
        <v>0.51300000000000001</v>
      </c>
      <c r="BC87" s="25">
        <v>1E-4</v>
      </c>
      <c r="BD87" s="24">
        <v>0</v>
      </c>
      <c r="BE87" s="26">
        <v>0</v>
      </c>
      <c r="BF87" s="34">
        <f t="shared" si="12"/>
        <v>0</v>
      </c>
      <c r="BG87" s="34">
        <f t="shared" si="13"/>
        <v>0</v>
      </c>
      <c r="BH87" s="26">
        <v>0</v>
      </c>
      <c r="BI87" s="26">
        <v>0</v>
      </c>
      <c r="BJ87" s="20" t="s">
        <v>496</v>
      </c>
      <c r="BK87" s="27">
        <v>0.31640489469568667</v>
      </c>
      <c r="BL87" s="27" t="s">
        <v>945</v>
      </c>
      <c r="BM87" s="27" t="s">
        <v>946</v>
      </c>
      <c r="BN87" s="26"/>
      <c r="BO87" s="34"/>
      <c r="BP87" s="34"/>
      <c r="BQ87" s="34"/>
      <c r="BR87" s="34"/>
      <c r="BS87" s="34"/>
      <c r="BT87" s="34"/>
      <c r="BU87" s="34"/>
      <c r="BV87" s="34"/>
      <c r="BW87" s="34"/>
      <c r="BX87" s="34"/>
      <c r="BY87" s="34"/>
      <c r="BZ87" s="34"/>
      <c r="CA87" s="20"/>
      <c r="CB87" s="20"/>
      <c r="CC87" s="29">
        <v>46003</v>
      </c>
      <c r="CD87" s="35" t="s">
        <v>254</v>
      </c>
    </row>
    <row r="88" spans="1:82" s="18" customFormat="1" ht="66.75" customHeight="1" x14ac:dyDescent="0.25">
      <c r="A88" s="121">
        <v>84</v>
      </c>
      <c r="B88" s="141" t="s">
        <v>947</v>
      </c>
      <c r="C88" s="6" t="s">
        <v>948</v>
      </c>
      <c r="D88" s="6" t="s">
        <v>949</v>
      </c>
      <c r="E88" s="75" t="s">
        <v>113</v>
      </c>
      <c r="F88" s="4" t="s">
        <v>81</v>
      </c>
      <c r="G88" s="33" t="s">
        <v>84</v>
      </c>
      <c r="H88" s="49" t="s">
        <v>114</v>
      </c>
      <c r="I88" s="49" t="s">
        <v>578</v>
      </c>
      <c r="J88" s="6"/>
      <c r="K88" s="49"/>
      <c r="L88" s="49"/>
      <c r="M88" s="49" t="s">
        <v>88</v>
      </c>
      <c r="N88" s="49" t="s">
        <v>89</v>
      </c>
      <c r="O88" s="49" t="s">
        <v>579</v>
      </c>
      <c r="P88" s="6" t="s">
        <v>580</v>
      </c>
      <c r="Q88" s="49"/>
      <c r="R88" s="75" t="s">
        <v>175</v>
      </c>
      <c r="S88" s="33" t="s">
        <v>92</v>
      </c>
      <c r="T88" s="33" t="s">
        <v>93</v>
      </c>
      <c r="U88" s="78">
        <v>100</v>
      </c>
      <c r="V88" s="33" t="s">
        <v>94</v>
      </c>
      <c r="W88" s="33" t="s">
        <v>95</v>
      </c>
      <c r="X88" s="33">
        <v>2022</v>
      </c>
      <c r="Y88" s="33" t="s">
        <v>117</v>
      </c>
      <c r="Z88" s="33" t="s">
        <v>97</v>
      </c>
      <c r="AA88" s="33" t="s">
        <v>98</v>
      </c>
      <c r="AB88" s="49" t="s">
        <v>99</v>
      </c>
      <c r="AC88" s="48" t="s">
        <v>950</v>
      </c>
      <c r="AD88" s="48" t="s">
        <v>951</v>
      </c>
      <c r="AE88" s="6" t="s">
        <v>627</v>
      </c>
      <c r="AF88" s="6" t="s">
        <v>121</v>
      </c>
      <c r="AG88" s="6" t="s">
        <v>667</v>
      </c>
      <c r="AH88" s="6" t="s">
        <v>123</v>
      </c>
      <c r="AI88" s="6" t="s">
        <v>749</v>
      </c>
      <c r="AJ88" s="6" t="s">
        <v>750</v>
      </c>
      <c r="AK88" s="33" t="s">
        <v>97</v>
      </c>
      <c r="AL88" s="33" t="s">
        <v>97</v>
      </c>
      <c r="AM88" s="5"/>
      <c r="AN88" s="6" t="s">
        <v>631</v>
      </c>
      <c r="AO88" s="6"/>
      <c r="AP88" s="6"/>
      <c r="AQ88" s="49" t="s">
        <v>589</v>
      </c>
      <c r="AR88" s="20" t="s">
        <v>97</v>
      </c>
      <c r="AS88" s="20" t="s">
        <v>107</v>
      </c>
      <c r="AT88" s="20"/>
      <c r="AU88" s="24">
        <v>0.95</v>
      </c>
      <c r="AV88" s="24">
        <f t="shared" si="14"/>
        <v>0.76</v>
      </c>
      <c r="AW88" s="24">
        <f t="shared" si="15"/>
        <v>0.56999999999999995</v>
      </c>
      <c r="AX88" s="25">
        <v>1E-4</v>
      </c>
      <c r="AY88" s="24">
        <v>0</v>
      </c>
      <c r="AZ88" s="24">
        <f t="shared" si="16"/>
        <v>0.85499999999999998</v>
      </c>
      <c r="BA88" s="24">
        <f t="shared" si="17"/>
        <v>0.68400000000000005</v>
      </c>
      <c r="BB88" s="24">
        <f t="shared" si="18"/>
        <v>0.51300000000000001</v>
      </c>
      <c r="BC88" s="25">
        <v>1E-4</v>
      </c>
      <c r="BD88" s="24">
        <v>0</v>
      </c>
      <c r="BE88" s="26">
        <v>0</v>
      </c>
      <c r="BF88" s="34">
        <f t="shared" si="12"/>
        <v>0</v>
      </c>
      <c r="BG88" s="34">
        <f t="shared" si="13"/>
        <v>0</v>
      </c>
      <c r="BH88" s="26">
        <v>0</v>
      </c>
      <c r="BI88" s="26">
        <v>0</v>
      </c>
      <c r="BJ88" s="20" t="s">
        <v>496</v>
      </c>
      <c r="BK88" s="27">
        <v>0.99565287860717944</v>
      </c>
      <c r="BL88" s="27" t="s">
        <v>952</v>
      </c>
      <c r="BM88" s="27" t="s">
        <v>953</v>
      </c>
      <c r="BN88" s="26"/>
      <c r="BO88" s="34"/>
      <c r="BP88" s="34"/>
      <c r="BQ88" s="34"/>
      <c r="BR88" s="34"/>
      <c r="BS88" s="34"/>
      <c r="BT88" s="34"/>
      <c r="BU88" s="34"/>
      <c r="BV88" s="34"/>
      <c r="BW88" s="34"/>
      <c r="BX88" s="34"/>
      <c r="BY88" s="34"/>
      <c r="BZ88" s="34"/>
      <c r="CA88" s="20"/>
      <c r="CB88" s="20"/>
      <c r="CC88" s="29">
        <v>46003</v>
      </c>
      <c r="CD88" s="35" t="s">
        <v>254</v>
      </c>
    </row>
    <row r="89" spans="1:82" s="18" customFormat="1" ht="66.75" customHeight="1" x14ac:dyDescent="0.25">
      <c r="A89" s="87">
        <v>85</v>
      </c>
      <c r="B89" s="141" t="s">
        <v>954</v>
      </c>
      <c r="C89" s="6" t="s">
        <v>955</v>
      </c>
      <c r="D89" s="6" t="s">
        <v>956</v>
      </c>
      <c r="E89" s="75" t="s">
        <v>113</v>
      </c>
      <c r="F89" s="4" t="s">
        <v>81</v>
      </c>
      <c r="G89" s="33" t="s">
        <v>84</v>
      </c>
      <c r="H89" s="49" t="s">
        <v>114</v>
      </c>
      <c r="I89" s="49" t="s">
        <v>578</v>
      </c>
      <c r="J89" s="6"/>
      <c r="K89" s="49"/>
      <c r="L89" s="49"/>
      <c r="M89" s="49" t="s">
        <v>88</v>
      </c>
      <c r="N89" s="49" t="s">
        <v>89</v>
      </c>
      <c r="O89" s="49" t="s">
        <v>579</v>
      </c>
      <c r="P89" s="6" t="s">
        <v>580</v>
      </c>
      <c r="Q89" s="49"/>
      <c r="R89" s="75" t="s">
        <v>91</v>
      </c>
      <c r="S89" s="33" t="s">
        <v>92</v>
      </c>
      <c r="T89" s="33" t="s">
        <v>93</v>
      </c>
      <c r="U89" s="78">
        <v>100</v>
      </c>
      <c r="V89" s="33" t="s">
        <v>94</v>
      </c>
      <c r="W89" s="33" t="s">
        <v>95</v>
      </c>
      <c r="X89" s="33">
        <v>2022</v>
      </c>
      <c r="Y89" s="33" t="s">
        <v>117</v>
      </c>
      <c r="Z89" s="33" t="s">
        <v>97</v>
      </c>
      <c r="AA89" s="33" t="s">
        <v>98</v>
      </c>
      <c r="AB89" s="49" t="s">
        <v>99</v>
      </c>
      <c r="AC89" s="48" t="s">
        <v>957</v>
      </c>
      <c r="AD89" s="48" t="s">
        <v>958</v>
      </c>
      <c r="AE89" s="6" t="s">
        <v>675</v>
      </c>
      <c r="AF89" s="6" t="s">
        <v>121</v>
      </c>
      <c r="AG89" s="6" t="s">
        <v>667</v>
      </c>
      <c r="AH89" s="6" t="s">
        <v>123</v>
      </c>
      <c r="AI89" s="6" t="s">
        <v>959</v>
      </c>
      <c r="AJ89" s="6" t="s">
        <v>960</v>
      </c>
      <c r="AK89" s="33" t="s">
        <v>97</v>
      </c>
      <c r="AL89" s="33" t="s">
        <v>97</v>
      </c>
      <c r="AM89" s="5" t="s">
        <v>641</v>
      </c>
      <c r="AN89" s="6" t="s">
        <v>631</v>
      </c>
      <c r="AO89" s="6"/>
      <c r="AP89" s="6"/>
      <c r="AQ89" s="49" t="s">
        <v>589</v>
      </c>
      <c r="AR89" s="20" t="s">
        <v>97</v>
      </c>
      <c r="AS89" s="20" t="s">
        <v>107</v>
      </c>
      <c r="AT89" s="20"/>
      <c r="AU89" s="24">
        <v>0.95</v>
      </c>
      <c r="AV89" s="24">
        <f t="shared" si="14"/>
        <v>0.76</v>
      </c>
      <c r="AW89" s="24">
        <f t="shared" si="15"/>
        <v>0.56999999999999995</v>
      </c>
      <c r="AX89" s="25">
        <v>1E-4</v>
      </c>
      <c r="AY89" s="24">
        <v>0</v>
      </c>
      <c r="AZ89" s="24">
        <f t="shared" si="16"/>
        <v>0.85499999999999998</v>
      </c>
      <c r="BA89" s="24">
        <f t="shared" si="17"/>
        <v>0.68400000000000005</v>
      </c>
      <c r="BB89" s="24">
        <f t="shared" si="18"/>
        <v>0.51300000000000001</v>
      </c>
      <c r="BC89" s="25">
        <v>1E-4</v>
      </c>
      <c r="BD89" s="24">
        <v>0</v>
      </c>
      <c r="BE89" s="26">
        <v>0</v>
      </c>
      <c r="BF89" s="34">
        <f t="shared" si="12"/>
        <v>0</v>
      </c>
      <c r="BG89" s="34">
        <f t="shared" si="13"/>
        <v>0</v>
      </c>
      <c r="BH89" s="26">
        <v>0</v>
      </c>
      <c r="BI89" s="26">
        <v>0</v>
      </c>
      <c r="BJ89" s="20" t="s">
        <v>496</v>
      </c>
      <c r="BK89" s="27">
        <v>0.81282246534468827</v>
      </c>
      <c r="BL89" s="27" t="s">
        <v>961</v>
      </c>
      <c r="BM89" s="27" t="s">
        <v>962</v>
      </c>
      <c r="BN89" s="26"/>
      <c r="BO89" s="34"/>
      <c r="BP89" s="34"/>
      <c r="BQ89" s="34"/>
      <c r="BR89" s="34"/>
      <c r="BS89" s="34"/>
      <c r="BT89" s="34"/>
      <c r="BU89" s="34"/>
      <c r="BV89" s="34"/>
      <c r="BW89" s="34"/>
      <c r="BX89" s="34"/>
      <c r="BY89" s="34"/>
      <c r="BZ89" s="34"/>
      <c r="CA89" s="20"/>
      <c r="CB89" s="20"/>
      <c r="CC89" s="29">
        <v>46003</v>
      </c>
      <c r="CD89" s="35" t="s">
        <v>634</v>
      </c>
    </row>
    <row r="90" spans="1:82" s="18" customFormat="1" ht="66.75" customHeight="1" x14ac:dyDescent="0.25">
      <c r="A90" s="87">
        <v>86</v>
      </c>
      <c r="B90" s="141" t="s">
        <v>963</v>
      </c>
      <c r="C90" s="6" t="s">
        <v>964</v>
      </c>
      <c r="D90" s="6" t="s">
        <v>965</v>
      </c>
      <c r="E90" s="75" t="s">
        <v>113</v>
      </c>
      <c r="F90" s="4" t="s">
        <v>81</v>
      </c>
      <c r="G90" s="33" t="s">
        <v>84</v>
      </c>
      <c r="H90" s="49" t="s">
        <v>114</v>
      </c>
      <c r="I90" s="49" t="s">
        <v>578</v>
      </c>
      <c r="J90" s="6"/>
      <c r="K90" s="49"/>
      <c r="L90" s="49"/>
      <c r="M90" s="49" t="s">
        <v>88</v>
      </c>
      <c r="N90" s="49" t="s">
        <v>89</v>
      </c>
      <c r="O90" s="49" t="s">
        <v>579</v>
      </c>
      <c r="P90" s="6" t="s">
        <v>580</v>
      </c>
      <c r="Q90" s="49"/>
      <c r="R90" s="75" t="s">
        <v>175</v>
      </c>
      <c r="S90" s="33" t="s">
        <v>92</v>
      </c>
      <c r="T90" s="33" t="s">
        <v>93</v>
      </c>
      <c r="U90" s="78">
        <v>100</v>
      </c>
      <c r="V90" s="33" t="s">
        <v>94</v>
      </c>
      <c r="W90" s="33" t="s">
        <v>95</v>
      </c>
      <c r="X90" s="33">
        <v>2022</v>
      </c>
      <c r="Y90" s="33" t="s">
        <v>117</v>
      </c>
      <c r="Z90" s="33" t="s">
        <v>97</v>
      </c>
      <c r="AA90" s="33" t="s">
        <v>98</v>
      </c>
      <c r="AB90" s="49" t="s">
        <v>99</v>
      </c>
      <c r="AC90" s="48" t="s">
        <v>966</v>
      </c>
      <c r="AD90" s="48" t="s">
        <v>967</v>
      </c>
      <c r="AE90" s="6" t="s">
        <v>675</v>
      </c>
      <c r="AF90" s="6" t="s">
        <v>121</v>
      </c>
      <c r="AG90" s="6" t="s">
        <v>667</v>
      </c>
      <c r="AH90" s="6" t="s">
        <v>123</v>
      </c>
      <c r="AI90" s="6" t="s">
        <v>959</v>
      </c>
      <c r="AJ90" s="6" t="s">
        <v>960</v>
      </c>
      <c r="AK90" s="33" t="s">
        <v>97</v>
      </c>
      <c r="AL90" s="33" t="s">
        <v>97</v>
      </c>
      <c r="AM90" s="5"/>
      <c r="AN90" s="6" t="s">
        <v>631</v>
      </c>
      <c r="AO90" s="6"/>
      <c r="AP90" s="6"/>
      <c r="AQ90" s="49" t="s">
        <v>589</v>
      </c>
      <c r="AR90" s="20" t="s">
        <v>97</v>
      </c>
      <c r="AS90" s="20" t="s">
        <v>107</v>
      </c>
      <c r="AT90" s="20"/>
      <c r="AU90" s="24">
        <v>0.95</v>
      </c>
      <c r="AV90" s="24">
        <f t="shared" si="14"/>
        <v>0.76</v>
      </c>
      <c r="AW90" s="24">
        <f t="shared" si="15"/>
        <v>0.56999999999999995</v>
      </c>
      <c r="AX90" s="25">
        <v>1E-4</v>
      </c>
      <c r="AY90" s="24">
        <v>0</v>
      </c>
      <c r="AZ90" s="24">
        <f t="shared" si="16"/>
        <v>0.85499999999999998</v>
      </c>
      <c r="BA90" s="24">
        <f t="shared" si="17"/>
        <v>0.68400000000000005</v>
      </c>
      <c r="BB90" s="24">
        <f t="shared" si="18"/>
        <v>0.51300000000000001</v>
      </c>
      <c r="BC90" s="25">
        <v>1E-4</v>
      </c>
      <c r="BD90" s="24">
        <v>0</v>
      </c>
      <c r="BE90" s="26">
        <v>0</v>
      </c>
      <c r="BF90" s="34">
        <f t="shared" si="12"/>
        <v>0</v>
      </c>
      <c r="BG90" s="34">
        <f t="shared" si="13"/>
        <v>0</v>
      </c>
      <c r="BH90" s="26">
        <v>0</v>
      </c>
      <c r="BI90" s="26">
        <v>0</v>
      </c>
      <c r="BJ90" s="20" t="s">
        <v>496</v>
      </c>
      <c r="BK90" s="27">
        <v>0.74597426990996607</v>
      </c>
      <c r="BL90" s="27" t="s">
        <v>968</v>
      </c>
      <c r="BM90" s="27" t="s">
        <v>969</v>
      </c>
      <c r="BN90" s="26"/>
      <c r="BO90" s="34"/>
      <c r="BP90" s="34"/>
      <c r="BQ90" s="34"/>
      <c r="BR90" s="34"/>
      <c r="BS90" s="34"/>
      <c r="BT90" s="34"/>
      <c r="BU90" s="34"/>
      <c r="BV90" s="34"/>
      <c r="BW90" s="34"/>
      <c r="BX90" s="34"/>
      <c r="BY90" s="34"/>
      <c r="BZ90" s="34"/>
      <c r="CA90" s="20"/>
      <c r="CB90" s="20"/>
      <c r="CC90" s="29">
        <v>46003</v>
      </c>
      <c r="CD90" s="35" t="s">
        <v>254</v>
      </c>
    </row>
    <row r="91" spans="1:82" s="18" customFormat="1" ht="66.75" customHeight="1" x14ac:dyDescent="0.25">
      <c r="A91" s="121">
        <v>87</v>
      </c>
      <c r="B91" s="141" t="s">
        <v>970</v>
      </c>
      <c r="C91" s="6" t="s">
        <v>971</v>
      </c>
      <c r="D91" s="6" t="s">
        <v>972</v>
      </c>
      <c r="E91" s="75" t="s">
        <v>174</v>
      </c>
      <c r="F91" s="4" t="s">
        <v>81</v>
      </c>
      <c r="G91" s="33" t="s">
        <v>84</v>
      </c>
      <c r="H91" s="49" t="s">
        <v>775</v>
      </c>
      <c r="I91" s="49" t="s">
        <v>578</v>
      </c>
      <c r="J91" s="6"/>
      <c r="K91" s="49"/>
      <c r="L91" s="49"/>
      <c r="M91" s="49" t="s">
        <v>88</v>
      </c>
      <c r="N91" s="49" t="s">
        <v>89</v>
      </c>
      <c r="O91" s="49" t="s">
        <v>579</v>
      </c>
      <c r="P91" s="6" t="s">
        <v>580</v>
      </c>
      <c r="Q91" s="49"/>
      <c r="R91" s="75" t="s">
        <v>91</v>
      </c>
      <c r="S91" s="33" t="s">
        <v>92</v>
      </c>
      <c r="T91" s="33" t="s">
        <v>93</v>
      </c>
      <c r="U91" s="78">
        <v>100</v>
      </c>
      <c r="V91" s="33" t="s">
        <v>94</v>
      </c>
      <c r="W91" s="33" t="s">
        <v>95</v>
      </c>
      <c r="X91" s="33">
        <v>2021</v>
      </c>
      <c r="Y91" s="33" t="s">
        <v>117</v>
      </c>
      <c r="Z91" s="33" t="s">
        <v>97</v>
      </c>
      <c r="AA91" s="33" t="s">
        <v>973</v>
      </c>
      <c r="AB91" s="49" t="s">
        <v>99</v>
      </c>
      <c r="AC91" s="79" t="s">
        <v>974</v>
      </c>
      <c r="AD91" s="79" t="s">
        <v>975</v>
      </c>
      <c r="AE91" s="6" t="s">
        <v>976</v>
      </c>
      <c r="AF91" s="6" t="s">
        <v>121</v>
      </c>
      <c r="AG91" s="6" t="s">
        <v>218</v>
      </c>
      <c r="AH91" s="6" t="s">
        <v>123</v>
      </c>
      <c r="AI91" s="6" t="s">
        <v>977</v>
      </c>
      <c r="AJ91" s="6" t="s">
        <v>978</v>
      </c>
      <c r="AK91" s="33" t="s">
        <v>97</v>
      </c>
      <c r="AL91" s="33" t="s">
        <v>97</v>
      </c>
      <c r="AM91" s="5" t="s">
        <v>979</v>
      </c>
      <c r="AN91" s="6" t="s">
        <v>631</v>
      </c>
      <c r="AO91" s="6" t="s">
        <v>980</v>
      </c>
      <c r="AP91" s="6" t="s">
        <v>981</v>
      </c>
      <c r="AQ91" s="6" t="s">
        <v>982</v>
      </c>
      <c r="AR91" s="20" t="s">
        <v>97</v>
      </c>
      <c r="AS91" s="20" t="s">
        <v>107</v>
      </c>
      <c r="AT91" s="20"/>
      <c r="AU91" s="24">
        <v>0.6</v>
      </c>
      <c r="AV91" s="24">
        <f t="shared" si="14"/>
        <v>0.48</v>
      </c>
      <c r="AW91" s="24">
        <f t="shared" si="15"/>
        <v>0.36</v>
      </c>
      <c r="AX91" s="25">
        <v>1E-4</v>
      </c>
      <c r="AY91" s="24">
        <v>0</v>
      </c>
      <c r="AZ91" s="24">
        <f t="shared" si="16"/>
        <v>0.54</v>
      </c>
      <c r="BA91" s="24">
        <f t="shared" si="17"/>
        <v>0.43200000000000005</v>
      </c>
      <c r="BB91" s="24">
        <f t="shared" si="18"/>
        <v>0.32400000000000001</v>
      </c>
      <c r="BC91" s="25">
        <v>1E-4</v>
      </c>
      <c r="BD91" s="24">
        <v>0</v>
      </c>
      <c r="BE91" s="34">
        <v>10</v>
      </c>
      <c r="BF91" s="34">
        <f t="shared" si="12"/>
        <v>8</v>
      </c>
      <c r="BG91" s="34">
        <f t="shared" si="13"/>
        <v>6</v>
      </c>
      <c r="BH91" s="26">
        <v>1</v>
      </c>
      <c r="BI91" s="26">
        <v>0</v>
      </c>
      <c r="BJ91" s="27">
        <v>0.4</v>
      </c>
      <c r="BK91" s="27">
        <v>0.52526204625353756</v>
      </c>
      <c r="BL91" s="27" t="s">
        <v>983</v>
      </c>
      <c r="BM91" s="27" t="s">
        <v>984</v>
      </c>
      <c r="BN91" s="26"/>
      <c r="BO91" s="34"/>
      <c r="BP91" s="34"/>
      <c r="BQ91" s="34"/>
      <c r="BR91" s="34"/>
      <c r="BS91" s="34"/>
      <c r="BT91" s="34"/>
      <c r="BU91" s="34"/>
      <c r="BV91" s="34"/>
      <c r="BW91" s="34"/>
      <c r="BX91" s="34"/>
      <c r="BY91" s="34"/>
      <c r="BZ91" s="34">
        <v>1</v>
      </c>
      <c r="CA91" s="20" t="s">
        <v>578</v>
      </c>
      <c r="CB91" s="20" t="s">
        <v>578</v>
      </c>
      <c r="CC91" s="29">
        <v>45945</v>
      </c>
      <c r="CD91" s="36" t="s">
        <v>985</v>
      </c>
    </row>
    <row r="92" spans="1:82" s="18" customFormat="1" ht="66.75" customHeight="1" x14ac:dyDescent="0.25">
      <c r="A92" s="87">
        <v>88</v>
      </c>
      <c r="B92" s="141" t="s">
        <v>986</v>
      </c>
      <c r="C92" s="6" t="s">
        <v>987</v>
      </c>
      <c r="D92" s="6" t="s">
        <v>988</v>
      </c>
      <c r="E92" s="75" t="s">
        <v>113</v>
      </c>
      <c r="F92" s="4" t="s">
        <v>81</v>
      </c>
      <c r="G92" s="33" t="s">
        <v>84</v>
      </c>
      <c r="H92" s="49" t="s">
        <v>775</v>
      </c>
      <c r="I92" s="49" t="s">
        <v>578</v>
      </c>
      <c r="J92" s="6"/>
      <c r="K92" s="49"/>
      <c r="L92" s="49"/>
      <c r="M92" s="49" t="s">
        <v>989</v>
      </c>
      <c r="N92" s="49" t="s">
        <v>89</v>
      </c>
      <c r="O92" s="49" t="s">
        <v>579</v>
      </c>
      <c r="P92" s="6" t="s">
        <v>580</v>
      </c>
      <c r="Q92" s="49"/>
      <c r="R92" s="75" t="s">
        <v>175</v>
      </c>
      <c r="S92" s="33" t="s">
        <v>92</v>
      </c>
      <c r="T92" s="33" t="s">
        <v>93</v>
      </c>
      <c r="U92" s="78">
        <v>100</v>
      </c>
      <c r="V92" s="33" t="s">
        <v>94</v>
      </c>
      <c r="W92" s="33" t="s">
        <v>95</v>
      </c>
      <c r="X92" s="33">
        <v>2024</v>
      </c>
      <c r="Y92" s="33" t="s">
        <v>117</v>
      </c>
      <c r="Z92" s="33" t="s">
        <v>97</v>
      </c>
      <c r="AA92" s="33" t="s">
        <v>973</v>
      </c>
      <c r="AB92" s="49" t="s">
        <v>99</v>
      </c>
      <c r="AC92" s="48" t="s">
        <v>990</v>
      </c>
      <c r="AD92" s="79" t="s">
        <v>991</v>
      </c>
      <c r="AE92" s="6" t="s">
        <v>976</v>
      </c>
      <c r="AF92" s="6" t="s">
        <v>121</v>
      </c>
      <c r="AG92" s="6" t="s">
        <v>667</v>
      </c>
      <c r="AH92" s="6" t="s">
        <v>123</v>
      </c>
      <c r="AI92" s="6" t="s">
        <v>992</v>
      </c>
      <c r="AJ92" s="6" t="s">
        <v>993</v>
      </c>
      <c r="AK92" s="33" t="s">
        <v>97</v>
      </c>
      <c r="AL92" s="33" t="s">
        <v>97</v>
      </c>
      <c r="AM92" s="5" t="s">
        <v>221</v>
      </c>
      <c r="AN92" s="6" t="s">
        <v>994</v>
      </c>
      <c r="AO92" s="6"/>
      <c r="AP92" s="6"/>
      <c r="AQ92" s="6" t="s">
        <v>982</v>
      </c>
      <c r="AR92" s="20" t="s">
        <v>97</v>
      </c>
      <c r="AS92" s="20" t="s">
        <v>107</v>
      </c>
      <c r="AT92" s="20"/>
      <c r="AU92" s="24">
        <v>0.95</v>
      </c>
      <c r="AV92" s="24">
        <f t="shared" si="14"/>
        <v>0.76</v>
      </c>
      <c r="AW92" s="24">
        <f t="shared" si="15"/>
        <v>0.56999999999999995</v>
      </c>
      <c r="AX92" s="25">
        <v>1E-4</v>
      </c>
      <c r="AY92" s="24">
        <v>0</v>
      </c>
      <c r="AZ92" s="24">
        <f t="shared" si="16"/>
        <v>0.85499999999999998</v>
      </c>
      <c r="BA92" s="24">
        <f t="shared" si="17"/>
        <v>0.68400000000000005</v>
      </c>
      <c r="BB92" s="24">
        <f t="shared" si="18"/>
        <v>0.51300000000000001</v>
      </c>
      <c r="BC92" s="25">
        <v>1E-4</v>
      </c>
      <c r="BD92" s="24">
        <v>0</v>
      </c>
      <c r="BE92" s="26">
        <v>0</v>
      </c>
      <c r="BF92" s="34">
        <f t="shared" si="12"/>
        <v>0</v>
      </c>
      <c r="BG92" s="34">
        <f t="shared" si="13"/>
        <v>0</v>
      </c>
      <c r="BH92" s="26">
        <v>0</v>
      </c>
      <c r="BI92" s="26">
        <v>0</v>
      </c>
      <c r="BJ92" s="20" t="s">
        <v>496</v>
      </c>
      <c r="BK92" s="27" t="s">
        <v>84</v>
      </c>
      <c r="BL92" s="27" t="s">
        <v>995</v>
      </c>
      <c r="BM92" s="27" t="s">
        <v>996</v>
      </c>
      <c r="BN92" s="26"/>
      <c r="BO92" s="34"/>
      <c r="BP92" s="34"/>
      <c r="BQ92" s="34"/>
      <c r="BR92" s="34"/>
      <c r="BS92" s="34"/>
      <c r="BT92" s="34"/>
      <c r="BU92" s="34"/>
      <c r="BV92" s="34"/>
      <c r="BW92" s="34"/>
      <c r="BX92" s="34"/>
      <c r="BY92" s="34"/>
      <c r="BZ92" s="34"/>
      <c r="CA92" s="20"/>
      <c r="CB92" s="20"/>
      <c r="CC92" s="29">
        <v>46003</v>
      </c>
      <c r="CD92" s="11" t="s">
        <v>997</v>
      </c>
    </row>
    <row r="93" spans="1:82" s="18" customFormat="1" ht="66.75" customHeight="1" x14ac:dyDescent="0.25">
      <c r="A93" s="87">
        <v>89</v>
      </c>
      <c r="B93" s="141" t="s">
        <v>998</v>
      </c>
      <c r="C93" s="6" t="s">
        <v>999</v>
      </c>
      <c r="D93" s="6" t="s">
        <v>1000</v>
      </c>
      <c r="E93" s="75" t="s">
        <v>113</v>
      </c>
      <c r="F93" s="4" t="s">
        <v>81</v>
      </c>
      <c r="G93" s="33" t="s">
        <v>84</v>
      </c>
      <c r="H93" s="49" t="s">
        <v>309</v>
      </c>
      <c r="I93" s="49" t="s">
        <v>578</v>
      </c>
      <c r="J93" s="6"/>
      <c r="K93" s="49"/>
      <c r="L93" s="49"/>
      <c r="M93" s="49" t="s">
        <v>88</v>
      </c>
      <c r="N93" s="49" t="s">
        <v>89</v>
      </c>
      <c r="O93" s="49" t="s">
        <v>579</v>
      </c>
      <c r="P93" s="6" t="s">
        <v>580</v>
      </c>
      <c r="Q93" s="49"/>
      <c r="R93" s="75" t="s">
        <v>175</v>
      </c>
      <c r="S93" s="33" t="s">
        <v>92</v>
      </c>
      <c r="T93" s="33" t="s">
        <v>93</v>
      </c>
      <c r="U93" s="78">
        <v>100</v>
      </c>
      <c r="V93" s="33" t="s">
        <v>94</v>
      </c>
      <c r="W93" s="33" t="s">
        <v>95</v>
      </c>
      <c r="X93" s="33">
        <v>2022</v>
      </c>
      <c r="Y93" s="33" t="s">
        <v>117</v>
      </c>
      <c r="Z93" s="33" t="s">
        <v>97</v>
      </c>
      <c r="AA93" s="33" t="s">
        <v>973</v>
      </c>
      <c r="AB93" s="49" t="s">
        <v>99</v>
      </c>
      <c r="AC93" s="48" t="s">
        <v>1001</v>
      </c>
      <c r="AD93" s="79" t="s">
        <v>1002</v>
      </c>
      <c r="AE93" s="6" t="s">
        <v>1003</v>
      </c>
      <c r="AF93" s="6" t="s">
        <v>121</v>
      </c>
      <c r="AG93" s="6" t="s">
        <v>667</v>
      </c>
      <c r="AH93" s="6" t="s">
        <v>123</v>
      </c>
      <c r="AI93" s="6" t="s">
        <v>1004</v>
      </c>
      <c r="AJ93" s="6" t="s">
        <v>1005</v>
      </c>
      <c r="AK93" s="33" t="s">
        <v>97</v>
      </c>
      <c r="AL93" s="33" t="s">
        <v>97</v>
      </c>
      <c r="AM93" s="5" t="s">
        <v>221</v>
      </c>
      <c r="AN93" s="6" t="s">
        <v>631</v>
      </c>
      <c r="AO93" s="6"/>
      <c r="AP93" s="6"/>
      <c r="AQ93" s="6" t="s">
        <v>982</v>
      </c>
      <c r="AR93" s="20" t="s">
        <v>97</v>
      </c>
      <c r="AS93" s="20" t="s">
        <v>107</v>
      </c>
      <c r="AT93" s="20"/>
      <c r="AU93" s="24">
        <v>0.95</v>
      </c>
      <c r="AV93" s="24">
        <f t="shared" si="14"/>
        <v>0.76</v>
      </c>
      <c r="AW93" s="24">
        <f t="shared" si="15"/>
        <v>0.56999999999999995</v>
      </c>
      <c r="AX93" s="25">
        <v>1E-4</v>
      </c>
      <c r="AY93" s="24">
        <v>0</v>
      </c>
      <c r="AZ93" s="24">
        <f t="shared" si="16"/>
        <v>0.85499999999999998</v>
      </c>
      <c r="BA93" s="24">
        <f t="shared" si="17"/>
        <v>0.68400000000000005</v>
      </c>
      <c r="BB93" s="24">
        <f t="shared" si="18"/>
        <v>0.51300000000000001</v>
      </c>
      <c r="BC93" s="25">
        <v>1E-4</v>
      </c>
      <c r="BD93" s="24">
        <v>0</v>
      </c>
      <c r="BE93" s="26">
        <v>0</v>
      </c>
      <c r="BF93" s="34">
        <f t="shared" si="12"/>
        <v>0</v>
      </c>
      <c r="BG93" s="34">
        <f t="shared" si="13"/>
        <v>0</v>
      </c>
      <c r="BH93" s="26">
        <v>0</v>
      </c>
      <c r="BI93" s="26">
        <v>0</v>
      </c>
      <c r="BJ93" s="20" t="s">
        <v>496</v>
      </c>
      <c r="BK93" s="27">
        <v>0.38034821634292726</v>
      </c>
      <c r="BL93" s="27" t="s">
        <v>1006</v>
      </c>
      <c r="BM93" s="27" t="s">
        <v>1007</v>
      </c>
      <c r="BN93" s="26"/>
      <c r="BO93" s="34"/>
      <c r="BP93" s="34"/>
      <c r="BQ93" s="34"/>
      <c r="BR93" s="34"/>
      <c r="BS93" s="34"/>
      <c r="BT93" s="34"/>
      <c r="BU93" s="34"/>
      <c r="BV93" s="34"/>
      <c r="BW93" s="34"/>
      <c r="BX93" s="34"/>
      <c r="BY93" s="34"/>
      <c r="BZ93" s="34"/>
      <c r="CA93" s="20"/>
      <c r="CB93" s="20"/>
      <c r="CC93" s="29">
        <v>46003</v>
      </c>
      <c r="CD93" s="11" t="s">
        <v>997</v>
      </c>
    </row>
    <row r="94" spans="1:82" s="18" customFormat="1" ht="66.75" customHeight="1" x14ac:dyDescent="0.25">
      <c r="A94" s="121">
        <v>90</v>
      </c>
      <c r="B94" s="147" t="s">
        <v>1008</v>
      </c>
      <c r="C94" s="6" t="s">
        <v>1009</v>
      </c>
      <c r="D94" s="6" t="s">
        <v>1010</v>
      </c>
      <c r="E94" s="75" t="s">
        <v>113</v>
      </c>
      <c r="F94" s="4" t="s">
        <v>81</v>
      </c>
      <c r="G94" s="33" t="s">
        <v>84</v>
      </c>
      <c r="H94" s="49" t="s">
        <v>309</v>
      </c>
      <c r="I94" s="49" t="s">
        <v>578</v>
      </c>
      <c r="J94" s="6"/>
      <c r="K94" s="49"/>
      <c r="L94" s="49"/>
      <c r="M94" s="49" t="s">
        <v>88</v>
      </c>
      <c r="N94" s="49" t="s">
        <v>89</v>
      </c>
      <c r="O94" s="49" t="s">
        <v>579</v>
      </c>
      <c r="P94" s="6" t="s">
        <v>580</v>
      </c>
      <c r="Q94" s="49"/>
      <c r="R94" s="75" t="s">
        <v>175</v>
      </c>
      <c r="S94" s="33" t="s">
        <v>92</v>
      </c>
      <c r="T94" s="33" t="s">
        <v>93</v>
      </c>
      <c r="U94" s="78">
        <v>100</v>
      </c>
      <c r="V94" s="33" t="s">
        <v>94</v>
      </c>
      <c r="W94" s="33" t="s">
        <v>95</v>
      </c>
      <c r="X94" s="33">
        <v>2024</v>
      </c>
      <c r="Y94" s="33" t="s">
        <v>117</v>
      </c>
      <c r="Z94" s="33" t="s">
        <v>97</v>
      </c>
      <c r="AA94" s="33" t="s">
        <v>1011</v>
      </c>
      <c r="AB94" s="49" t="s">
        <v>99</v>
      </c>
      <c r="AC94" s="48" t="s">
        <v>1012</v>
      </c>
      <c r="AD94" s="79" t="s">
        <v>1013</v>
      </c>
      <c r="AE94" s="6" t="s">
        <v>1014</v>
      </c>
      <c r="AF94" s="6" t="s">
        <v>121</v>
      </c>
      <c r="AG94" s="6" t="s">
        <v>667</v>
      </c>
      <c r="AH94" s="6" t="s">
        <v>123</v>
      </c>
      <c r="AI94" s="6" t="s">
        <v>1015</v>
      </c>
      <c r="AJ94" s="6" t="s">
        <v>1016</v>
      </c>
      <c r="AK94" s="33" t="s">
        <v>97</v>
      </c>
      <c r="AL94" s="33" t="s">
        <v>97</v>
      </c>
      <c r="AM94" s="6" t="s">
        <v>1017</v>
      </c>
      <c r="AN94" s="6" t="s">
        <v>631</v>
      </c>
      <c r="AO94" s="6"/>
      <c r="AP94" s="6"/>
      <c r="AQ94" s="6" t="s">
        <v>982</v>
      </c>
      <c r="AR94" s="20" t="s">
        <v>97</v>
      </c>
      <c r="AS94" s="20" t="s">
        <v>107</v>
      </c>
      <c r="AT94" s="20"/>
      <c r="AU94" s="24">
        <v>0.95</v>
      </c>
      <c r="AV94" s="24">
        <f t="shared" si="14"/>
        <v>0.76</v>
      </c>
      <c r="AW94" s="24">
        <f t="shared" si="15"/>
        <v>0.56999999999999995</v>
      </c>
      <c r="AX94" s="25">
        <v>1E-4</v>
      </c>
      <c r="AY94" s="24">
        <v>0</v>
      </c>
      <c r="AZ94" s="24">
        <f t="shared" si="16"/>
        <v>0.85499999999999998</v>
      </c>
      <c r="BA94" s="24">
        <f t="shared" si="17"/>
        <v>0.68400000000000005</v>
      </c>
      <c r="BB94" s="24">
        <f t="shared" si="18"/>
        <v>0.51300000000000001</v>
      </c>
      <c r="BC94" s="25">
        <v>1E-4</v>
      </c>
      <c r="BD94" s="24">
        <v>0</v>
      </c>
      <c r="BE94" s="26">
        <v>0</v>
      </c>
      <c r="BF94" s="34">
        <f t="shared" si="12"/>
        <v>0</v>
      </c>
      <c r="BG94" s="34">
        <f t="shared" si="13"/>
        <v>0</v>
      </c>
      <c r="BH94" s="26">
        <v>0</v>
      </c>
      <c r="BI94" s="26">
        <v>0</v>
      </c>
      <c r="BJ94" s="20" t="s">
        <v>496</v>
      </c>
      <c r="BK94" s="27" t="s">
        <v>496</v>
      </c>
      <c r="BL94" s="27" t="s">
        <v>1018</v>
      </c>
      <c r="BM94" s="27" t="s">
        <v>1019</v>
      </c>
      <c r="BN94" s="26"/>
      <c r="BO94" s="34"/>
      <c r="BP94" s="34"/>
      <c r="BQ94" s="34"/>
      <c r="BR94" s="34"/>
      <c r="BS94" s="34"/>
      <c r="BT94" s="34"/>
      <c r="BU94" s="34"/>
      <c r="BV94" s="34"/>
      <c r="BW94" s="34"/>
      <c r="BX94" s="34"/>
      <c r="BY94" s="34"/>
      <c r="BZ94" s="34"/>
      <c r="CA94" s="20"/>
      <c r="CB94" s="20"/>
      <c r="CC94" s="29">
        <v>46003</v>
      </c>
      <c r="CD94" s="11" t="s">
        <v>997</v>
      </c>
    </row>
    <row r="95" spans="1:82" s="18" customFormat="1" ht="66.75" customHeight="1" x14ac:dyDescent="0.25">
      <c r="A95" s="87">
        <v>91</v>
      </c>
      <c r="B95" s="141" t="s">
        <v>1020</v>
      </c>
      <c r="C95" s="6" t="s">
        <v>1021</v>
      </c>
      <c r="D95" s="6" t="s">
        <v>1022</v>
      </c>
      <c r="E95" s="75" t="s">
        <v>174</v>
      </c>
      <c r="F95" s="4" t="s">
        <v>81</v>
      </c>
      <c r="G95" s="33" t="s">
        <v>84</v>
      </c>
      <c r="H95" s="49" t="s">
        <v>775</v>
      </c>
      <c r="I95" s="49" t="s">
        <v>578</v>
      </c>
      <c r="J95" s="6"/>
      <c r="K95" s="49"/>
      <c r="L95" s="49"/>
      <c r="M95" s="49" t="s">
        <v>88</v>
      </c>
      <c r="N95" s="49" t="s">
        <v>89</v>
      </c>
      <c r="O95" s="49" t="s">
        <v>579</v>
      </c>
      <c r="P95" s="6" t="s">
        <v>580</v>
      </c>
      <c r="Q95" s="49"/>
      <c r="R95" s="75" t="s">
        <v>91</v>
      </c>
      <c r="S95" s="33" t="s">
        <v>92</v>
      </c>
      <c r="T95" s="33" t="s">
        <v>93</v>
      </c>
      <c r="U95" s="78">
        <v>100</v>
      </c>
      <c r="V95" s="33" t="s">
        <v>94</v>
      </c>
      <c r="W95" s="33" t="s">
        <v>95</v>
      </c>
      <c r="X95" s="33">
        <v>2021</v>
      </c>
      <c r="Y95" s="33" t="s">
        <v>117</v>
      </c>
      <c r="Z95" s="33" t="s">
        <v>97</v>
      </c>
      <c r="AA95" s="33" t="s">
        <v>973</v>
      </c>
      <c r="AB95" s="49" t="s">
        <v>99</v>
      </c>
      <c r="AC95" s="48" t="s">
        <v>1023</v>
      </c>
      <c r="AD95" s="79" t="s">
        <v>1024</v>
      </c>
      <c r="AE95" s="6" t="s">
        <v>1025</v>
      </c>
      <c r="AF95" s="6" t="s">
        <v>121</v>
      </c>
      <c r="AG95" s="6" t="s">
        <v>218</v>
      </c>
      <c r="AH95" s="6" t="s">
        <v>123</v>
      </c>
      <c r="AI95" s="6" t="s">
        <v>1026</v>
      </c>
      <c r="AJ95" s="6" t="s">
        <v>1027</v>
      </c>
      <c r="AK95" s="33" t="s">
        <v>97</v>
      </c>
      <c r="AL95" s="33" t="s">
        <v>97</v>
      </c>
      <c r="AM95" s="5" t="s">
        <v>1028</v>
      </c>
      <c r="AN95" s="6" t="s">
        <v>1029</v>
      </c>
      <c r="AO95" s="6" t="s">
        <v>1030</v>
      </c>
      <c r="AP95" s="6" t="s">
        <v>1031</v>
      </c>
      <c r="AQ95" s="6" t="s">
        <v>982</v>
      </c>
      <c r="AR95" s="20" t="s">
        <v>97</v>
      </c>
      <c r="AS95" s="20" t="s">
        <v>107</v>
      </c>
      <c r="AT95" s="7"/>
      <c r="AU95" s="24">
        <v>0.5</v>
      </c>
      <c r="AV95" s="24">
        <f t="shared" si="14"/>
        <v>0.4</v>
      </c>
      <c r="AW95" s="24">
        <f t="shared" si="15"/>
        <v>0.3</v>
      </c>
      <c r="AX95" s="25">
        <v>1E-4</v>
      </c>
      <c r="AY95" s="24">
        <v>0</v>
      </c>
      <c r="AZ95" s="24">
        <f t="shared" si="16"/>
        <v>0.45</v>
      </c>
      <c r="BA95" s="24">
        <f t="shared" si="17"/>
        <v>0.36000000000000004</v>
      </c>
      <c r="BB95" s="24">
        <f t="shared" si="18"/>
        <v>0.27</v>
      </c>
      <c r="BC95" s="25">
        <v>1E-4</v>
      </c>
      <c r="BD95" s="24">
        <v>0</v>
      </c>
      <c r="BE95" s="34">
        <v>5</v>
      </c>
      <c r="BF95" s="34">
        <f t="shared" si="12"/>
        <v>4</v>
      </c>
      <c r="BG95" s="34">
        <f t="shared" si="13"/>
        <v>3</v>
      </c>
      <c r="BH95" s="26">
        <v>1</v>
      </c>
      <c r="BI95" s="26">
        <v>0</v>
      </c>
      <c r="BJ95" s="27">
        <v>0.316</v>
      </c>
      <c r="BK95" s="27">
        <v>0.45795769759808397</v>
      </c>
      <c r="BL95" s="27" t="s">
        <v>1032</v>
      </c>
      <c r="BM95" s="27" t="s">
        <v>1033</v>
      </c>
      <c r="BN95" s="26"/>
      <c r="BO95" s="34"/>
      <c r="BP95" s="34"/>
      <c r="BQ95" s="34"/>
      <c r="BR95" s="34"/>
      <c r="BS95" s="34"/>
      <c r="BT95" s="34"/>
      <c r="BU95" s="34"/>
      <c r="BV95" s="34"/>
      <c r="BW95" s="34"/>
      <c r="BX95" s="34"/>
      <c r="BY95" s="34"/>
      <c r="BZ95" s="34">
        <v>1</v>
      </c>
      <c r="CA95" s="20" t="s">
        <v>578</v>
      </c>
      <c r="CB95" s="20" t="s">
        <v>578</v>
      </c>
      <c r="CC95" s="29">
        <v>45945</v>
      </c>
      <c r="CD95" s="11" t="s">
        <v>1034</v>
      </c>
    </row>
    <row r="96" spans="1:82" s="18" customFormat="1" ht="66.75" customHeight="1" x14ac:dyDescent="0.25">
      <c r="A96" s="87">
        <v>92</v>
      </c>
      <c r="B96" s="141" t="s">
        <v>1035</v>
      </c>
      <c r="C96" s="6" t="s">
        <v>1036</v>
      </c>
      <c r="D96" s="6" t="s">
        <v>1037</v>
      </c>
      <c r="E96" s="75" t="s">
        <v>174</v>
      </c>
      <c r="F96" s="4" t="s">
        <v>81</v>
      </c>
      <c r="G96" s="33" t="s">
        <v>84</v>
      </c>
      <c r="H96" s="49" t="s">
        <v>775</v>
      </c>
      <c r="I96" s="49" t="s">
        <v>578</v>
      </c>
      <c r="J96" s="6"/>
      <c r="K96" s="49"/>
      <c r="L96" s="49"/>
      <c r="M96" s="49" t="s">
        <v>88</v>
      </c>
      <c r="N96" s="49" t="s">
        <v>89</v>
      </c>
      <c r="O96" s="49" t="s">
        <v>579</v>
      </c>
      <c r="P96" s="6" t="s">
        <v>580</v>
      </c>
      <c r="Q96" s="49"/>
      <c r="R96" s="75" t="s">
        <v>91</v>
      </c>
      <c r="S96" s="33" t="s">
        <v>92</v>
      </c>
      <c r="T96" s="33" t="s">
        <v>93</v>
      </c>
      <c r="U96" s="78">
        <v>100</v>
      </c>
      <c r="V96" s="33" t="s">
        <v>94</v>
      </c>
      <c r="W96" s="33" t="s">
        <v>95</v>
      </c>
      <c r="X96" s="33">
        <v>2021</v>
      </c>
      <c r="Y96" s="33" t="s">
        <v>117</v>
      </c>
      <c r="Z96" s="33" t="s">
        <v>97</v>
      </c>
      <c r="AA96" s="33" t="s">
        <v>973</v>
      </c>
      <c r="AB96" s="49" t="s">
        <v>99</v>
      </c>
      <c r="AC96" s="48" t="s">
        <v>1038</v>
      </c>
      <c r="AD96" s="48" t="s">
        <v>1039</v>
      </c>
      <c r="AE96" s="6" t="s">
        <v>1040</v>
      </c>
      <c r="AF96" s="6" t="s">
        <v>1041</v>
      </c>
      <c r="AG96" s="6" t="s">
        <v>1042</v>
      </c>
      <c r="AH96" s="6" t="s">
        <v>1043</v>
      </c>
      <c r="AI96" s="6" t="s">
        <v>1044</v>
      </c>
      <c r="AJ96" s="6" t="s">
        <v>1045</v>
      </c>
      <c r="AK96" s="33" t="s">
        <v>97</v>
      </c>
      <c r="AL96" s="33" t="s">
        <v>97</v>
      </c>
      <c r="AM96" s="5"/>
      <c r="AN96" s="6" t="s">
        <v>631</v>
      </c>
      <c r="AO96" s="6"/>
      <c r="AP96" s="6"/>
      <c r="AQ96" s="49" t="s">
        <v>1046</v>
      </c>
      <c r="AR96" s="20" t="s">
        <v>97</v>
      </c>
      <c r="AS96" s="20" t="s">
        <v>107</v>
      </c>
      <c r="AT96" s="20"/>
      <c r="AU96" s="41">
        <v>0.85</v>
      </c>
      <c r="AV96" s="24">
        <f t="shared" si="14"/>
        <v>0.68</v>
      </c>
      <c r="AW96" s="24">
        <f t="shared" si="15"/>
        <v>0.51</v>
      </c>
      <c r="AX96" s="25">
        <v>1E-4</v>
      </c>
      <c r="AY96" s="24">
        <v>0</v>
      </c>
      <c r="AZ96" s="24">
        <f t="shared" si="16"/>
        <v>0.76500000000000001</v>
      </c>
      <c r="BA96" s="24">
        <f t="shared" si="17"/>
        <v>0.6120000000000001</v>
      </c>
      <c r="BB96" s="24">
        <f t="shared" si="18"/>
        <v>0.45899999999999996</v>
      </c>
      <c r="BC96" s="25">
        <v>1E-4</v>
      </c>
      <c r="BD96" s="24">
        <v>0</v>
      </c>
      <c r="BE96" s="34">
        <v>15</v>
      </c>
      <c r="BF96" s="34">
        <f t="shared" si="12"/>
        <v>12</v>
      </c>
      <c r="BG96" s="34">
        <f t="shared" si="13"/>
        <v>9</v>
      </c>
      <c r="BH96" s="26">
        <v>1</v>
      </c>
      <c r="BI96" s="26">
        <v>0</v>
      </c>
      <c r="BJ96" s="27">
        <v>0.68300000000000005</v>
      </c>
      <c r="BK96" s="27">
        <v>0.72163088580191237</v>
      </c>
      <c r="BL96" s="27" t="s">
        <v>1047</v>
      </c>
      <c r="BM96" s="27" t="s">
        <v>531</v>
      </c>
      <c r="BN96" s="26"/>
      <c r="BO96" s="34"/>
      <c r="BP96" s="34"/>
      <c r="BQ96" s="34"/>
      <c r="BR96" s="34"/>
      <c r="BS96" s="34"/>
      <c r="BT96" s="34"/>
      <c r="BU96" s="34"/>
      <c r="BV96" s="34"/>
      <c r="BW96" s="34"/>
      <c r="BX96" s="34"/>
      <c r="BY96" s="34"/>
      <c r="BZ96" s="34">
        <v>1</v>
      </c>
      <c r="CA96" s="20" t="s">
        <v>240</v>
      </c>
      <c r="CB96" s="20" t="s">
        <v>240</v>
      </c>
      <c r="CC96" s="46">
        <v>46006</v>
      </c>
      <c r="CD96" s="30" t="s">
        <v>1048</v>
      </c>
    </row>
    <row r="97" spans="1:82" s="18" customFormat="1" ht="66.75" customHeight="1" x14ac:dyDescent="0.25">
      <c r="A97" s="121">
        <v>93</v>
      </c>
      <c r="B97" s="141" t="s">
        <v>1049</v>
      </c>
      <c r="C97" s="6" t="s">
        <v>1050</v>
      </c>
      <c r="D97" s="6" t="s">
        <v>1051</v>
      </c>
      <c r="E97" s="75" t="s">
        <v>113</v>
      </c>
      <c r="F97" s="4" t="s">
        <v>81</v>
      </c>
      <c r="G97" s="33" t="s">
        <v>84</v>
      </c>
      <c r="H97" s="49" t="s">
        <v>775</v>
      </c>
      <c r="I97" s="49" t="s">
        <v>578</v>
      </c>
      <c r="J97" s="6"/>
      <c r="K97" s="49"/>
      <c r="L97" s="49"/>
      <c r="M97" s="49" t="s">
        <v>88</v>
      </c>
      <c r="N97" s="49" t="s">
        <v>89</v>
      </c>
      <c r="O97" s="49" t="s">
        <v>579</v>
      </c>
      <c r="P97" s="6" t="s">
        <v>580</v>
      </c>
      <c r="Q97" s="49"/>
      <c r="R97" s="75" t="s">
        <v>91</v>
      </c>
      <c r="S97" s="33" t="s">
        <v>92</v>
      </c>
      <c r="T97" s="33" t="s">
        <v>93</v>
      </c>
      <c r="U97" s="78">
        <v>100</v>
      </c>
      <c r="V97" s="33" t="s">
        <v>94</v>
      </c>
      <c r="W97" s="33" t="s">
        <v>95</v>
      </c>
      <c r="X97" s="33">
        <v>2022</v>
      </c>
      <c r="Y97" s="33" t="s">
        <v>117</v>
      </c>
      <c r="Z97" s="33" t="s">
        <v>97</v>
      </c>
      <c r="AA97" s="33" t="s">
        <v>973</v>
      </c>
      <c r="AB97" s="49" t="s">
        <v>99</v>
      </c>
      <c r="AC97" s="48" t="s">
        <v>1052</v>
      </c>
      <c r="AD97" s="48" t="s">
        <v>1053</v>
      </c>
      <c r="AE97" s="6" t="s">
        <v>1054</v>
      </c>
      <c r="AF97" s="6" t="s">
        <v>1041</v>
      </c>
      <c r="AG97" s="6" t="s">
        <v>1055</v>
      </c>
      <c r="AH97" s="6" t="s">
        <v>1056</v>
      </c>
      <c r="AI97" s="6" t="s">
        <v>1057</v>
      </c>
      <c r="AJ97" s="6" t="s">
        <v>1058</v>
      </c>
      <c r="AK97" s="33" t="s">
        <v>97</v>
      </c>
      <c r="AL97" s="33" t="s">
        <v>97</v>
      </c>
      <c r="AM97" s="5" t="s">
        <v>641</v>
      </c>
      <c r="AN97" s="6" t="s">
        <v>631</v>
      </c>
      <c r="AO97" s="6"/>
      <c r="AP97" s="6"/>
      <c r="AQ97" s="49" t="s">
        <v>1046</v>
      </c>
      <c r="AR97" s="20" t="s">
        <v>97</v>
      </c>
      <c r="AS97" s="20" t="s">
        <v>107</v>
      </c>
      <c r="AT97" s="20"/>
      <c r="AU97" s="24">
        <v>0.9</v>
      </c>
      <c r="AV97" s="24">
        <f t="shared" si="14"/>
        <v>0.72000000000000008</v>
      </c>
      <c r="AW97" s="24">
        <f t="shared" si="15"/>
        <v>0.54</v>
      </c>
      <c r="AX97" s="25">
        <v>1E-4</v>
      </c>
      <c r="AY97" s="24">
        <v>0</v>
      </c>
      <c r="AZ97" s="24">
        <f t="shared" si="16"/>
        <v>0.81</v>
      </c>
      <c r="BA97" s="24">
        <f t="shared" si="17"/>
        <v>0.64800000000000013</v>
      </c>
      <c r="BB97" s="24">
        <f t="shared" si="18"/>
        <v>0.48599999999999999</v>
      </c>
      <c r="BC97" s="25">
        <v>1E-4</v>
      </c>
      <c r="BD97" s="24">
        <v>0</v>
      </c>
      <c r="BE97" s="26">
        <v>0</v>
      </c>
      <c r="BF97" s="34">
        <f t="shared" si="12"/>
        <v>0</v>
      </c>
      <c r="BG97" s="34">
        <f t="shared" si="13"/>
        <v>0</v>
      </c>
      <c r="BH97" s="26">
        <v>0</v>
      </c>
      <c r="BI97" s="26">
        <v>0</v>
      </c>
      <c r="BJ97" s="20" t="s">
        <v>496</v>
      </c>
      <c r="BK97" s="27">
        <v>0.55377292683927615</v>
      </c>
      <c r="BL97" s="27" t="s">
        <v>1059</v>
      </c>
      <c r="BM97" s="27" t="s">
        <v>1060</v>
      </c>
      <c r="BN97" s="26"/>
      <c r="BO97" s="34"/>
      <c r="BP97" s="34"/>
      <c r="BQ97" s="34"/>
      <c r="BR97" s="34"/>
      <c r="BS97" s="34"/>
      <c r="BT97" s="34"/>
      <c r="BU97" s="34"/>
      <c r="BV97" s="34"/>
      <c r="BW97" s="34"/>
      <c r="BX97" s="34"/>
      <c r="BY97" s="34"/>
      <c r="BZ97" s="34"/>
      <c r="CA97" s="20"/>
      <c r="CB97" s="20"/>
      <c r="CC97" s="29">
        <v>46003</v>
      </c>
      <c r="CD97" s="35" t="s">
        <v>634</v>
      </c>
    </row>
    <row r="98" spans="1:82" s="18" customFormat="1" ht="66.75" customHeight="1" x14ac:dyDescent="0.25">
      <c r="A98" s="87">
        <v>94</v>
      </c>
      <c r="B98" s="144" t="s">
        <v>1061</v>
      </c>
      <c r="C98" s="11" t="s">
        <v>1062</v>
      </c>
      <c r="D98" s="11" t="s">
        <v>1063</v>
      </c>
      <c r="E98" s="75" t="s">
        <v>113</v>
      </c>
      <c r="F98" s="19" t="s">
        <v>81</v>
      </c>
      <c r="G98" s="20" t="s">
        <v>84</v>
      </c>
      <c r="H98" s="20" t="s">
        <v>775</v>
      </c>
      <c r="I98" s="20" t="s">
        <v>578</v>
      </c>
      <c r="J98" s="7"/>
      <c r="K98" s="20"/>
      <c r="L98" s="20"/>
      <c r="M98" s="20" t="s">
        <v>88</v>
      </c>
      <c r="N98" s="20" t="s">
        <v>89</v>
      </c>
      <c r="O98" s="20" t="s">
        <v>579</v>
      </c>
      <c r="P98" s="7" t="s">
        <v>580</v>
      </c>
      <c r="Q98" s="20"/>
      <c r="R98" s="20" t="s">
        <v>91</v>
      </c>
      <c r="S98" s="33" t="s">
        <v>92</v>
      </c>
      <c r="T98" s="20" t="s">
        <v>93</v>
      </c>
      <c r="U98" s="20">
        <v>100</v>
      </c>
      <c r="V98" s="20" t="s">
        <v>94</v>
      </c>
      <c r="W98" s="20" t="s">
        <v>95</v>
      </c>
      <c r="X98" s="20">
        <v>2022</v>
      </c>
      <c r="Y98" s="20" t="s">
        <v>117</v>
      </c>
      <c r="Z98" s="20" t="s">
        <v>97</v>
      </c>
      <c r="AA98" s="20" t="s">
        <v>973</v>
      </c>
      <c r="AB98" s="20" t="s">
        <v>99</v>
      </c>
      <c r="AC98" s="7" t="s">
        <v>1064</v>
      </c>
      <c r="AD98" s="7" t="s">
        <v>1065</v>
      </c>
      <c r="AE98" s="7" t="s">
        <v>1066</v>
      </c>
      <c r="AF98" s="7" t="s">
        <v>1067</v>
      </c>
      <c r="AG98" s="7" t="s">
        <v>218</v>
      </c>
      <c r="AH98" s="7" t="s">
        <v>1068</v>
      </c>
      <c r="AI98" s="7" t="s">
        <v>1069</v>
      </c>
      <c r="AJ98" s="7" t="s">
        <v>1070</v>
      </c>
      <c r="AK98" s="20" t="s">
        <v>97</v>
      </c>
      <c r="AL98" s="20" t="s">
        <v>97</v>
      </c>
      <c r="AM98" s="7" t="s">
        <v>1071</v>
      </c>
      <c r="AN98" s="7" t="s">
        <v>470</v>
      </c>
      <c r="AO98" s="7" t="s">
        <v>781</v>
      </c>
      <c r="AP98" s="7" t="s">
        <v>781</v>
      </c>
      <c r="AQ98" s="20" t="s">
        <v>1046</v>
      </c>
      <c r="AR98" s="20" t="s">
        <v>97</v>
      </c>
      <c r="AS98" s="20" t="s">
        <v>107</v>
      </c>
      <c r="AT98" s="20"/>
      <c r="AU98" s="59">
        <v>0.75</v>
      </c>
      <c r="AV98" s="24">
        <f t="shared" si="14"/>
        <v>0.60000000000000009</v>
      </c>
      <c r="AW98" s="24">
        <f t="shared" si="15"/>
        <v>0.44999999999999996</v>
      </c>
      <c r="AX98" s="25">
        <v>1E-4</v>
      </c>
      <c r="AY98" s="24">
        <v>0</v>
      </c>
      <c r="AZ98" s="24">
        <f t="shared" si="16"/>
        <v>0.67500000000000004</v>
      </c>
      <c r="BA98" s="24">
        <f t="shared" si="17"/>
        <v>0.54</v>
      </c>
      <c r="BB98" s="24">
        <f t="shared" si="18"/>
        <v>0.40500000000000003</v>
      </c>
      <c r="BC98" s="25">
        <v>1E-4</v>
      </c>
      <c r="BD98" s="24">
        <v>0</v>
      </c>
      <c r="BE98" s="26">
        <v>0</v>
      </c>
      <c r="BF98" s="34">
        <f t="shared" si="12"/>
        <v>0</v>
      </c>
      <c r="BG98" s="34">
        <f t="shared" si="13"/>
        <v>0</v>
      </c>
      <c r="BH98" s="26">
        <v>0</v>
      </c>
      <c r="BI98" s="26">
        <v>0</v>
      </c>
      <c r="BJ98" s="20" t="s">
        <v>496</v>
      </c>
      <c r="BK98" s="27">
        <v>0.72838616714697402</v>
      </c>
      <c r="BL98" s="27" t="s">
        <v>1072</v>
      </c>
      <c r="BM98" s="27" t="s">
        <v>1073</v>
      </c>
      <c r="BN98" s="26"/>
      <c r="BO98" s="34"/>
      <c r="BP98" s="34"/>
      <c r="BQ98" s="34"/>
      <c r="BR98" s="34"/>
      <c r="BS98" s="34"/>
      <c r="BT98" s="34"/>
      <c r="BU98" s="34"/>
      <c r="BV98" s="34"/>
      <c r="BW98" s="34"/>
      <c r="BX98" s="34"/>
      <c r="BY98" s="34"/>
      <c r="BZ98" s="34"/>
      <c r="CA98" s="20"/>
      <c r="CB98" s="33"/>
      <c r="CC98" s="29">
        <v>46003</v>
      </c>
      <c r="CD98" s="36" t="s">
        <v>1074</v>
      </c>
    </row>
    <row r="99" spans="1:82" s="18" customFormat="1" ht="66.75" customHeight="1" x14ac:dyDescent="0.25">
      <c r="A99" s="87">
        <v>95</v>
      </c>
      <c r="B99" s="144" t="s">
        <v>1075</v>
      </c>
      <c r="C99" s="11" t="s">
        <v>1076</v>
      </c>
      <c r="D99" s="11" t="s">
        <v>1077</v>
      </c>
      <c r="E99" s="75" t="s">
        <v>174</v>
      </c>
      <c r="F99" s="19" t="s">
        <v>81</v>
      </c>
      <c r="G99" s="20" t="s">
        <v>84</v>
      </c>
      <c r="H99" s="20" t="s">
        <v>775</v>
      </c>
      <c r="I99" s="20" t="s">
        <v>578</v>
      </c>
      <c r="J99" s="7"/>
      <c r="K99" s="20"/>
      <c r="L99" s="20"/>
      <c r="M99" s="20" t="s">
        <v>88</v>
      </c>
      <c r="N99" s="20" t="s">
        <v>89</v>
      </c>
      <c r="O99" s="20" t="s">
        <v>579</v>
      </c>
      <c r="P99" s="7" t="s">
        <v>580</v>
      </c>
      <c r="Q99" s="20"/>
      <c r="R99" s="20" t="s">
        <v>91</v>
      </c>
      <c r="S99" s="33" t="s">
        <v>92</v>
      </c>
      <c r="T99" s="20" t="s">
        <v>93</v>
      </c>
      <c r="U99" s="20">
        <v>100</v>
      </c>
      <c r="V99" s="20" t="s">
        <v>94</v>
      </c>
      <c r="W99" s="20" t="s">
        <v>95</v>
      </c>
      <c r="X99" s="20">
        <v>2022</v>
      </c>
      <c r="Y99" s="20" t="s">
        <v>117</v>
      </c>
      <c r="Z99" s="20" t="s">
        <v>97</v>
      </c>
      <c r="AA99" s="20" t="s">
        <v>973</v>
      </c>
      <c r="AB99" s="20" t="s">
        <v>99</v>
      </c>
      <c r="AC99" s="7" t="s">
        <v>1078</v>
      </c>
      <c r="AD99" s="20" t="s">
        <v>1065</v>
      </c>
      <c r="AE99" s="7" t="s">
        <v>1066</v>
      </c>
      <c r="AF99" s="7" t="s">
        <v>1067</v>
      </c>
      <c r="AG99" s="7" t="s">
        <v>218</v>
      </c>
      <c r="AH99" s="7" t="s">
        <v>1068</v>
      </c>
      <c r="AI99" s="7" t="s">
        <v>1079</v>
      </c>
      <c r="AJ99" s="7" t="s">
        <v>1080</v>
      </c>
      <c r="AK99" s="20" t="s">
        <v>97</v>
      </c>
      <c r="AL99" s="20" t="s">
        <v>97</v>
      </c>
      <c r="AM99" s="7" t="s">
        <v>1081</v>
      </c>
      <c r="AN99" s="7" t="s">
        <v>781</v>
      </c>
      <c r="AO99" s="7" t="s">
        <v>1082</v>
      </c>
      <c r="AP99" s="7" t="s">
        <v>1083</v>
      </c>
      <c r="AQ99" s="20" t="s">
        <v>1046</v>
      </c>
      <c r="AR99" s="20" t="s">
        <v>97</v>
      </c>
      <c r="AS99" s="20" t="s">
        <v>107</v>
      </c>
      <c r="AT99" s="20"/>
      <c r="AU99" s="24">
        <v>0.6</v>
      </c>
      <c r="AV99" s="59">
        <v>0.56000000000000005</v>
      </c>
      <c r="AW99" s="59">
        <v>0.42</v>
      </c>
      <c r="AX99" s="20" t="s">
        <v>1084</v>
      </c>
      <c r="AY99" s="59">
        <v>0</v>
      </c>
      <c r="AZ99" s="24">
        <f t="shared" si="16"/>
        <v>0.54</v>
      </c>
      <c r="BA99" s="24">
        <f t="shared" si="17"/>
        <v>0.43200000000000005</v>
      </c>
      <c r="BB99" s="24">
        <f t="shared" si="18"/>
        <v>0.32400000000000001</v>
      </c>
      <c r="BC99" s="25">
        <v>1E-4</v>
      </c>
      <c r="BD99" s="24">
        <v>0</v>
      </c>
      <c r="BE99" s="20">
        <v>5</v>
      </c>
      <c r="BF99" s="34">
        <f t="shared" si="12"/>
        <v>4</v>
      </c>
      <c r="BG99" s="34">
        <f t="shared" si="13"/>
        <v>3</v>
      </c>
      <c r="BH99" s="26">
        <v>1</v>
      </c>
      <c r="BI99" s="20">
        <v>0</v>
      </c>
      <c r="BJ99" s="20" t="s">
        <v>496</v>
      </c>
      <c r="BK99" s="27">
        <v>0.58167753678143486</v>
      </c>
      <c r="BL99" s="27" t="s">
        <v>1085</v>
      </c>
      <c r="BM99" s="27" t="s">
        <v>1086</v>
      </c>
      <c r="BN99" s="26"/>
      <c r="BO99" s="34"/>
      <c r="BP99" s="34"/>
      <c r="BQ99" s="34"/>
      <c r="BR99" s="34"/>
      <c r="BS99" s="34"/>
      <c r="BT99" s="34"/>
      <c r="BU99" s="34"/>
      <c r="BV99" s="34"/>
      <c r="BW99" s="34"/>
      <c r="BX99" s="34"/>
      <c r="BY99" s="34"/>
      <c r="BZ99" s="34"/>
      <c r="CA99" s="20"/>
      <c r="CB99" s="33"/>
      <c r="CC99" s="29">
        <v>46003</v>
      </c>
      <c r="CD99" s="11" t="s">
        <v>1087</v>
      </c>
    </row>
    <row r="100" spans="1:82" s="18" customFormat="1" ht="66.75" customHeight="1" x14ac:dyDescent="0.25">
      <c r="A100" s="121">
        <v>96</v>
      </c>
      <c r="B100" s="141" t="s">
        <v>1088</v>
      </c>
      <c r="C100" s="6" t="s">
        <v>1089</v>
      </c>
      <c r="D100" s="6" t="s">
        <v>1090</v>
      </c>
      <c r="E100" s="75" t="s">
        <v>174</v>
      </c>
      <c r="F100" s="4" t="s">
        <v>81</v>
      </c>
      <c r="G100" s="33" t="s">
        <v>84</v>
      </c>
      <c r="H100" s="49" t="s">
        <v>463</v>
      </c>
      <c r="I100" s="49" t="s">
        <v>578</v>
      </c>
      <c r="J100" s="6"/>
      <c r="K100" s="49"/>
      <c r="L100" s="49"/>
      <c r="M100" s="49" t="s">
        <v>88</v>
      </c>
      <c r="N100" s="49" t="s">
        <v>89</v>
      </c>
      <c r="O100" s="49" t="s">
        <v>579</v>
      </c>
      <c r="P100" s="6" t="s">
        <v>580</v>
      </c>
      <c r="Q100" s="49"/>
      <c r="R100" s="75" t="s">
        <v>91</v>
      </c>
      <c r="S100" s="33" t="s">
        <v>92</v>
      </c>
      <c r="T100" s="33" t="s">
        <v>93</v>
      </c>
      <c r="U100" s="78">
        <v>100</v>
      </c>
      <c r="V100" s="33" t="s">
        <v>94</v>
      </c>
      <c r="W100" s="33" t="s">
        <v>95</v>
      </c>
      <c r="X100" s="33">
        <v>2021</v>
      </c>
      <c r="Y100" s="33" t="s">
        <v>117</v>
      </c>
      <c r="Z100" s="33" t="s">
        <v>97</v>
      </c>
      <c r="AA100" s="33" t="s">
        <v>98</v>
      </c>
      <c r="AB100" s="49" t="s">
        <v>99</v>
      </c>
      <c r="AC100" s="48" t="s">
        <v>1091</v>
      </c>
      <c r="AD100" s="79" t="s">
        <v>491</v>
      </c>
      <c r="AE100" s="6" t="s">
        <v>1092</v>
      </c>
      <c r="AF100" s="6" t="s">
        <v>121</v>
      </c>
      <c r="AG100" s="6" t="s">
        <v>1042</v>
      </c>
      <c r="AH100" s="6" t="s">
        <v>123</v>
      </c>
      <c r="AI100" s="6" t="s">
        <v>1093</v>
      </c>
      <c r="AJ100" s="6" t="s">
        <v>1094</v>
      </c>
      <c r="AK100" s="33" t="s">
        <v>97</v>
      </c>
      <c r="AL100" s="33" t="s">
        <v>97</v>
      </c>
      <c r="AM100" s="5" t="s">
        <v>1095</v>
      </c>
      <c r="AN100" s="6" t="s">
        <v>1096</v>
      </c>
      <c r="AO100" s="6" t="s">
        <v>1097</v>
      </c>
      <c r="AP100" s="6" t="s">
        <v>1098</v>
      </c>
      <c r="AQ100" s="6" t="s">
        <v>982</v>
      </c>
      <c r="AR100" s="20" t="s">
        <v>97</v>
      </c>
      <c r="AS100" s="20" t="s">
        <v>107</v>
      </c>
      <c r="AT100" s="20"/>
      <c r="AU100" s="24">
        <v>0.2</v>
      </c>
      <c r="AV100" s="24">
        <f t="shared" ref="AV100:AV131" si="19">+AU100*80%</f>
        <v>0.16000000000000003</v>
      </c>
      <c r="AW100" s="24">
        <f t="shared" ref="AW100:AW131" si="20">+AU100*60%</f>
        <v>0.12</v>
      </c>
      <c r="AX100" s="25">
        <v>1E-4</v>
      </c>
      <c r="AY100" s="24">
        <v>0</v>
      </c>
      <c r="AZ100" s="24">
        <f t="shared" si="16"/>
        <v>0.18000000000000002</v>
      </c>
      <c r="BA100" s="24">
        <f t="shared" si="17"/>
        <v>0.14400000000000002</v>
      </c>
      <c r="BB100" s="24">
        <f t="shared" si="18"/>
        <v>0.10800000000000001</v>
      </c>
      <c r="BC100" s="25">
        <v>1E-4</v>
      </c>
      <c r="BD100" s="24">
        <v>0</v>
      </c>
      <c r="BE100" s="34">
        <v>10</v>
      </c>
      <c r="BF100" s="34">
        <f t="shared" si="12"/>
        <v>8</v>
      </c>
      <c r="BG100" s="34">
        <f t="shared" si="13"/>
        <v>6</v>
      </c>
      <c r="BH100" s="26">
        <v>1</v>
      </c>
      <c r="BI100" s="26">
        <v>0</v>
      </c>
      <c r="BJ100" s="27">
        <v>0.14899999999999999</v>
      </c>
      <c r="BK100" s="27">
        <v>0.16497544614612994</v>
      </c>
      <c r="BL100" s="27" t="s">
        <v>1099</v>
      </c>
      <c r="BM100" s="27" t="s">
        <v>1100</v>
      </c>
      <c r="BN100" s="26"/>
      <c r="BO100" s="34"/>
      <c r="BP100" s="34"/>
      <c r="BQ100" s="34"/>
      <c r="BR100" s="34"/>
      <c r="BS100" s="34"/>
      <c r="BT100" s="34"/>
      <c r="BU100" s="34"/>
      <c r="BV100" s="34"/>
      <c r="BW100" s="34"/>
      <c r="BX100" s="34"/>
      <c r="BY100" s="34"/>
      <c r="BZ100" s="34">
        <v>1</v>
      </c>
      <c r="CA100" s="20" t="s">
        <v>578</v>
      </c>
      <c r="CB100" s="20" t="s">
        <v>578</v>
      </c>
      <c r="CC100" s="29">
        <v>46003</v>
      </c>
      <c r="CD100" s="11" t="s">
        <v>1101</v>
      </c>
    </row>
    <row r="101" spans="1:82" s="18" customFormat="1" ht="66.75" customHeight="1" x14ac:dyDescent="0.25">
      <c r="A101" s="87">
        <v>97</v>
      </c>
      <c r="B101" s="141" t="s">
        <v>1102</v>
      </c>
      <c r="C101" s="6" t="s">
        <v>1103</v>
      </c>
      <c r="D101" s="6" t="s">
        <v>1104</v>
      </c>
      <c r="E101" s="75" t="s">
        <v>113</v>
      </c>
      <c r="F101" s="4" t="s">
        <v>81</v>
      </c>
      <c r="G101" s="33" t="s">
        <v>84</v>
      </c>
      <c r="H101" s="49" t="s">
        <v>775</v>
      </c>
      <c r="I101" s="49" t="s">
        <v>578</v>
      </c>
      <c r="J101" s="6"/>
      <c r="K101" s="49"/>
      <c r="L101" s="49"/>
      <c r="M101" s="49" t="s">
        <v>88</v>
      </c>
      <c r="N101" s="49" t="s">
        <v>89</v>
      </c>
      <c r="O101" s="49" t="s">
        <v>579</v>
      </c>
      <c r="P101" s="6" t="s">
        <v>580</v>
      </c>
      <c r="Q101" s="49"/>
      <c r="R101" s="75" t="s">
        <v>91</v>
      </c>
      <c r="S101" s="33" t="s">
        <v>92</v>
      </c>
      <c r="T101" s="33" t="s">
        <v>93</v>
      </c>
      <c r="U101" s="78">
        <v>100</v>
      </c>
      <c r="V101" s="33" t="s">
        <v>94</v>
      </c>
      <c r="W101" s="33" t="s">
        <v>95</v>
      </c>
      <c r="X101" s="33">
        <v>2022</v>
      </c>
      <c r="Y101" s="33" t="s">
        <v>117</v>
      </c>
      <c r="Z101" s="33" t="s">
        <v>97</v>
      </c>
      <c r="AA101" s="33" t="s">
        <v>98</v>
      </c>
      <c r="AB101" s="49" t="s">
        <v>99</v>
      </c>
      <c r="AC101" s="48" t="s">
        <v>1105</v>
      </c>
      <c r="AD101" s="79" t="s">
        <v>1106</v>
      </c>
      <c r="AE101" s="6" t="s">
        <v>1054</v>
      </c>
      <c r="AF101" s="6" t="s">
        <v>1107</v>
      </c>
      <c r="AG101" s="6" t="s">
        <v>1055</v>
      </c>
      <c r="AH101" s="6" t="s">
        <v>123</v>
      </c>
      <c r="AI101" s="6" t="s">
        <v>1108</v>
      </c>
      <c r="AJ101" s="6" t="s">
        <v>1109</v>
      </c>
      <c r="AK101" s="33" t="s">
        <v>97</v>
      </c>
      <c r="AL101" s="33" t="s">
        <v>97</v>
      </c>
      <c r="AM101" s="5" t="s">
        <v>641</v>
      </c>
      <c r="AN101" s="6" t="s">
        <v>631</v>
      </c>
      <c r="AO101" s="6"/>
      <c r="AP101" s="6"/>
      <c r="AQ101" s="6" t="s">
        <v>982</v>
      </c>
      <c r="AR101" s="20" t="s">
        <v>97</v>
      </c>
      <c r="AS101" s="20" t="s">
        <v>107</v>
      </c>
      <c r="AT101" s="20"/>
      <c r="AU101" s="24">
        <v>0.95</v>
      </c>
      <c r="AV101" s="24">
        <f t="shared" si="19"/>
        <v>0.76</v>
      </c>
      <c r="AW101" s="24">
        <f t="shared" si="20"/>
        <v>0.56999999999999995</v>
      </c>
      <c r="AX101" s="25">
        <v>1E-4</v>
      </c>
      <c r="AY101" s="24">
        <v>0</v>
      </c>
      <c r="AZ101" s="24">
        <f t="shared" si="16"/>
        <v>0.85499999999999998</v>
      </c>
      <c r="BA101" s="24">
        <f t="shared" si="17"/>
        <v>0.68400000000000005</v>
      </c>
      <c r="BB101" s="24">
        <f t="shared" si="18"/>
        <v>0.51300000000000001</v>
      </c>
      <c r="BC101" s="25">
        <v>1E-4</v>
      </c>
      <c r="BD101" s="24">
        <v>0</v>
      </c>
      <c r="BE101" s="26">
        <v>0</v>
      </c>
      <c r="BF101" s="34">
        <f t="shared" si="12"/>
        <v>0</v>
      </c>
      <c r="BG101" s="34">
        <f t="shared" si="13"/>
        <v>0</v>
      </c>
      <c r="BH101" s="26">
        <v>0</v>
      </c>
      <c r="BI101" s="26">
        <v>0</v>
      </c>
      <c r="BJ101" s="20" t="s">
        <v>496</v>
      </c>
      <c r="BK101" s="27">
        <v>0.17220760992280232</v>
      </c>
      <c r="BL101" s="27" t="s">
        <v>1111</v>
      </c>
      <c r="BM101" s="27" t="s">
        <v>1112</v>
      </c>
      <c r="BN101" s="26"/>
      <c r="BO101" s="34"/>
      <c r="BP101" s="34"/>
      <c r="BQ101" s="34"/>
      <c r="BR101" s="34"/>
      <c r="BS101" s="34"/>
      <c r="BT101" s="34"/>
      <c r="BU101" s="34"/>
      <c r="BV101" s="34"/>
      <c r="BW101" s="34"/>
      <c r="BX101" s="34"/>
      <c r="BY101" s="34"/>
      <c r="BZ101" s="34"/>
      <c r="CA101" s="20"/>
      <c r="CB101" s="20"/>
      <c r="CC101" s="29">
        <v>46003</v>
      </c>
      <c r="CD101" s="11" t="s">
        <v>1113</v>
      </c>
    </row>
    <row r="102" spans="1:82" s="18" customFormat="1" ht="66.75" customHeight="1" x14ac:dyDescent="0.25">
      <c r="A102" s="87">
        <v>98</v>
      </c>
      <c r="B102" s="141" t="s">
        <v>1114</v>
      </c>
      <c r="C102" s="6" t="s">
        <v>1115</v>
      </c>
      <c r="D102" s="6" t="s">
        <v>1116</v>
      </c>
      <c r="E102" s="75" t="s">
        <v>113</v>
      </c>
      <c r="F102" s="4" t="s">
        <v>81</v>
      </c>
      <c r="G102" s="33" t="s">
        <v>84</v>
      </c>
      <c r="H102" s="49" t="s">
        <v>775</v>
      </c>
      <c r="I102" s="49" t="s">
        <v>578</v>
      </c>
      <c r="J102" s="6"/>
      <c r="K102" s="49"/>
      <c r="L102" s="49"/>
      <c r="M102" s="49" t="s">
        <v>88</v>
      </c>
      <c r="N102" s="49" t="s">
        <v>89</v>
      </c>
      <c r="O102" s="49" t="s">
        <v>579</v>
      </c>
      <c r="P102" s="6" t="s">
        <v>580</v>
      </c>
      <c r="Q102" s="49"/>
      <c r="R102" s="75" t="s">
        <v>91</v>
      </c>
      <c r="S102" s="33" t="s">
        <v>92</v>
      </c>
      <c r="T102" s="33" t="s">
        <v>93</v>
      </c>
      <c r="U102" s="78">
        <v>100</v>
      </c>
      <c r="V102" s="33" t="s">
        <v>94</v>
      </c>
      <c r="W102" s="33" t="s">
        <v>95</v>
      </c>
      <c r="X102" s="33">
        <v>2022</v>
      </c>
      <c r="Y102" s="33" t="s">
        <v>117</v>
      </c>
      <c r="Z102" s="33" t="s">
        <v>97</v>
      </c>
      <c r="AA102" s="33" t="s">
        <v>98</v>
      </c>
      <c r="AB102" s="49" t="s">
        <v>99</v>
      </c>
      <c r="AC102" s="48" t="s">
        <v>1117</v>
      </c>
      <c r="AD102" s="79" t="s">
        <v>1118</v>
      </c>
      <c r="AE102" s="6" t="s">
        <v>1054</v>
      </c>
      <c r="AF102" s="6" t="s">
        <v>1107</v>
      </c>
      <c r="AG102" s="6" t="s">
        <v>1055</v>
      </c>
      <c r="AH102" s="49" t="s">
        <v>123</v>
      </c>
      <c r="AI102" s="6" t="s">
        <v>1108</v>
      </c>
      <c r="AJ102" s="6" t="s">
        <v>1119</v>
      </c>
      <c r="AK102" s="33" t="s">
        <v>97</v>
      </c>
      <c r="AL102" s="33" t="s">
        <v>97</v>
      </c>
      <c r="AM102" s="5" t="s">
        <v>5539</v>
      </c>
      <c r="AN102" s="6" t="s">
        <v>631</v>
      </c>
      <c r="AO102" s="6"/>
      <c r="AP102" s="6"/>
      <c r="AQ102" s="6" t="s">
        <v>982</v>
      </c>
      <c r="AR102" s="20" t="s">
        <v>97</v>
      </c>
      <c r="AS102" s="20" t="s">
        <v>107</v>
      </c>
      <c r="AT102" s="20"/>
      <c r="AU102" s="24">
        <v>0.95</v>
      </c>
      <c r="AV102" s="24">
        <f t="shared" si="19"/>
        <v>0.76</v>
      </c>
      <c r="AW102" s="24">
        <f t="shared" si="20"/>
        <v>0.56999999999999995</v>
      </c>
      <c r="AX102" s="25">
        <v>1E-4</v>
      </c>
      <c r="AY102" s="24">
        <v>0</v>
      </c>
      <c r="AZ102" s="24">
        <f t="shared" si="16"/>
        <v>0.85499999999999998</v>
      </c>
      <c r="BA102" s="24">
        <f t="shared" si="17"/>
        <v>0.68400000000000005</v>
      </c>
      <c r="BB102" s="24">
        <f t="shared" si="18"/>
        <v>0.51300000000000001</v>
      </c>
      <c r="BC102" s="25">
        <v>1E-4</v>
      </c>
      <c r="BD102" s="24">
        <v>0</v>
      </c>
      <c r="BE102" s="26">
        <v>0</v>
      </c>
      <c r="BF102" s="34">
        <f t="shared" si="12"/>
        <v>0</v>
      </c>
      <c r="BG102" s="34">
        <f t="shared" si="13"/>
        <v>0</v>
      </c>
      <c r="BH102" s="26">
        <v>0</v>
      </c>
      <c r="BI102" s="26">
        <v>0</v>
      </c>
      <c r="BJ102" s="20" t="s">
        <v>496</v>
      </c>
      <c r="BK102" s="27">
        <v>0.24127949353380954</v>
      </c>
      <c r="BL102" s="27" t="s">
        <v>1120</v>
      </c>
      <c r="BM102" s="27" t="s">
        <v>1121</v>
      </c>
      <c r="BN102" s="26"/>
      <c r="BO102" s="34"/>
      <c r="BP102" s="34"/>
      <c r="BQ102" s="34"/>
      <c r="BR102" s="34"/>
      <c r="BS102" s="34"/>
      <c r="BT102" s="34"/>
      <c r="BU102" s="34"/>
      <c r="BV102" s="34"/>
      <c r="BW102" s="34"/>
      <c r="BX102" s="34"/>
      <c r="BY102" s="34"/>
      <c r="BZ102" s="34"/>
      <c r="CA102" s="20"/>
      <c r="CB102" s="20"/>
      <c r="CC102" s="29">
        <v>46003</v>
      </c>
      <c r="CD102" s="11" t="s">
        <v>1113</v>
      </c>
    </row>
    <row r="103" spans="1:82" s="18" customFormat="1" ht="66.75" customHeight="1" x14ac:dyDescent="0.25">
      <c r="A103" s="121">
        <v>99</v>
      </c>
      <c r="B103" s="141" t="s">
        <v>1122</v>
      </c>
      <c r="C103" s="6" t="s">
        <v>1123</v>
      </c>
      <c r="D103" s="6" t="s">
        <v>1124</v>
      </c>
      <c r="E103" s="75" t="s">
        <v>113</v>
      </c>
      <c r="F103" s="4" t="s">
        <v>81</v>
      </c>
      <c r="G103" s="33" t="s">
        <v>84</v>
      </c>
      <c r="H103" s="49" t="s">
        <v>775</v>
      </c>
      <c r="I103" s="49" t="s">
        <v>578</v>
      </c>
      <c r="J103" s="6"/>
      <c r="K103" s="49"/>
      <c r="L103" s="49"/>
      <c r="M103" s="49" t="s">
        <v>88</v>
      </c>
      <c r="N103" s="49" t="s">
        <v>89</v>
      </c>
      <c r="O103" s="49" t="s">
        <v>579</v>
      </c>
      <c r="P103" s="6" t="s">
        <v>580</v>
      </c>
      <c r="Q103" s="49"/>
      <c r="R103" s="75" t="s">
        <v>91</v>
      </c>
      <c r="S103" s="33" t="s">
        <v>92</v>
      </c>
      <c r="T103" s="33" t="s">
        <v>93</v>
      </c>
      <c r="U103" s="78">
        <v>100</v>
      </c>
      <c r="V103" s="33" t="s">
        <v>94</v>
      </c>
      <c r="W103" s="33" t="s">
        <v>95</v>
      </c>
      <c r="X103" s="33">
        <v>2022</v>
      </c>
      <c r="Y103" s="33" t="s">
        <v>117</v>
      </c>
      <c r="Z103" s="33" t="s">
        <v>97</v>
      </c>
      <c r="AA103" s="33" t="s">
        <v>98</v>
      </c>
      <c r="AB103" s="49" t="s">
        <v>99</v>
      </c>
      <c r="AC103" s="48" t="s">
        <v>1125</v>
      </c>
      <c r="AD103" s="79" t="s">
        <v>1126</v>
      </c>
      <c r="AE103" s="6" t="s">
        <v>1054</v>
      </c>
      <c r="AF103" s="6" t="s">
        <v>1107</v>
      </c>
      <c r="AG103" s="6" t="s">
        <v>1055</v>
      </c>
      <c r="AH103" s="49" t="s">
        <v>123</v>
      </c>
      <c r="AI103" s="6" t="s">
        <v>1108</v>
      </c>
      <c r="AJ103" s="6" t="s">
        <v>1127</v>
      </c>
      <c r="AK103" s="33" t="s">
        <v>97</v>
      </c>
      <c r="AL103" s="33" t="s">
        <v>97</v>
      </c>
      <c r="AM103" s="5" t="s">
        <v>5539</v>
      </c>
      <c r="AN103" s="6" t="s">
        <v>631</v>
      </c>
      <c r="AO103" s="6"/>
      <c r="AP103" s="6"/>
      <c r="AQ103" s="6" t="s">
        <v>982</v>
      </c>
      <c r="AR103" s="20" t="s">
        <v>97</v>
      </c>
      <c r="AS103" s="20" t="s">
        <v>107</v>
      </c>
      <c r="AT103" s="20"/>
      <c r="AU103" s="24">
        <v>0.95</v>
      </c>
      <c r="AV103" s="24">
        <f t="shared" si="19"/>
        <v>0.76</v>
      </c>
      <c r="AW103" s="24">
        <f t="shared" si="20"/>
        <v>0.56999999999999995</v>
      </c>
      <c r="AX103" s="25">
        <v>1E-4</v>
      </c>
      <c r="AY103" s="24">
        <v>0</v>
      </c>
      <c r="AZ103" s="24">
        <f t="shared" si="16"/>
        <v>0.85499999999999998</v>
      </c>
      <c r="BA103" s="24">
        <f t="shared" si="17"/>
        <v>0.68400000000000005</v>
      </c>
      <c r="BB103" s="24">
        <f t="shared" si="18"/>
        <v>0.51300000000000001</v>
      </c>
      <c r="BC103" s="25">
        <v>1E-4</v>
      </c>
      <c r="BD103" s="24">
        <v>0</v>
      </c>
      <c r="BE103" s="26">
        <v>0</v>
      </c>
      <c r="BF103" s="34">
        <f t="shared" si="12"/>
        <v>0</v>
      </c>
      <c r="BG103" s="34">
        <f t="shared" si="13"/>
        <v>0</v>
      </c>
      <c r="BH103" s="26">
        <v>0</v>
      </c>
      <c r="BI103" s="26">
        <v>0</v>
      </c>
      <c r="BJ103" s="20" t="s">
        <v>496</v>
      </c>
      <c r="BK103" s="27">
        <v>0.17525268992500814</v>
      </c>
      <c r="BL103" s="27" t="s">
        <v>1128</v>
      </c>
      <c r="BM103" s="27" t="s">
        <v>1129</v>
      </c>
      <c r="BN103" s="26"/>
      <c r="BO103" s="34"/>
      <c r="BP103" s="34"/>
      <c r="BQ103" s="34"/>
      <c r="BR103" s="34"/>
      <c r="BS103" s="34"/>
      <c r="BT103" s="34"/>
      <c r="BU103" s="34"/>
      <c r="BV103" s="34"/>
      <c r="BW103" s="34"/>
      <c r="BX103" s="34"/>
      <c r="BY103" s="34"/>
      <c r="BZ103" s="34"/>
      <c r="CA103" s="20"/>
      <c r="CB103" s="20"/>
      <c r="CC103" s="29">
        <v>46003</v>
      </c>
      <c r="CD103" s="11" t="s">
        <v>1113</v>
      </c>
    </row>
    <row r="104" spans="1:82" s="18" customFormat="1" ht="66.75" customHeight="1" x14ac:dyDescent="0.25">
      <c r="A104" s="87">
        <v>100</v>
      </c>
      <c r="B104" s="141" t="s">
        <v>1130</v>
      </c>
      <c r="C104" s="6" t="s">
        <v>1131</v>
      </c>
      <c r="D104" s="6" t="s">
        <v>1132</v>
      </c>
      <c r="E104" s="75" t="s">
        <v>113</v>
      </c>
      <c r="F104" s="4" t="s">
        <v>81</v>
      </c>
      <c r="G104" s="33" t="s">
        <v>84</v>
      </c>
      <c r="H104" s="49" t="s">
        <v>775</v>
      </c>
      <c r="I104" s="49" t="s">
        <v>578</v>
      </c>
      <c r="J104" s="6"/>
      <c r="K104" s="49"/>
      <c r="L104" s="49"/>
      <c r="M104" s="49" t="s">
        <v>88</v>
      </c>
      <c r="N104" s="49" t="s">
        <v>89</v>
      </c>
      <c r="O104" s="49" t="s">
        <v>579</v>
      </c>
      <c r="P104" s="6" t="s">
        <v>580</v>
      </c>
      <c r="Q104" s="49"/>
      <c r="R104" s="75" t="s">
        <v>91</v>
      </c>
      <c r="S104" s="33" t="s">
        <v>92</v>
      </c>
      <c r="T104" s="33" t="s">
        <v>93</v>
      </c>
      <c r="U104" s="78">
        <v>100</v>
      </c>
      <c r="V104" s="33" t="s">
        <v>94</v>
      </c>
      <c r="W104" s="33" t="s">
        <v>95</v>
      </c>
      <c r="X104" s="33">
        <v>2022</v>
      </c>
      <c r="Y104" s="33" t="s">
        <v>117</v>
      </c>
      <c r="Z104" s="33" t="s">
        <v>97</v>
      </c>
      <c r="AA104" s="33" t="s">
        <v>98</v>
      </c>
      <c r="AB104" s="49" t="s">
        <v>99</v>
      </c>
      <c r="AC104" s="48" t="s">
        <v>1133</v>
      </c>
      <c r="AD104" s="79" t="s">
        <v>1134</v>
      </c>
      <c r="AE104" s="6" t="s">
        <v>1054</v>
      </c>
      <c r="AF104" s="6" t="s">
        <v>1107</v>
      </c>
      <c r="AG104" s="6" t="s">
        <v>1055</v>
      </c>
      <c r="AH104" s="49" t="s">
        <v>123</v>
      </c>
      <c r="AI104" s="6" t="s">
        <v>1108</v>
      </c>
      <c r="AJ104" s="6" t="s">
        <v>1135</v>
      </c>
      <c r="AK104" s="33" t="s">
        <v>97</v>
      </c>
      <c r="AL104" s="33" t="s">
        <v>97</v>
      </c>
      <c r="AM104" s="5" t="s">
        <v>5539</v>
      </c>
      <c r="AN104" s="6" t="s">
        <v>631</v>
      </c>
      <c r="AO104" s="6"/>
      <c r="AP104" s="6"/>
      <c r="AQ104" s="6" t="s">
        <v>982</v>
      </c>
      <c r="AR104" s="20" t="s">
        <v>97</v>
      </c>
      <c r="AS104" s="20" t="s">
        <v>107</v>
      </c>
      <c r="AT104" s="20"/>
      <c r="AU104" s="24">
        <v>0.95</v>
      </c>
      <c r="AV104" s="24">
        <f t="shared" si="19"/>
        <v>0.76</v>
      </c>
      <c r="AW104" s="24">
        <f t="shared" si="20"/>
        <v>0.56999999999999995</v>
      </c>
      <c r="AX104" s="25">
        <v>1E-4</v>
      </c>
      <c r="AY104" s="24">
        <v>0</v>
      </c>
      <c r="AZ104" s="24">
        <f t="shared" si="16"/>
        <v>0.85499999999999998</v>
      </c>
      <c r="BA104" s="24">
        <f t="shared" si="17"/>
        <v>0.68400000000000005</v>
      </c>
      <c r="BB104" s="24">
        <f t="shared" si="18"/>
        <v>0.51300000000000001</v>
      </c>
      <c r="BC104" s="25">
        <v>1E-4</v>
      </c>
      <c r="BD104" s="24">
        <v>0</v>
      </c>
      <c r="BE104" s="26">
        <v>0</v>
      </c>
      <c r="BF104" s="34">
        <f t="shared" si="12"/>
        <v>0</v>
      </c>
      <c r="BG104" s="34">
        <f t="shared" si="13"/>
        <v>0</v>
      </c>
      <c r="BH104" s="26">
        <v>0</v>
      </c>
      <c r="BI104" s="26">
        <v>0</v>
      </c>
      <c r="BJ104" s="20" t="s">
        <v>496</v>
      </c>
      <c r="BK104" s="27">
        <v>0.14888162532846247</v>
      </c>
      <c r="BL104" s="27" t="s">
        <v>1136</v>
      </c>
      <c r="BM104" s="27" t="s">
        <v>1137</v>
      </c>
      <c r="BN104" s="26"/>
      <c r="BO104" s="34"/>
      <c r="BP104" s="34"/>
      <c r="BQ104" s="34"/>
      <c r="BR104" s="34"/>
      <c r="BS104" s="34"/>
      <c r="BT104" s="34"/>
      <c r="BU104" s="34"/>
      <c r="BV104" s="34"/>
      <c r="BW104" s="34"/>
      <c r="BX104" s="34"/>
      <c r="BY104" s="34"/>
      <c r="BZ104" s="34"/>
      <c r="CA104" s="20"/>
      <c r="CB104" s="20"/>
      <c r="CC104" s="29">
        <v>46003</v>
      </c>
      <c r="CD104" s="11" t="s">
        <v>1113</v>
      </c>
    </row>
    <row r="105" spans="1:82" s="18" customFormat="1" ht="66.75" customHeight="1" x14ac:dyDescent="0.25">
      <c r="A105" s="87">
        <v>101</v>
      </c>
      <c r="B105" s="141" t="s">
        <v>1138</v>
      </c>
      <c r="C105" s="6" t="s">
        <v>1139</v>
      </c>
      <c r="D105" s="6" t="s">
        <v>1140</v>
      </c>
      <c r="E105" s="75" t="s">
        <v>113</v>
      </c>
      <c r="F105" s="4" t="s">
        <v>81</v>
      </c>
      <c r="G105" s="33" t="s">
        <v>84</v>
      </c>
      <c r="H105" s="49" t="s">
        <v>775</v>
      </c>
      <c r="I105" s="49" t="s">
        <v>578</v>
      </c>
      <c r="J105" s="6"/>
      <c r="K105" s="49"/>
      <c r="L105" s="49"/>
      <c r="M105" s="49" t="s">
        <v>88</v>
      </c>
      <c r="N105" s="49" t="s">
        <v>89</v>
      </c>
      <c r="O105" s="49" t="s">
        <v>579</v>
      </c>
      <c r="P105" s="6" t="s">
        <v>580</v>
      </c>
      <c r="Q105" s="49"/>
      <c r="R105" s="75" t="s">
        <v>91</v>
      </c>
      <c r="S105" s="33" t="s">
        <v>92</v>
      </c>
      <c r="T105" s="33" t="s">
        <v>93</v>
      </c>
      <c r="U105" s="78">
        <v>100</v>
      </c>
      <c r="V105" s="33" t="s">
        <v>94</v>
      </c>
      <c r="W105" s="33" t="s">
        <v>95</v>
      </c>
      <c r="X105" s="33">
        <v>2022</v>
      </c>
      <c r="Y105" s="33" t="s">
        <v>117</v>
      </c>
      <c r="Z105" s="33" t="s">
        <v>97</v>
      </c>
      <c r="AA105" s="33" t="s">
        <v>98</v>
      </c>
      <c r="AB105" s="49" t="s">
        <v>99</v>
      </c>
      <c r="AC105" s="48" t="s">
        <v>1141</v>
      </c>
      <c r="AD105" s="79" t="s">
        <v>1142</v>
      </c>
      <c r="AE105" s="6" t="s">
        <v>1054</v>
      </c>
      <c r="AF105" s="6" t="s">
        <v>1107</v>
      </c>
      <c r="AG105" s="6" t="s">
        <v>1055</v>
      </c>
      <c r="AH105" s="49" t="s">
        <v>123</v>
      </c>
      <c r="AI105" s="6" t="s">
        <v>1108</v>
      </c>
      <c r="AJ105" s="6" t="s">
        <v>1143</v>
      </c>
      <c r="AK105" s="33" t="s">
        <v>97</v>
      </c>
      <c r="AL105" s="33" t="s">
        <v>97</v>
      </c>
      <c r="AM105" s="5" t="s">
        <v>5539</v>
      </c>
      <c r="AN105" s="6" t="s">
        <v>631</v>
      </c>
      <c r="AO105" s="6"/>
      <c r="AP105" s="6"/>
      <c r="AQ105" s="6" t="s">
        <v>982</v>
      </c>
      <c r="AR105" s="20" t="s">
        <v>97</v>
      </c>
      <c r="AS105" s="20" t="s">
        <v>107</v>
      </c>
      <c r="AT105" s="20"/>
      <c r="AU105" s="24">
        <v>0.95</v>
      </c>
      <c r="AV105" s="24">
        <f t="shared" si="19"/>
        <v>0.76</v>
      </c>
      <c r="AW105" s="24">
        <f t="shared" si="20"/>
        <v>0.56999999999999995</v>
      </c>
      <c r="AX105" s="25">
        <v>1E-4</v>
      </c>
      <c r="AY105" s="24">
        <v>0</v>
      </c>
      <c r="AZ105" s="24">
        <f t="shared" si="16"/>
        <v>0.85499999999999998</v>
      </c>
      <c r="BA105" s="24">
        <f t="shared" si="17"/>
        <v>0.68400000000000005</v>
      </c>
      <c r="BB105" s="24">
        <f t="shared" si="18"/>
        <v>0.51300000000000001</v>
      </c>
      <c r="BC105" s="25">
        <v>1E-4</v>
      </c>
      <c r="BD105" s="24">
        <v>0</v>
      </c>
      <c r="BE105" s="26">
        <v>0</v>
      </c>
      <c r="BF105" s="34">
        <f t="shared" si="12"/>
        <v>0</v>
      </c>
      <c r="BG105" s="34">
        <f t="shared" si="13"/>
        <v>0</v>
      </c>
      <c r="BH105" s="26">
        <v>0</v>
      </c>
      <c r="BI105" s="26">
        <v>0</v>
      </c>
      <c r="BJ105" s="20" t="s">
        <v>496</v>
      </c>
      <c r="BK105" s="27">
        <v>0.16434711870369148</v>
      </c>
      <c r="BL105" s="27" t="s">
        <v>1144</v>
      </c>
      <c r="BM105" s="27" t="s">
        <v>1145</v>
      </c>
      <c r="BN105" s="26"/>
      <c r="BO105" s="34"/>
      <c r="BP105" s="34"/>
      <c r="BQ105" s="34"/>
      <c r="BR105" s="34"/>
      <c r="BS105" s="34"/>
      <c r="BT105" s="34"/>
      <c r="BU105" s="34"/>
      <c r="BV105" s="34"/>
      <c r="BW105" s="34"/>
      <c r="BX105" s="34"/>
      <c r="BY105" s="34"/>
      <c r="BZ105" s="34"/>
      <c r="CA105" s="20"/>
      <c r="CB105" s="20"/>
      <c r="CC105" s="29">
        <v>46003</v>
      </c>
      <c r="CD105" s="11" t="s">
        <v>1113</v>
      </c>
    </row>
    <row r="106" spans="1:82" s="18" customFormat="1" ht="66.75" customHeight="1" x14ac:dyDescent="0.25">
      <c r="A106" s="121">
        <v>102</v>
      </c>
      <c r="B106" s="141" t="s">
        <v>1146</v>
      </c>
      <c r="C106" s="6" t="s">
        <v>1147</v>
      </c>
      <c r="D106" s="6" t="s">
        <v>1148</v>
      </c>
      <c r="E106" s="75" t="s">
        <v>113</v>
      </c>
      <c r="F106" s="4" t="s">
        <v>81</v>
      </c>
      <c r="G106" s="33" t="s">
        <v>84</v>
      </c>
      <c r="H106" s="49" t="s">
        <v>775</v>
      </c>
      <c r="I106" s="49" t="s">
        <v>578</v>
      </c>
      <c r="J106" s="6"/>
      <c r="K106" s="49"/>
      <c r="L106" s="49"/>
      <c r="M106" s="49" t="s">
        <v>88</v>
      </c>
      <c r="N106" s="49" t="s">
        <v>89</v>
      </c>
      <c r="O106" s="49" t="s">
        <v>579</v>
      </c>
      <c r="P106" s="6" t="s">
        <v>580</v>
      </c>
      <c r="Q106" s="49"/>
      <c r="R106" s="75" t="s">
        <v>91</v>
      </c>
      <c r="S106" s="33" t="s">
        <v>92</v>
      </c>
      <c r="T106" s="33" t="s">
        <v>93</v>
      </c>
      <c r="U106" s="78">
        <v>100</v>
      </c>
      <c r="V106" s="33" t="s">
        <v>94</v>
      </c>
      <c r="W106" s="33" t="s">
        <v>95</v>
      </c>
      <c r="X106" s="33">
        <v>2022</v>
      </c>
      <c r="Y106" s="33" t="s">
        <v>117</v>
      </c>
      <c r="Z106" s="33" t="s">
        <v>97</v>
      </c>
      <c r="AA106" s="33" t="s">
        <v>98</v>
      </c>
      <c r="AB106" s="49" t="s">
        <v>99</v>
      </c>
      <c r="AC106" s="48" t="s">
        <v>1149</v>
      </c>
      <c r="AD106" s="79" t="s">
        <v>1150</v>
      </c>
      <c r="AE106" s="6" t="s">
        <v>1054</v>
      </c>
      <c r="AF106" s="6" t="s">
        <v>1107</v>
      </c>
      <c r="AG106" s="6" t="s">
        <v>1055</v>
      </c>
      <c r="AH106" s="49" t="s">
        <v>123</v>
      </c>
      <c r="AI106" s="6" t="s">
        <v>1108</v>
      </c>
      <c r="AJ106" s="6" t="s">
        <v>1151</v>
      </c>
      <c r="AK106" s="33" t="s">
        <v>97</v>
      </c>
      <c r="AL106" s="33" t="s">
        <v>97</v>
      </c>
      <c r="AM106" s="5" t="s">
        <v>5539</v>
      </c>
      <c r="AN106" s="6" t="s">
        <v>631</v>
      </c>
      <c r="AO106" s="6"/>
      <c r="AP106" s="6"/>
      <c r="AQ106" s="6" t="s">
        <v>982</v>
      </c>
      <c r="AR106" s="20" t="s">
        <v>97</v>
      </c>
      <c r="AS106" s="20" t="s">
        <v>107</v>
      </c>
      <c r="AT106" s="20"/>
      <c r="AU106" s="24">
        <v>0.95</v>
      </c>
      <c r="AV106" s="24">
        <f t="shared" si="19"/>
        <v>0.76</v>
      </c>
      <c r="AW106" s="24">
        <f t="shared" si="20"/>
        <v>0.56999999999999995</v>
      </c>
      <c r="AX106" s="25">
        <v>1E-4</v>
      </c>
      <c r="AY106" s="24">
        <v>0</v>
      </c>
      <c r="AZ106" s="24">
        <f t="shared" si="16"/>
        <v>0.85499999999999998</v>
      </c>
      <c r="BA106" s="24">
        <f t="shared" si="17"/>
        <v>0.68400000000000005</v>
      </c>
      <c r="BB106" s="24">
        <f t="shared" si="18"/>
        <v>0.51300000000000001</v>
      </c>
      <c r="BC106" s="25">
        <v>1E-4</v>
      </c>
      <c r="BD106" s="24">
        <v>0</v>
      </c>
      <c r="BE106" s="26">
        <v>0</v>
      </c>
      <c r="BF106" s="34">
        <f t="shared" si="12"/>
        <v>0</v>
      </c>
      <c r="BG106" s="34">
        <f t="shared" si="13"/>
        <v>0</v>
      </c>
      <c r="BH106" s="26">
        <v>0</v>
      </c>
      <c r="BI106" s="26">
        <v>0</v>
      </c>
      <c r="BJ106" s="20" t="s">
        <v>496</v>
      </c>
      <c r="BK106" s="27">
        <v>0.20272958137071101</v>
      </c>
      <c r="BL106" s="27" t="s">
        <v>1152</v>
      </c>
      <c r="BM106" s="27" t="s">
        <v>1153</v>
      </c>
      <c r="BN106" s="26"/>
      <c r="BO106" s="34"/>
      <c r="BP106" s="34"/>
      <c r="BQ106" s="34"/>
      <c r="BR106" s="34"/>
      <c r="BS106" s="34"/>
      <c r="BT106" s="34"/>
      <c r="BU106" s="34"/>
      <c r="BV106" s="34"/>
      <c r="BW106" s="34"/>
      <c r="BX106" s="34"/>
      <c r="BY106" s="34"/>
      <c r="BZ106" s="34"/>
      <c r="CA106" s="20"/>
      <c r="CB106" s="20"/>
      <c r="CC106" s="29">
        <v>46003</v>
      </c>
      <c r="CD106" s="11" t="s">
        <v>1113</v>
      </c>
    </row>
    <row r="107" spans="1:82" s="18" customFormat="1" ht="66.75" customHeight="1" x14ac:dyDescent="0.25">
      <c r="A107" s="87">
        <v>103</v>
      </c>
      <c r="B107" s="141" t="s">
        <v>1154</v>
      </c>
      <c r="C107" s="6" t="s">
        <v>1155</v>
      </c>
      <c r="D107" s="6" t="s">
        <v>1156</v>
      </c>
      <c r="E107" s="75" t="s">
        <v>113</v>
      </c>
      <c r="F107" s="4" t="s">
        <v>81</v>
      </c>
      <c r="G107" s="33" t="s">
        <v>84</v>
      </c>
      <c r="H107" s="49" t="s">
        <v>775</v>
      </c>
      <c r="I107" s="49" t="s">
        <v>578</v>
      </c>
      <c r="J107" s="6"/>
      <c r="K107" s="49"/>
      <c r="L107" s="49"/>
      <c r="M107" s="49" t="s">
        <v>88</v>
      </c>
      <c r="N107" s="49" t="s">
        <v>89</v>
      </c>
      <c r="O107" s="49" t="s">
        <v>579</v>
      </c>
      <c r="P107" s="6" t="s">
        <v>580</v>
      </c>
      <c r="Q107" s="49"/>
      <c r="R107" s="75" t="s">
        <v>91</v>
      </c>
      <c r="S107" s="33" t="s">
        <v>92</v>
      </c>
      <c r="T107" s="33" t="s">
        <v>93</v>
      </c>
      <c r="U107" s="78">
        <v>100</v>
      </c>
      <c r="V107" s="33" t="s">
        <v>94</v>
      </c>
      <c r="W107" s="33" t="s">
        <v>95</v>
      </c>
      <c r="X107" s="33">
        <v>2022</v>
      </c>
      <c r="Y107" s="33" t="s">
        <v>117</v>
      </c>
      <c r="Z107" s="33" t="s">
        <v>97</v>
      </c>
      <c r="AA107" s="33" t="s">
        <v>98</v>
      </c>
      <c r="AB107" s="49" t="s">
        <v>99</v>
      </c>
      <c r="AC107" s="48" t="s">
        <v>1157</v>
      </c>
      <c r="AD107" s="79" t="s">
        <v>1158</v>
      </c>
      <c r="AE107" s="6" t="s">
        <v>1054</v>
      </c>
      <c r="AF107" s="6" t="s">
        <v>1107</v>
      </c>
      <c r="AG107" s="6" t="s">
        <v>1055</v>
      </c>
      <c r="AH107" s="49" t="s">
        <v>123</v>
      </c>
      <c r="AI107" s="6" t="s">
        <v>1108</v>
      </c>
      <c r="AJ107" s="6" t="s">
        <v>1159</v>
      </c>
      <c r="AK107" s="33" t="s">
        <v>97</v>
      </c>
      <c r="AL107" s="33" t="s">
        <v>97</v>
      </c>
      <c r="AM107" s="5" t="s">
        <v>5539</v>
      </c>
      <c r="AN107" s="6" t="s">
        <v>631</v>
      </c>
      <c r="AO107" s="6"/>
      <c r="AP107" s="6"/>
      <c r="AQ107" s="6" t="s">
        <v>982</v>
      </c>
      <c r="AR107" s="20" t="s">
        <v>97</v>
      </c>
      <c r="AS107" s="20" t="s">
        <v>107</v>
      </c>
      <c r="AT107" s="20"/>
      <c r="AU107" s="24">
        <v>0.95</v>
      </c>
      <c r="AV107" s="24">
        <f t="shared" si="19"/>
        <v>0.76</v>
      </c>
      <c r="AW107" s="24">
        <f t="shared" si="20"/>
        <v>0.56999999999999995</v>
      </c>
      <c r="AX107" s="25">
        <v>1E-4</v>
      </c>
      <c r="AY107" s="24">
        <v>0</v>
      </c>
      <c r="AZ107" s="24">
        <f t="shared" si="16"/>
        <v>0.85499999999999998</v>
      </c>
      <c r="BA107" s="24">
        <f t="shared" si="17"/>
        <v>0.68400000000000005</v>
      </c>
      <c r="BB107" s="24">
        <f t="shared" si="18"/>
        <v>0.51300000000000001</v>
      </c>
      <c r="BC107" s="25">
        <v>1E-4</v>
      </c>
      <c r="BD107" s="24">
        <v>0</v>
      </c>
      <c r="BE107" s="26">
        <v>0</v>
      </c>
      <c r="BF107" s="34">
        <f t="shared" si="12"/>
        <v>0</v>
      </c>
      <c r="BG107" s="34">
        <f t="shared" si="13"/>
        <v>0</v>
      </c>
      <c r="BH107" s="26">
        <v>0</v>
      </c>
      <c r="BI107" s="26">
        <v>0</v>
      </c>
      <c r="BJ107" s="20" t="s">
        <v>496</v>
      </c>
      <c r="BK107" s="27">
        <v>0.19083944147789458</v>
      </c>
      <c r="BL107" s="27" t="s">
        <v>1160</v>
      </c>
      <c r="BM107" s="27" t="s">
        <v>1161</v>
      </c>
      <c r="BN107" s="26"/>
      <c r="BO107" s="34"/>
      <c r="BP107" s="34"/>
      <c r="BQ107" s="34"/>
      <c r="BR107" s="34"/>
      <c r="BS107" s="34"/>
      <c r="BT107" s="34"/>
      <c r="BU107" s="34"/>
      <c r="BV107" s="34"/>
      <c r="BW107" s="34"/>
      <c r="BX107" s="34"/>
      <c r="BY107" s="34"/>
      <c r="BZ107" s="34"/>
      <c r="CA107" s="20"/>
      <c r="CB107" s="20"/>
      <c r="CC107" s="29">
        <v>46003</v>
      </c>
      <c r="CD107" s="11" t="s">
        <v>1113</v>
      </c>
    </row>
    <row r="108" spans="1:82" s="18" customFormat="1" ht="66.75" customHeight="1" x14ac:dyDescent="0.25">
      <c r="A108" s="87">
        <v>104</v>
      </c>
      <c r="B108" s="141" t="s">
        <v>1162</v>
      </c>
      <c r="C108" s="6" t="s">
        <v>1163</v>
      </c>
      <c r="D108" s="6" t="s">
        <v>1164</v>
      </c>
      <c r="E108" s="75" t="s">
        <v>113</v>
      </c>
      <c r="F108" s="4" t="s">
        <v>81</v>
      </c>
      <c r="G108" s="33" t="s">
        <v>84</v>
      </c>
      <c r="H108" s="49" t="s">
        <v>775</v>
      </c>
      <c r="I108" s="49" t="s">
        <v>578</v>
      </c>
      <c r="J108" s="6"/>
      <c r="K108" s="49"/>
      <c r="L108" s="49"/>
      <c r="M108" s="49" t="s">
        <v>88</v>
      </c>
      <c r="N108" s="49" t="s">
        <v>89</v>
      </c>
      <c r="O108" s="49" t="s">
        <v>579</v>
      </c>
      <c r="P108" s="6" t="s">
        <v>580</v>
      </c>
      <c r="Q108" s="49"/>
      <c r="R108" s="75" t="s">
        <v>91</v>
      </c>
      <c r="S108" s="33" t="s">
        <v>92</v>
      </c>
      <c r="T108" s="33" t="s">
        <v>93</v>
      </c>
      <c r="U108" s="78">
        <v>100</v>
      </c>
      <c r="V108" s="33" t="s">
        <v>94</v>
      </c>
      <c r="W108" s="33" t="s">
        <v>95</v>
      </c>
      <c r="X108" s="33">
        <v>2022</v>
      </c>
      <c r="Y108" s="33" t="s">
        <v>117</v>
      </c>
      <c r="Z108" s="33" t="s">
        <v>97</v>
      </c>
      <c r="AA108" s="33" t="s">
        <v>98</v>
      </c>
      <c r="AB108" s="49" t="s">
        <v>99</v>
      </c>
      <c r="AC108" s="48" t="s">
        <v>1165</v>
      </c>
      <c r="AD108" s="79" t="s">
        <v>1166</v>
      </c>
      <c r="AE108" s="6" t="s">
        <v>1054</v>
      </c>
      <c r="AF108" s="6" t="s">
        <v>1107</v>
      </c>
      <c r="AG108" s="6" t="s">
        <v>1055</v>
      </c>
      <c r="AH108" s="49" t="s">
        <v>123</v>
      </c>
      <c r="AI108" s="6" t="s">
        <v>1108</v>
      </c>
      <c r="AJ108" s="6" t="s">
        <v>1167</v>
      </c>
      <c r="AK108" s="33" t="s">
        <v>97</v>
      </c>
      <c r="AL108" s="33" t="s">
        <v>97</v>
      </c>
      <c r="AM108" s="5" t="s">
        <v>5539</v>
      </c>
      <c r="AN108" s="6" t="s">
        <v>631</v>
      </c>
      <c r="AO108" s="6"/>
      <c r="AP108" s="6"/>
      <c r="AQ108" s="6" t="s">
        <v>982</v>
      </c>
      <c r="AR108" s="20" t="s">
        <v>97</v>
      </c>
      <c r="AS108" s="20" t="s">
        <v>107</v>
      </c>
      <c r="AT108" s="20"/>
      <c r="AU108" s="24">
        <v>0.95</v>
      </c>
      <c r="AV108" s="24">
        <f t="shared" si="19"/>
        <v>0.76</v>
      </c>
      <c r="AW108" s="24">
        <f t="shared" si="20"/>
        <v>0.56999999999999995</v>
      </c>
      <c r="AX108" s="25">
        <v>1E-4</v>
      </c>
      <c r="AY108" s="24">
        <v>0</v>
      </c>
      <c r="AZ108" s="24">
        <f t="shared" si="16"/>
        <v>0.85499999999999998</v>
      </c>
      <c r="BA108" s="24">
        <f t="shared" si="17"/>
        <v>0.68400000000000005</v>
      </c>
      <c r="BB108" s="24">
        <f t="shared" si="18"/>
        <v>0.51300000000000001</v>
      </c>
      <c r="BC108" s="25">
        <v>1E-4</v>
      </c>
      <c r="BD108" s="24">
        <v>0</v>
      </c>
      <c r="BE108" s="26">
        <v>0</v>
      </c>
      <c r="BF108" s="34">
        <f t="shared" si="12"/>
        <v>0</v>
      </c>
      <c r="BG108" s="34">
        <f t="shared" si="13"/>
        <v>0</v>
      </c>
      <c r="BH108" s="26">
        <v>0</v>
      </c>
      <c r="BI108" s="26">
        <v>0</v>
      </c>
      <c r="BJ108" s="20" t="s">
        <v>496</v>
      </c>
      <c r="BK108" s="27">
        <v>8.8812103100485623E-2</v>
      </c>
      <c r="BL108" s="27" t="s">
        <v>1168</v>
      </c>
      <c r="BM108" s="27" t="s">
        <v>1169</v>
      </c>
      <c r="BN108" s="26"/>
      <c r="BO108" s="34"/>
      <c r="BP108" s="34"/>
      <c r="BQ108" s="34"/>
      <c r="BR108" s="34"/>
      <c r="BS108" s="34"/>
      <c r="BT108" s="34"/>
      <c r="BU108" s="34"/>
      <c r="BV108" s="34"/>
      <c r="BW108" s="34"/>
      <c r="BX108" s="34"/>
      <c r="BY108" s="34"/>
      <c r="BZ108" s="34"/>
      <c r="CA108" s="20"/>
      <c r="CB108" s="20"/>
      <c r="CC108" s="29">
        <v>46003</v>
      </c>
      <c r="CD108" s="11" t="s">
        <v>1113</v>
      </c>
    </row>
    <row r="109" spans="1:82" s="18" customFormat="1" ht="66.75" customHeight="1" x14ac:dyDescent="0.25">
      <c r="A109" s="121">
        <v>105</v>
      </c>
      <c r="B109" s="141" t="s">
        <v>1170</v>
      </c>
      <c r="C109" s="6" t="s">
        <v>1171</v>
      </c>
      <c r="D109" s="6" t="s">
        <v>1172</v>
      </c>
      <c r="E109" s="75" t="s">
        <v>113</v>
      </c>
      <c r="F109" s="4" t="s">
        <v>81</v>
      </c>
      <c r="G109" s="33" t="s">
        <v>84</v>
      </c>
      <c r="H109" s="49" t="s">
        <v>775</v>
      </c>
      <c r="I109" s="49" t="s">
        <v>578</v>
      </c>
      <c r="J109" s="6"/>
      <c r="K109" s="49"/>
      <c r="L109" s="49"/>
      <c r="M109" s="49" t="s">
        <v>88</v>
      </c>
      <c r="N109" s="49" t="s">
        <v>89</v>
      </c>
      <c r="O109" s="49" t="s">
        <v>579</v>
      </c>
      <c r="P109" s="6" t="s">
        <v>580</v>
      </c>
      <c r="Q109" s="49"/>
      <c r="R109" s="75" t="s">
        <v>91</v>
      </c>
      <c r="S109" s="33" t="s">
        <v>92</v>
      </c>
      <c r="T109" s="33" t="s">
        <v>93</v>
      </c>
      <c r="U109" s="78">
        <v>100</v>
      </c>
      <c r="V109" s="33" t="s">
        <v>94</v>
      </c>
      <c r="W109" s="33" t="s">
        <v>95</v>
      </c>
      <c r="X109" s="33">
        <v>2022</v>
      </c>
      <c r="Y109" s="33" t="s">
        <v>117</v>
      </c>
      <c r="Z109" s="33" t="s">
        <v>97</v>
      </c>
      <c r="AA109" s="33" t="s">
        <v>98</v>
      </c>
      <c r="AB109" s="49" t="s">
        <v>99</v>
      </c>
      <c r="AC109" s="48" t="s">
        <v>1173</v>
      </c>
      <c r="AD109" s="79" t="s">
        <v>1174</v>
      </c>
      <c r="AE109" s="6" t="s">
        <v>1054</v>
      </c>
      <c r="AF109" s="6" t="s">
        <v>1107</v>
      </c>
      <c r="AG109" s="6" t="s">
        <v>1055</v>
      </c>
      <c r="AH109" s="49" t="s">
        <v>123</v>
      </c>
      <c r="AI109" s="6" t="s">
        <v>1108</v>
      </c>
      <c r="AJ109" s="6" t="s">
        <v>1175</v>
      </c>
      <c r="AK109" s="33" t="s">
        <v>97</v>
      </c>
      <c r="AL109" s="33" t="s">
        <v>97</v>
      </c>
      <c r="AM109" s="5" t="s">
        <v>5539</v>
      </c>
      <c r="AN109" s="6" t="s">
        <v>631</v>
      </c>
      <c r="AO109" s="6"/>
      <c r="AP109" s="6"/>
      <c r="AQ109" s="6" t="s">
        <v>982</v>
      </c>
      <c r="AR109" s="20" t="s">
        <v>97</v>
      </c>
      <c r="AS109" s="20" t="s">
        <v>107</v>
      </c>
      <c r="AT109" s="20"/>
      <c r="AU109" s="24">
        <v>0.95</v>
      </c>
      <c r="AV109" s="24">
        <f t="shared" si="19"/>
        <v>0.76</v>
      </c>
      <c r="AW109" s="24">
        <f t="shared" si="20"/>
        <v>0.56999999999999995</v>
      </c>
      <c r="AX109" s="25">
        <v>1E-4</v>
      </c>
      <c r="AY109" s="24">
        <v>0</v>
      </c>
      <c r="AZ109" s="24">
        <f t="shared" si="16"/>
        <v>0.85499999999999998</v>
      </c>
      <c r="BA109" s="24">
        <f t="shared" si="17"/>
        <v>0.68400000000000005</v>
      </c>
      <c r="BB109" s="24">
        <f t="shared" si="18"/>
        <v>0.51300000000000001</v>
      </c>
      <c r="BC109" s="25">
        <v>1E-4</v>
      </c>
      <c r="BD109" s="24">
        <v>0</v>
      </c>
      <c r="BE109" s="26">
        <v>0</v>
      </c>
      <c r="BF109" s="34">
        <f t="shared" si="12"/>
        <v>0</v>
      </c>
      <c r="BG109" s="34">
        <f t="shared" si="13"/>
        <v>0</v>
      </c>
      <c r="BH109" s="26">
        <v>0</v>
      </c>
      <c r="BI109" s="26">
        <v>0</v>
      </c>
      <c r="BJ109" s="20" t="s">
        <v>496</v>
      </c>
      <c r="BK109" s="27" t="s">
        <v>84</v>
      </c>
      <c r="BL109" s="27" t="s">
        <v>1176</v>
      </c>
      <c r="BM109" s="27" t="s">
        <v>1176</v>
      </c>
      <c r="BN109" s="26"/>
      <c r="BO109" s="34"/>
      <c r="BP109" s="34"/>
      <c r="BQ109" s="34"/>
      <c r="BR109" s="34"/>
      <c r="BS109" s="34"/>
      <c r="BT109" s="34"/>
      <c r="BU109" s="34"/>
      <c r="BV109" s="34"/>
      <c r="BW109" s="34"/>
      <c r="BX109" s="34"/>
      <c r="BY109" s="34"/>
      <c r="BZ109" s="34"/>
      <c r="CA109" s="20"/>
      <c r="CB109" s="20"/>
      <c r="CC109" s="29">
        <v>46003</v>
      </c>
      <c r="CD109" s="11" t="s">
        <v>1113</v>
      </c>
    </row>
    <row r="110" spans="1:82" s="18" customFormat="1" ht="66.75" customHeight="1" x14ac:dyDescent="0.25">
      <c r="A110" s="87">
        <v>106</v>
      </c>
      <c r="B110" s="141" t="s">
        <v>1177</v>
      </c>
      <c r="C110" s="6" t="s">
        <v>1178</v>
      </c>
      <c r="D110" s="6" t="s">
        <v>1179</v>
      </c>
      <c r="E110" s="75" t="s">
        <v>113</v>
      </c>
      <c r="F110" s="4" t="s">
        <v>81</v>
      </c>
      <c r="G110" s="33" t="s">
        <v>84</v>
      </c>
      <c r="H110" s="49" t="s">
        <v>775</v>
      </c>
      <c r="I110" s="49" t="s">
        <v>578</v>
      </c>
      <c r="J110" s="6"/>
      <c r="K110" s="49"/>
      <c r="L110" s="49"/>
      <c r="M110" s="49" t="s">
        <v>88</v>
      </c>
      <c r="N110" s="49" t="s">
        <v>89</v>
      </c>
      <c r="O110" s="49" t="s">
        <v>579</v>
      </c>
      <c r="P110" s="6" t="s">
        <v>580</v>
      </c>
      <c r="Q110" s="49"/>
      <c r="R110" s="75" t="s">
        <v>91</v>
      </c>
      <c r="S110" s="33" t="s">
        <v>92</v>
      </c>
      <c r="T110" s="33" t="s">
        <v>93</v>
      </c>
      <c r="U110" s="78">
        <v>100</v>
      </c>
      <c r="V110" s="33" t="s">
        <v>94</v>
      </c>
      <c r="W110" s="33" t="s">
        <v>95</v>
      </c>
      <c r="X110" s="33">
        <v>2022</v>
      </c>
      <c r="Y110" s="33" t="s">
        <v>117</v>
      </c>
      <c r="Z110" s="33" t="s">
        <v>97</v>
      </c>
      <c r="AA110" s="33" t="s">
        <v>98</v>
      </c>
      <c r="AB110" s="49" t="s">
        <v>99</v>
      </c>
      <c r="AC110" s="48" t="s">
        <v>1180</v>
      </c>
      <c r="AD110" s="79" t="s">
        <v>1181</v>
      </c>
      <c r="AE110" s="6" t="s">
        <v>1054</v>
      </c>
      <c r="AF110" s="6" t="s">
        <v>1107</v>
      </c>
      <c r="AG110" s="6" t="s">
        <v>1055</v>
      </c>
      <c r="AH110" s="49" t="s">
        <v>123</v>
      </c>
      <c r="AI110" s="6" t="s">
        <v>1108</v>
      </c>
      <c r="AJ110" s="6" t="s">
        <v>1182</v>
      </c>
      <c r="AK110" s="33" t="s">
        <v>97</v>
      </c>
      <c r="AL110" s="33" t="s">
        <v>97</v>
      </c>
      <c r="AM110" s="5" t="s">
        <v>5539</v>
      </c>
      <c r="AN110" s="6" t="s">
        <v>631</v>
      </c>
      <c r="AO110" s="6"/>
      <c r="AP110" s="6"/>
      <c r="AQ110" s="6" t="s">
        <v>982</v>
      </c>
      <c r="AR110" s="20" t="s">
        <v>97</v>
      </c>
      <c r="AS110" s="20" t="s">
        <v>107</v>
      </c>
      <c r="AT110" s="20"/>
      <c r="AU110" s="24">
        <v>0.95</v>
      </c>
      <c r="AV110" s="24">
        <f t="shared" si="19"/>
        <v>0.76</v>
      </c>
      <c r="AW110" s="24">
        <f t="shared" si="20"/>
        <v>0.56999999999999995</v>
      </c>
      <c r="AX110" s="25">
        <v>1E-4</v>
      </c>
      <c r="AY110" s="24">
        <v>0</v>
      </c>
      <c r="AZ110" s="24">
        <f t="shared" si="16"/>
        <v>0.85499999999999998</v>
      </c>
      <c r="BA110" s="24">
        <f t="shared" si="17"/>
        <v>0.68400000000000005</v>
      </c>
      <c r="BB110" s="24">
        <f t="shared" si="18"/>
        <v>0.51300000000000001</v>
      </c>
      <c r="BC110" s="25">
        <v>1E-4</v>
      </c>
      <c r="BD110" s="24">
        <v>0</v>
      </c>
      <c r="BE110" s="26">
        <v>0</v>
      </c>
      <c r="BF110" s="34">
        <f t="shared" si="12"/>
        <v>0</v>
      </c>
      <c r="BG110" s="34">
        <f t="shared" si="13"/>
        <v>0</v>
      </c>
      <c r="BH110" s="26">
        <v>0</v>
      </c>
      <c r="BI110" s="26">
        <v>0</v>
      </c>
      <c r="BJ110" s="20" t="s">
        <v>496</v>
      </c>
      <c r="BK110" s="27">
        <v>0.15674335447308055</v>
      </c>
      <c r="BL110" s="27" t="s">
        <v>1183</v>
      </c>
      <c r="BM110" s="27" t="s">
        <v>1184</v>
      </c>
      <c r="BN110" s="26"/>
      <c r="BO110" s="34"/>
      <c r="BP110" s="34"/>
      <c r="BQ110" s="34"/>
      <c r="BR110" s="34"/>
      <c r="BS110" s="34"/>
      <c r="BT110" s="34"/>
      <c r="BU110" s="34"/>
      <c r="BV110" s="34"/>
      <c r="BW110" s="34"/>
      <c r="BX110" s="34"/>
      <c r="BY110" s="34"/>
      <c r="BZ110" s="34"/>
      <c r="CA110" s="20"/>
      <c r="CB110" s="20"/>
      <c r="CC110" s="29">
        <v>46003</v>
      </c>
      <c r="CD110" s="11" t="s">
        <v>1185</v>
      </c>
    </row>
    <row r="111" spans="1:82" s="18" customFormat="1" ht="66.75" customHeight="1" x14ac:dyDescent="0.25">
      <c r="A111" s="87">
        <v>107</v>
      </c>
      <c r="B111" s="141" t="s">
        <v>1186</v>
      </c>
      <c r="C111" s="6" t="s">
        <v>1187</v>
      </c>
      <c r="D111" s="6" t="s">
        <v>1188</v>
      </c>
      <c r="E111" s="75" t="s">
        <v>113</v>
      </c>
      <c r="F111" s="4" t="s">
        <v>81</v>
      </c>
      <c r="G111" s="33" t="s">
        <v>84</v>
      </c>
      <c r="H111" s="49" t="s">
        <v>775</v>
      </c>
      <c r="I111" s="49" t="s">
        <v>578</v>
      </c>
      <c r="J111" s="6"/>
      <c r="K111" s="49"/>
      <c r="L111" s="49"/>
      <c r="M111" s="49" t="s">
        <v>88</v>
      </c>
      <c r="N111" s="49" t="s">
        <v>89</v>
      </c>
      <c r="O111" s="49" t="s">
        <v>579</v>
      </c>
      <c r="P111" s="6" t="s">
        <v>580</v>
      </c>
      <c r="Q111" s="49"/>
      <c r="R111" s="75" t="s">
        <v>91</v>
      </c>
      <c r="S111" s="33" t="s">
        <v>92</v>
      </c>
      <c r="T111" s="33" t="s">
        <v>93</v>
      </c>
      <c r="U111" s="78">
        <v>100</v>
      </c>
      <c r="V111" s="33" t="s">
        <v>94</v>
      </c>
      <c r="W111" s="33" t="s">
        <v>95</v>
      </c>
      <c r="X111" s="33">
        <v>2022</v>
      </c>
      <c r="Y111" s="33" t="s">
        <v>117</v>
      </c>
      <c r="Z111" s="33" t="s">
        <v>97</v>
      </c>
      <c r="AA111" s="33" t="s">
        <v>98</v>
      </c>
      <c r="AB111" s="49" t="s">
        <v>99</v>
      </c>
      <c r="AC111" s="48" t="s">
        <v>1189</v>
      </c>
      <c r="AD111" s="79" t="s">
        <v>1190</v>
      </c>
      <c r="AE111" s="6" t="s">
        <v>1191</v>
      </c>
      <c r="AF111" s="6" t="s">
        <v>121</v>
      </c>
      <c r="AG111" s="6" t="s">
        <v>218</v>
      </c>
      <c r="AH111" s="49" t="s">
        <v>123</v>
      </c>
      <c r="AI111" s="6" t="s">
        <v>1192</v>
      </c>
      <c r="AJ111" s="6" t="s">
        <v>1193</v>
      </c>
      <c r="AK111" s="33" t="s">
        <v>97</v>
      </c>
      <c r="AL111" s="33" t="s">
        <v>97</v>
      </c>
      <c r="AM111" s="5" t="s">
        <v>5539</v>
      </c>
      <c r="AN111" s="5" t="s">
        <v>470</v>
      </c>
      <c r="AO111" s="5"/>
      <c r="AP111" s="5"/>
      <c r="AQ111" s="6" t="s">
        <v>982</v>
      </c>
      <c r="AR111" s="20" t="s">
        <v>97</v>
      </c>
      <c r="AS111" s="20" t="s">
        <v>107</v>
      </c>
      <c r="AT111" s="20"/>
      <c r="AU111" s="24">
        <v>0.85</v>
      </c>
      <c r="AV111" s="24">
        <f t="shared" si="19"/>
        <v>0.68</v>
      </c>
      <c r="AW111" s="24">
        <f t="shared" si="20"/>
        <v>0.51</v>
      </c>
      <c r="AX111" s="25">
        <v>1E-4</v>
      </c>
      <c r="AY111" s="24">
        <v>0</v>
      </c>
      <c r="AZ111" s="24">
        <f t="shared" si="16"/>
        <v>0.76500000000000001</v>
      </c>
      <c r="BA111" s="24">
        <f t="shared" si="17"/>
        <v>0.6120000000000001</v>
      </c>
      <c r="BB111" s="24">
        <f t="shared" si="18"/>
        <v>0.45899999999999996</v>
      </c>
      <c r="BC111" s="25">
        <v>1E-4</v>
      </c>
      <c r="BD111" s="24">
        <v>0</v>
      </c>
      <c r="BE111" s="26">
        <v>0</v>
      </c>
      <c r="BF111" s="34">
        <f t="shared" si="12"/>
        <v>0</v>
      </c>
      <c r="BG111" s="34">
        <f t="shared" si="13"/>
        <v>0</v>
      </c>
      <c r="BH111" s="26">
        <v>0</v>
      </c>
      <c r="BI111" s="26">
        <v>0</v>
      </c>
      <c r="BJ111" s="27">
        <v>0.76</v>
      </c>
      <c r="BK111" s="27">
        <v>0.8033183517267567</v>
      </c>
      <c r="BL111" s="27" t="s">
        <v>1194</v>
      </c>
      <c r="BM111" s="27" t="s">
        <v>1195</v>
      </c>
      <c r="BN111" s="26"/>
      <c r="BO111" s="34"/>
      <c r="BP111" s="34"/>
      <c r="BQ111" s="34"/>
      <c r="BR111" s="34"/>
      <c r="BS111" s="34"/>
      <c r="BT111" s="34"/>
      <c r="BU111" s="34"/>
      <c r="BV111" s="34"/>
      <c r="BW111" s="34"/>
      <c r="BX111" s="34"/>
      <c r="BY111" s="34"/>
      <c r="BZ111" s="34"/>
      <c r="CA111" s="20"/>
      <c r="CB111" s="20"/>
      <c r="CC111" s="29">
        <v>46003</v>
      </c>
      <c r="CD111" s="11" t="s">
        <v>1113</v>
      </c>
    </row>
    <row r="112" spans="1:82" s="18" customFormat="1" ht="66.75" customHeight="1" x14ac:dyDescent="0.25">
      <c r="A112" s="121">
        <v>108</v>
      </c>
      <c r="B112" s="141" t="s">
        <v>1196</v>
      </c>
      <c r="C112" s="6" t="s">
        <v>1197</v>
      </c>
      <c r="D112" s="6" t="s">
        <v>1198</v>
      </c>
      <c r="E112" s="75" t="s">
        <v>113</v>
      </c>
      <c r="F112" s="4" t="s">
        <v>81</v>
      </c>
      <c r="G112" s="33" t="s">
        <v>84</v>
      </c>
      <c r="H112" s="49" t="s">
        <v>775</v>
      </c>
      <c r="I112" s="49" t="s">
        <v>578</v>
      </c>
      <c r="J112" s="6"/>
      <c r="K112" s="49"/>
      <c r="L112" s="49"/>
      <c r="M112" s="49" t="s">
        <v>88</v>
      </c>
      <c r="N112" s="49" t="s">
        <v>89</v>
      </c>
      <c r="O112" s="49" t="s">
        <v>579</v>
      </c>
      <c r="P112" s="6" t="s">
        <v>580</v>
      </c>
      <c r="Q112" s="49"/>
      <c r="R112" s="75" t="s">
        <v>91</v>
      </c>
      <c r="S112" s="33" t="s">
        <v>92</v>
      </c>
      <c r="T112" s="33" t="s">
        <v>93</v>
      </c>
      <c r="U112" s="78">
        <v>100</v>
      </c>
      <c r="V112" s="33" t="s">
        <v>94</v>
      </c>
      <c r="W112" s="33" t="s">
        <v>95</v>
      </c>
      <c r="X112" s="33">
        <v>2022</v>
      </c>
      <c r="Y112" s="33" t="s">
        <v>117</v>
      </c>
      <c r="Z112" s="33" t="s">
        <v>97</v>
      </c>
      <c r="AA112" s="33" t="s">
        <v>98</v>
      </c>
      <c r="AB112" s="49" t="s">
        <v>99</v>
      </c>
      <c r="AC112" s="48" t="s">
        <v>1199</v>
      </c>
      <c r="AD112" s="79" t="s">
        <v>1200</v>
      </c>
      <c r="AE112" s="6" t="s">
        <v>1191</v>
      </c>
      <c r="AF112" s="6" t="s">
        <v>121</v>
      </c>
      <c r="AG112" s="6" t="s">
        <v>218</v>
      </c>
      <c r="AH112" s="49" t="s">
        <v>123</v>
      </c>
      <c r="AI112" s="6" t="s">
        <v>1201</v>
      </c>
      <c r="AJ112" s="6" t="s">
        <v>1202</v>
      </c>
      <c r="AK112" s="33" t="s">
        <v>97</v>
      </c>
      <c r="AL112" s="33" t="s">
        <v>97</v>
      </c>
      <c r="AM112" s="5" t="s">
        <v>7441</v>
      </c>
      <c r="AN112" s="5" t="s">
        <v>470</v>
      </c>
      <c r="AO112" s="5"/>
      <c r="AP112" s="5"/>
      <c r="AQ112" s="6" t="s">
        <v>1203</v>
      </c>
      <c r="AR112" s="20" t="s">
        <v>97</v>
      </c>
      <c r="AS112" s="20" t="s">
        <v>107</v>
      </c>
      <c r="AT112" s="20"/>
      <c r="AU112" s="24">
        <v>0.7</v>
      </c>
      <c r="AV112" s="24">
        <f t="shared" si="19"/>
        <v>0.55999999999999994</v>
      </c>
      <c r="AW112" s="24">
        <f t="shared" si="20"/>
        <v>0.42</v>
      </c>
      <c r="AX112" s="25">
        <v>1E-4</v>
      </c>
      <c r="AY112" s="24">
        <v>0</v>
      </c>
      <c r="AZ112" s="24">
        <f t="shared" si="16"/>
        <v>0.63</v>
      </c>
      <c r="BA112" s="24">
        <f t="shared" si="17"/>
        <v>0.504</v>
      </c>
      <c r="BB112" s="24">
        <f t="shared" si="18"/>
        <v>0.378</v>
      </c>
      <c r="BC112" s="25">
        <v>1E-4</v>
      </c>
      <c r="BD112" s="24">
        <v>0</v>
      </c>
      <c r="BE112" s="26">
        <v>0</v>
      </c>
      <c r="BF112" s="34">
        <f t="shared" si="12"/>
        <v>0</v>
      </c>
      <c r="BG112" s="34">
        <f t="shared" si="13"/>
        <v>0</v>
      </c>
      <c r="BH112" s="26">
        <v>0</v>
      </c>
      <c r="BI112" s="26">
        <v>0</v>
      </c>
      <c r="BJ112" s="27">
        <v>0.61899999999999999</v>
      </c>
      <c r="BK112" s="27">
        <v>0.63968087261834228</v>
      </c>
      <c r="BL112" s="27" t="s">
        <v>1204</v>
      </c>
      <c r="BM112" s="27" t="s">
        <v>1205</v>
      </c>
      <c r="BN112" s="26"/>
      <c r="BO112" s="34"/>
      <c r="BP112" s="34"/>
      <c r="BQ112" s="34"/>
      <c r="BR112" s="34"/>
      <c r="BS112" s="34"/>
      <c r="BT112" s="34"/>
      <c r="BU112" s="34"/>
      <c r="BV112" s="34"/>
      <c r="BW112" s="34"/>
      <c r="BX112" s="34"/>
      <c r="BY112" s="34"/>
      <c r="BZ112" s="34">
        <v>1</v>
      </c>
      <c r="CA112" s="20" t="s">
        <v>578</v>
      </c>
      <c r="CB112" s="20" t="s">
        <v>578</v>
      </c>
      <c r="CC112" s="29">
        <v>46003</v>
      </c>
      <c r="CD112" s="11" t="s">
        <v>1206</v>
      </c>
    </row>
    <row r="113" spans="1:82" s="18" customFormat="1" ht="66.75" customHeight="1" x14ac:dyDescent="0.25">
      <c r="A113" s="87">
        <v>109</v>
      </c>
      <c r="B113" s="141" t="s">
        <v>1207</v>
      </c>
      <c r="C113" s="6" t="s">
        <v>1208</v>
      </c>
      <c r="D113" s="6" t="s">
        <v>1209</v>
      </c>
      <c r="E113" s="75" t="s">
        <v>113</v>
      </c>
      <c r="F113" s="4" t="s">
        <v>81</v>
      </c>
      <c r="G113" s="33" t="s">
        <v>84</v>
      </c>
      <c r="H113" s="49" t="s">
        <v>775</v>
      </c>
      <c r="I113" s="49" t="s">
        <v>578</v>
      </c>
      <c r="J113" s="6"/>
      <c r="K113" s="49"/>
      <c r="L113" s="49"/>
      <c r="M113" s="49" t="s">
        <v>88</v>
      </c>
      <c r="N113" s="49" t="s">
        <v>89</v>
      </c>
      <c r="O113" s="49" t="s">
        <v>579</v>
      </c>
      <c r="P113" s="6" t="s">
        <v>580</v>
      </c>
      <c r="Q113" s="49"/>
      <c r="R113" s="75" t="s">
        <v>91</v>
      </c>
      <c r="S113" s="33" t="s">
        <v>92</v>
      </c>
      <c r="T113" s="33" t="s">
        <v>93</v>
      </c>
      <c r="U113" s="78">
        <v>100</v>
      </c>
      <c r="V113" s="33" t="s">
        <v>94</v>
      </c>
      <c r="W113" s="33" t="s">
        <v>95</v>
      </c>
      <c r="X113" s="33">
        <v>2022</v>
      </c>
      <c r="Y113" s="33" t="s">
        <v>117</v>
      </c>
      <c r="Z113" s="33" t="s">
        <v>97</v>
      </c>
      <c r="AA113" s="33" t="s">
        <v>98</v>
      </c>
      <c r="AB113" s="49" t="s">
        <v>99</v>
      </c>
      <c r="AC113" s="48" t="s">
        <v>1210</v>
      </c>
      <c r="AD113" s="79" t="s">
        <v>1200</v>
      </c>
      <c r="AE113" s="6" t="s">
        <v>1066</v>
      </c>
      <c r="AF113" s="6" t="s">
        <v>121</v>
      </c>
      <c r="AG113" s="6" t="s">
        <v>218</v>
      </c>
      <c r="AH113" s="49" t="s">
        <v>123</v>
      </c>
      <c r="AI113" s="6" t="s">
        <v>1211</v>
      </c>
      <c r="AJ113" s="6" t="s">
        <v>1202</v>
      </c>
      <c r="AK113" s="33" t="s">
        <v>97</v>
      </c>
      <c r="AL113" s="33" t="s">
        <v>97</v>
      </c>
      <c r="AM113" s="5" t="s">
        <v>5539</v>
      </c>
      <c r="AN113" s="5" t="s">
        <v>470</v>
      </c>
      <c r="AO113" s="5"/>
      <c r="AP113" s="5"/>
      <c r="AQ113" s="6" t="s">
        <v>982</v>
      </c>
      <c r="AR113" s="20" t="s">
        <v>97</v>
      </c>
      <c r="AS113" s="20" t="s">
        <v>107</v>
      </c>
      <c r="AT113" s="20"/>
      <c r="AU113" s="24">
        <v>0.8</v>
      </c>
      <c r="AV113" s="24">
        <f t="shared" si="19"/>
        <v>0.64000000000000012</v>
      </c>
      <c r="AW113" s="24">
        <f t="shared" si="20"/>
        <v>0.48</v>
      </c>
      <c r="AX113" s="25">
        <v>1E-4</v>
      </c>
      <c r="AY113" s="24">
        <v>0</v>
      </c>
      <c r="AZ113" s="24">
        <f t="shared" ref="AZ113:AZ137" si="21">+AU113*90%</f>
        <v>0.72000000000000008</v>
      </c>
      <c r="BA113" s="24">
        <f t="shared" ref="BA113:BA144" si="22">AZ113*80%</f>
        <v>0.57600000000000007</v>
      </c>
      <c r="BB113" s="24">
        <f t="shared" ref="BB113:BB149" si="23">AZ113*60%</f>
        <v>0.43200000000000005</v>
      </c>
      <c r="BC113" s="25">
        <v>1E-4</v>
      </c>
      <c r="BD113" s="24">
        <v>0</v>
      </c>
      <c r="BE113" s="26">
        <v>0</v>
      </c>
      <c r="BF113" s="34">
        <f t="shared" si="12"/>
        <v>0</v>
      </c>
      <c r="BG113" s="34">
        <f t="shared" si="13"/>
        <v>0</v>
      </c>
      <c r="BH113" s="26">
        <v>0</v>
      </c>
      <c r="BI113" s="26">
        <v>0</v>
      </c>
      <c r="BJ113" s="20" t="s">
        <v>496</v>
      </c>
      <c r="BK113" s="27">
        <v>0.75858422649503598</v>
      </c>
      <c r="BL113" s="27" t="s">
        <v>1212</v>
      </c>
      <c r="BM113" s="27" t="s">
        <v>1213</v>
      </c>
      <c r="BN113" s="26"/>
      <c r="BO113" s="34"/>
      <c r="BP113" s="34"/>
      <c r="BQ113" s="34"/>
      <c r="BR113" s="34"/>
      <c r="BS113" s="34"/>
      <c r="BT113" s="34"/>
      <c r="BU113" s="34"/>
      <c r="BV113" s="34"/>
      <c r="BW113" s="34"/>
      <c r="BX113" s="34"/>
      <c r="BY113" s="34"/>
      <c r="BZ113" s="34"/>
      <c r="CA113" s="20"/>
      <c r="CB113" s="20"/>
      <c r="CC113" s="29">
        <v>46003</v>
      </c>
      <c r="CD113" s="11" t="s">
        <v>1113</v>
      </c>
    </row>
    <row r="114" spans="1:82" s="18" customFormat="1" ht="66.75" customHeight="1" x14ac:dyDescent="0.25">
      <c r="A114" s="87">
        <v>110</v>
      </c>
      <c r="B114" s="141" t="s">
        <v>1214</v>
      </c>
      <c r="C114" s="6" t="s">
        <v>1215</v>
      </c>
      <c r="D114" s="6" t="s">
        <v>1216</v>
      </c>
      <c r="E114" s="75" t="s">
        <v>113</v>
      </c>
      <c r="F114" s="4" t="s">
        <v>81</v>
      </c>
      <c r="G114" s="33" t="s">
        <v>84</v>
      </c>
      <c r="H114" s="49" t="s">
        <v>775</v>
      </c>
      <c r="I114" s="49" t="s">
        <v>578</v>
      </c>
      <c r="J114" s="6"/>
      <c r="K114" s="49"/>
      <c r="L114" s="49"/>
      <c r="M114" s="49" t="s">
        <v>88</v>
      </c>
      <c r="N114" s="49" t="s">
        <v>89</v>
      </c>
      <c r="O114" s="49" t="s">
        <v>579</v>
      </c>
      <c r="P114" s="6" t="s">
        <v>580</v>
      </c>
      <c r="Q114" s="49"/>
      <c r="R114" s="75" t="s">
        <v>91</v>
      </c>
      <c r="S114" s="33" t="s">
        <v>92</v>
      </c>
      <c r="T114" s="33" t="s">
        <v>93</v>
      </c>
      <c r="U114" s="78">
        <v>100</v>
      </c>
      <c r="V114" s="33" t="s">
        <v>94</v>
      </c>
      <c r="W114" s="33" t="s">
        <v>95</v>
      </c>
      <c r="X114" s="33">
        <v>2022</v>
      </c>
      <c r="Y114" s="33" t="s">
        <v>117</v>
      </c>
      <c r="Z114" s="33" t="s">
        <v>97</v>
      </c>
      <c r="AA114" s="33" t="s">
        <v>98</v>
      </c>
      <c r="AB114" s="49" t="s">
        <v>99</v>
      </c>
      <c r="AC114" s="48" t="s">
        <v>1217</v>
      </c>
      <c r="AD114" s="79" t="s">
        <v>1218</v>
      </c>
      <c r="AE114" s="6" t="s">
        <v>1066</v>
      </c>
      <c r="AF114" s="6" t="s">
        <v>121</v>
      </c>
      <c r="AG114" s="6" t="s">
        <v>218</v>
      </c>
      <c r="AH114" s="49" t="s">
        <v>123</v>
      </c>
      <c r="AI114" s="6" t="s">
        <v>1219</v>
      </c>
      <c r="AJ114" s="6" t="s">
        <v>1220</v>
      </c>
      <c r="AK114" s="33" t="s">
        <v>97</v>
      </c>
      <c r="AL114" s="33" t="s">
        <v>97</v>
      </c>
      <c r="AM114" s="5" t="s">
        <v>5539</v>
      </c>
      <c r="AN114" s="5"/>
      <c r="AO114" s="5"/>
      <c r="AP114" s="5"/>
      <c r="AQ114" s="6" t="s">
        <v>982</v>
      </c>
      <c r="AR114" s="20" t="s">
        <v>97</v>
      </c>
      <c r="AS114" s="20" t="s">
        <v>107</v>
      </c>
      <c r="AT114" s="20"/>
      <c r="AU114" s="24">
        <v>0.4</v>
      </c>
      <c r="AV114" s="24">
        <f t="shared" si="19"/>
        <v>0.32000000000000006</v>
      </c>
      <c r="AW114" s="24">
        <f t="shared" si="20"/>
        <v>0.24</v>
      </c>
      <c r="AX114" s="25">
        <v>1E-4</v>
      </c>
      <c r="AY114" s="24">
        <v>0</v>
      </c>
      <c r="AZ114" s="24">
        <f t="shared" si="21"/>
        <v>0.36000000000000004</v>
      </c>
      <c r="BA114" s="24">
        <f t="shared" si="22"/>
        <v>0.28800000000000003</v>
      </c>
      <c r="BB114" s="24">
        <f t="shared" si="23"/>
        <v>0.21600000000000003</v>
      </c>
      <c r="BC114" s="25">
        <v>1E-4</v>
      </c>
      <c r="BD114" s="24">
        <v>0</v>
      </c>
      <c r="BE114" s="26">
        <v>0</v>
      </c>
      <c r="BF114" s="34">
        <f t="shared" si="12"/>
        <v>0</v>
      </c>
      <c r="BG114" s="34">
        <f t="shared" si="13"/>
        <v>0</v>
      </c>
      <c r="BH114" s="26">
        <v>0</v>
      </c>
      <c r="BI114" s="26">
        <v>0</v>
      </c>
      <c r="BJ114" s="20" t="s">
        <v>496</v>
      </c>
      <c r="BK114" s="27">
        <v>0.27043274142994378</v>
      </c>
      <c r="BL114" s="27" t="s">
        <v>1221</v>
      </c>
      <c r="BM114" s="27" t="s">
        <v>1222</v>
      </c>
      <c r="BN114" s="26"/>
      <c r="BO114" s="34"/>
      <c r="BP114" s="34"/>
      <c r="BQ114" s="34"/>
      <c r="BR114" s="34"/>
      <c r="BS114" s="34"/>
      <c r="BT114" s="34"/>
      <c r="BU114" s="34"/>
      <c r="BV114" s="34"/>
      <c r="BW114" s="34"/>
      <c r="BX114" s="34"/>
      <c r="BY114" s="34"/>
      <c r="BZ114" s="34"/>
      <c r="CA114" s="20"/>
      <c r="CB114" s="20"/>
      <c r="CC114" s="29">
        <v>46003</v>
      </c>
      <c r="CD114" s="11" t="s">
        <v>1113</v>
      </c>
    </row>
    <row r="115" spans="1:82" s="18" customFormat="1" ht="66.75" customHeight="1" x14ac:dyDescent="0.25">
      <c r="A115" s="121">
        <v>111</v>
      </c>
      <c r="B115" s="141" t="s">
        <v>1223</v>
      </c>
      <c r="C115" s="6" t="s">
        <v>1224</v>
      </c>
      <c r="D115" s="6" t="s">
        <v>1225</v>
      </c>
      <c r="E115" s="75" t="s">
        <v>113</v>
      </c>
      <c r="F115" s="4" t="s">
        <v>81</v>
      </c>
      <c r="G115" s="33" t="s">
        <v>84</v>
      </c>
      <c r="H115" s="49" t="s">
        <v>775</v>
      </c>
      <c r="I115" s="49" t="s">
        <v>578</v>
      </c>
      <c r="J115" s="6"/>
      <c r="K115" s="49"/>
      <c r="L115" s="49"/>
      <c r="M115" s="49" t="s">
        <v>88</v>
      </c>
      <c r="N115" s="49" t="s">
        <v>89</v>
      </c>
      <c r="O115" s="49" t="s">
        <v>579</v>
      </c>
      <c r="P115" s="6" t="s">
        <v>580</v>
      </c>
      <c r="Q115" s="49"/>
      <c r="R115" s="75" t="s">
        <v>91</v>
      </c>
      <c r="S115" s="33" t="s">
        <v>92</v>
      </c>
      <c r="T115" s="33" t="s">
        <v>93</v>
      </c>
      <c r="U115" s="78">
        <v>100</v>
      </c>
      <c r="V115" s="33" t="s">
        <v>94</v>
      </c>
      <c r="W115" s="33" t="s">
        <v>95</v>
      </c>
      <c r="X115" s="33">
        <v>2022</v>
      </c>
      <c r="Y115" s="33" t="s">
        <v>117</v>
      </c>
      <c r="Z115" s="33" t="s">
        <v>97</v>
      </c>
      <c r="AA115" s="33" t="s">
        <v>98</v>
      </c>
      <c r="AB115" s="49" t="s">
        <v>99</v>
      </c>
      <c r="AC115" s="79" t="s">
        <v>1226</v>
      </c>
      <c r="AD115" s="79" t="s">
        <v>1218</v>
      </c>
      <c r="AE115" s="6" t="s">
        <v>1066</v>
      </c>
      <c r="AF115" s="6" t="s">
        <v>121</v>
      </c>
      <c r="AG115" s="6" t="s">
        <v>218</v>
      </c>
      <c r="AH115" s="49" t="s">
        <v>123</v>
      </c>
      <c r="AI115" s="6" t="s">
        <v>1227</v>
      </c>
      <c r="AJ115" s="6" t="s">
        <v>1220</v>
      </c>
      <c r="AK115" s="33" t="s">
        <v>97</v>
      </c>
      <c r="AL115" s="33" t="s">
        <v>97</v>
      </c>
      <c r="AM115" s="5" t="s">
        <v>5539</v>
      </c>
      <c r="AN115" s="5"/>
      <c r="AO115" s="5"/>
      <c r="AP115" s="5"/>
      <c r="AQ115" s="6" t="s">
        <v>982</v>
      </c>
      <c r="AR115" s="20" t="s">
        <v>97</v>
      </c>
      <c r="AS115" s="20" t="s">
        <v>107</v>
      </c>
      <c r="AT115" s="20"/>
      <c r="AU115" s="24">
        <v>0.4</v>
      </c>
      <c r="AV115" s="24">
        <f t="shared" si="19"/>
        <v>0.32000000000000006</v>
      </c>
      <c r="AW115" s="24">
        <f t="shared" si="20"/>
        <v>0.24</v>
      </c>
      <c r="AX115" s="25">
        <v>1E-4</v>
      </c>
      <c r="AY115" s="24">
        <v>0</v>
      </c>
      <c r="AZ115" s="24">
        <f t="shared" si="21"/>
        <v>0.36000000000000004</v>
      </c>
      <c r="BA115" s="24">
        <f t="shared" si="22"/>
        <v>0.28800000000000003</v>
      </c>
      <c r="BB115" s="24">
        <f t="shared" si="23"/>
        <v>0.21600000000000003</v>
      </c>
      <c r="BC115" s="25">
        <v>1E-4</v>
      </c>
      <c r="BD115" s="24">
        <v>0</v>
      </c>
      <c r="BE115" s="26">
        <v>0</v>
      </c>
      <c r="BF115" s="34">
        <f t="shared" si="12"/>
        <v>0</v>
      </c>
      <c r="BG115" s="34">
        <f t="shared" si="13"/>
        <v>0</v>
      </c>
      <c r="BH115" s="26">
        <v>0</v>
      </c>
      <c r="BI115" s="26">
        <v>0</v>
      </c>
      <c r="BJ115" s="20" t="s">
        <v>496</v>
      </c>
      <c r="BK115" s="27">
        <v>3.2911161145837621E-2</v>
      </c>
      <c r="BL115" s="27" t="s">
        <v>1228</v>
      </c>
      <c r="BM115" s="27" t="s">
        <v>1229</v>
      </c>
      <c r="BN115" s="26"/>
      <c r="BO115" s="34"/>
      <c r="BP115" s="34"/>
      <c r="BQ115" s="34"/>
      <c r="BR115" s="34"/>
      <c r="BS115" s="34"/>
      <c r="BT115" s="34"/>
      <c r="BU115" s="34"/>
      <c r="BV115" s="34"/>
      <c r="BW115" s="34"/>
      <c r="BX115" s="34"/>
      <c r="BY115" s="34"/>
      <c r="BZ115" s="34"/>
      <c r="CA115" s="20"/>
      <c r="CB115" s="20"/>
      <c r="CC115" s="29">
        <v>46003</v>
      </c>
      <c r="CD115" s="11" t="s">
        <v>1113</v>
      </c>
    </row>
    <row r="116" spans="1:82" s="18" customFormat="1" ht="66.75" customHeight="1" x14ac:dyDescent="0.25">
      <c r="A116" s="87">
        <v>112</v>
      </c>
      <c r="B116" s="141" t="s">
        <v>1230</v>
      </c>
      <c r="C116" s="6" t="s">
        <v>1231</v>
      </c>
      <c r="D116" s="6" t="s">
        <v>1232</v>
      </c>
      <c r="E116" s="75" t="s">
        <v>113</v>
      </c>
      <c r="F116" s="4" t="s">
        <v>81</v>
      </c>
      <c r="G116" s="33" t="s">
        <v>84</v>
      </c>
      <c r="H116" s="49" t="s">
        <v>775</v>
      </c>
      <c r="I116" s="49" t="s">
        <v>578</v>
      </c>
      <c r="J116" s="6"/>
      <c r="K116" s="49"/>
      <c r="L116" s="49"/>
      <c r="M116" s="49" t="s">
        <v>88</v>
      </c>
      <c r="N116" s="49" t="s">
        <v>89</v>
      </c>
      <c r="O116" s="49" t="s">
        <v>579</v>
      </c>
      <c r="P116" s="6" t="s">
        <v>580</v>
      </c>
      <c r="Q116" s="49"/>
      <c r="R116" s="75" t="s">
        <v>175</v>
      </c>
      <c r="S116" s="33" t="s">
        <v>92</v>
      </c>
      <c r="T116" s="33" t="s">
        <v>93</v>
      </c>
      <c r="U116" s="78">
        <v>100</v>
      </c>
      <c r="V116" s="33" t="s">
        <v>94</v>
      </c>
      <c r="W116" s="33" t="s">
        <v>95</v>
      </c>
      <c r="X116" s="33">
        <v>2022</v>
      </c>
      <c r="Y116" s="33" t="s">
        <v>117</v>
      </c>
      <c r="Z116" s="33" t="s">
        <v>97</v>
      </c>
      <c r="AA116" s="33" t="s">
        <v>98</v>
      </c>
      <c r="AB116" s="49" t="s">
        <v>99</v>
      </c>
      <c r="AC116" s="48" t="s">
        <v>1233</v>
      </c>
      <c r="AD116" s="79" t="s">
        <v>1234</v>
      </c>
      <c r="AE116" s="6" t="s">
        <v>1066</v>
      </c>
      <c r="AF116" s="6" t="s">
        <v>121</v>
      </c>
      <c r="AG116" s="6" t="s">
        <v>218</v>
      </c>
      <c r="AH116" s="49" t="s">
        <v>123</v>
      </c>
      <c r="AI116" s="6" t="s">
        <v>1235</v>
      </c>
      <c r="AJ116" s="6" t="s">
        <v>1236</v>
      </c>
      <c r="AK116" s="33" t="s">
        <v>97</v>
      </c>
      <c r="AL116" s="33" t="s">
        <v>97</v>
      </c>
      <c r="AM116" s="5" t="s">
        <v>221</v>
      </c>
      <c r="AN116" s="5" t="s">
        <v>470</v>
      </c>
      <c r="AO116" s="5"/>
      <c r="AP116" s="5"/>
      <c r="AQ116" s="6" t="s">
        <v>982</v>
      </c>
      <c r="AR116" s="20" t="s">
        <v>97</v>
      </c>
      <c r="AS116" s="20" t="s">
        <v>107</v>
      </c>
      <c r="AT116" s="20"/>
      <c r="AU116" s="24">
        <v>0.85</v>
      </c>
      <c r="AV116" s="24">
        <f t="shared" si="19"/>
        <v>0.68</v>
      </c>
      <c r="AW116" s="24">
        <f t="shared" si="20"/>
        <v>0.51</v>
      </c>
      <c r="AX116" s="25">
        <v>1E-4</v>
      </c>
      <c r="AY116" s="24">
        <v>0</v>
      </c>
      <c r="AZ116" s="24">
        <f t="shared" si="21"/>
        <v>0.76500000000000001</v>
      </c>
      <c r="BA116" s="24">
        <f t="shared" si="22"/>
        <v>0.6120000000000001</v>
      </c>
      <c r="BB116" s="24">
        <f t="shared" si="23"/>
        <v>0.45899999999999996</v>
      </c>
      <c r="BC116" s="25">
        <v>1E-4</v>
      </c>
      <c r="BD116" s="24">
        <v>0</v>
      </c>
      <c r="BE116" s="26">
        <v>0</v>
      </c>
      <c r="BF116" s="34">
        <f t="shared" si="12"/>
        <v>0</v>
      </c>
      <c r="BG116" s="34">
        <f t="shared" si="13"/>
        <v>0</v>
      </c>
      <c r="BH116" s="26">
        <v>0</v>
      </c>
      <c r="BI116" s="26">
        <v>0</v>
      </c>
      <c r="BJ116" s="20" t="s">
        <v>496</v>
      </c>
      <c r="BK116" s="27">
        <v>0.81530954542258249</v>
      </c>
      <c r="BL116" s="27" t="s">
        <v>1237</v>
      </c>
      <c r="BM116" s="27" t="s">
        <v>1238</v>
      </c>
      <c r="BN116" s="26"/>
      <c r="BO116" s="34"/>
      <c r="BP116" s="34"/>
      <c r="BQ116" s="34"/>
      <c r="BR116" s="34"/>
      <c r="BS116" s="34"/>
      <c r="BT116" s="34"/>
      <c r="BU116" s="34"/>
      <c r="BV116" s="34"/>
      <c r="BW116" s="34"/>
      <c r="BX116" s="34"/>
      <c r="BY116" s="34"/>
      <c r="BZ116" s="34"/>
      <c r="CA116" s="20"/>
      <c r="CB116" s="20"/>
      <c r="CC116" s="29">
        <v>46003</v>
      </c>
      <c r="CD116" s="11" t="s">
        <v>1239</v>
      </c>
    </row>
    <row r="117" spans="1:82" s="18" customFormat="1" ht="66.75" customHeight="1" x14ac:dyDescent="0.25">
      <c r="A117" s="87">
        <v>113</v>
      </c>
      <c r="B117" s="141" t="s">
        <v>1240</v>
      </c>
      <c r="C117" s="6" t="s">
        <v>1241</v>
      </c>
      <c r="D117" s="6" t="s">
        <v>1242</v>
      </c>
      <c r="E117" s="75" t="s">
        <v>113</v>
      </c>
      <c r="F117" s="4" t="s">
        <v>81</v>
      </c>
      <c r="G117" s="33" t="s">
        <v>84</v>
      </c>
      <c r="H117" s="49" t="s">
        <v>775</v>
      </c>
      <c r="I117" s="49" t="s">
        <v>578</v>
      </c>
      <c r="J117" s="6"/>
      <c r="K117" s="49"/>
      <c r="L117" s="49"/>
      <c r="M117" s="49" t="s">
        <v>88</v>
      </c>
      <c r="N117" s="49" t="s">
        <v>89</v>
      </c>
      <c r="O117" s="49" t="s">
        <v>579</v>
      </c>
      <c r="P117" s="6" t="s">
        <v>580</v>
      </c>
      <c r="Q117" s="49"/>
      <c r="R117" s="75" t="s">
        <v>91</v>
      </c>
      <c r="S117" s="33" t="s">
        <v>92</v>
      </c>
      <c r="T117" s="33" t="s">
        <v>93</v>
      </c>
      <c r="U117" s="78">
        <v>100</v>
      </c>
      <c r="V117" s="33" t="s">
        <v>94</v>
      </c>
      <c r="W117" s="33" t="s">
        <v>95</v>
      </c>
      <c r="X117" s="33">
        <v>2023</v>
      </c>
      <c r="Y117" s="33" t="s">
        <v>117</v>
      </c>
      <c r="Z117" s="33" t="s">
        <v>97</v>
      </c>
      <c r="AA117" s="33" t="s">
        <v>98</v>
      </c>
      <c r="AB117" s="49" t="s">
        <v>99</v>
      </c>
      <c r="AC117" s="48" t="s">
        <v>1243</v>
      </c>
      <c r="AD117" s="79" t="s">
        <v>1244</v>
      </c>
      <c r="AE117" s="6" t="s">
        <v>1245</v>
      </c>
      <c r="AF117" s="6" t="s">
        <v>1246</v>
      </c>
      <c r="AG117" s="6" t="s">
        <v>218</v>
      </c>
      <c r="AH117" s="49" t="s">
        <v>123</v>
      </c>
      <c r="AI117" s="6" t="s">
        <v>1247</v>
      </c>
      <c r="AJ117" s="6" t="s">
        <v>1248</v>
      </c>
      <c r="AK117" s="33" t="s">
        <v>97</v>
      </c>
      <c r="AL117" s="33" t="s">
        <v>1249</v>
      </c>
      <c r="AM117" s="5" t="s">
        <v>5539</v>
      </c>
      <c r="AN117" s="6" t="s">
        <v>631</v>
      </c>
      <c r="AO117" s="6"/>
      <c r="AP117" s="6"/>
      <c r="AQ117" s="6" t="s">
        <v>982</v>
      </c>
      <c r="AR117" s="20" t="s">
        <v>97</v>
      </c>
      <c r="AS117" s="20" t="s">
        <v>107</v>
      </c>
      <c r="AT117" s="20"/>
      <c r="AU117" s="24">
        <v>0.5</v>
      </c>
      <c r="AV117" s="24">
        <f t="shared" si="19"/>
        <v>0.4</v>
      </c>
      <c r="AW117" s="24">
        <f t="shared" si="20"/>
        <v>0.3</v>
      </c>
      <c r="AX117" s="25">
        <v>1E-4</v>
      </c>
      <c r="AY117" s="24">
        <v>0</v>
      </c>
      <c r="AZ117" s="24">
        <f t="shared" si="21"/>
        <v>0.45</v>
      </c>
      <c r="BA117" s="24">
        <f t="shared" si="22"/>
        <v>0.36000000000000004</v>
      </c>
      <c r="BB117" s="24">
        <f t="shared" si="23"/>
        <v>0.27</v>
      </c>
      <c r="BC117" s="25">
        <v>1E-4</v>
      </c>
      <c r="BD117" s="24">
        <v>0</v>
      </c>
      <c r="BE117" s="26">
        <v>0</v>
      </c>
      <c r="BF117" s="34">
        <f t="shared" si="12"/>
        <v>0</v>
      </c>
      <c r="BG117" s="34">
        <f t="shared" si="13"/>
        <v>0</v>
      </c>
      <c r="BH117" s="26">
        <v>0</v>
      </c>
      <c r="BI117" s="26">
        <v>0</v>
      </c>
      <c r="BJ117" s="20" t="s">
        <v>496</v>
      </c>
      <c r="BK117" s="27">
        <v>8.4582494895501844E-3</v>
      </c>
      <c r="BL117" s="27" t="s">
        <v>1250</v>
      </c>
      <c r="BM117" s="27" t="s">
        <v>1251</v>
      </c>
      <c r="BN117" s="26"/>
      <c r="BO117" s="34"/>
      <c r="BP117" s="34"/>
      <c r="BQ117" s="34"/>
      <c r="BR117" s="34"/>
      <c r="BS117" s="34"/>
      <c r="BT117" s="34"/>
      <c r="BU117" s="34"/>
      <c r="BV117" s="34"/>
      <c r="BW117" s="34"/>
      <c r="BX117" s="34"/>
      <c r="BY117" s="34"/>
      <c r="BZ117" s="34"/>
      <c r="CA117" s="20"/>
      <c r="CB117" s="20"/>
      <c r="CC117" s="29">
        <v>46003</v>
      </c>
      <c r="CD117" s="11" t="s">
        <v>1113</v>
      </c>
    </row>
    <row r="118" spans="1:82" s="18" customFormat="1" ht="66.75" customHeight="1" x14ac:dyDescent="0.25">
      <c r="A118" s="121">
        <v>114</v>
      </c>
      <c r="B118" s="141" t="s">
        <v>1252</v>
      </c>
      <c r="C118" s="6" t="s">
        <v>1253</v>
      </c>
      <c r="D118" s="6" t="s">
        <v>1254</v>
      </c>
      <c r="E118" s="75" t="s">
        <v>113</v>
      </c>
      <c r="F118" s="4" t="s">
        <v>81</v>
      </c>
      <c r="G118" s="33" t="s">
        <v>84</v>
      </c>
      <c r="H118" s="49" t="s">
        <v>775</v>
      </c>
      <c r="I118" s="49" t="s">
        <v>578</v>
      </c>
      <c r="J118" s="6"/>
      <c r="K118" s="49"/>
      <c r="L118" s="49"/>
      <c r="M118" s="49" t="s">
        <v>88</v>
      </c>
      <c r="N118" s="49" t="s">
        <v>89</v>
      </c>
      <c r="O118" s="49" t="s">
        <v>579</v>
      </c>
      <c r="P118" s="6" t="s">
        <v>580</v>
      </c>
      <c r="Q118" s="49"/>
      <c r="R118" s="75" t="s">
        <v>91</v>
      </c>
      <c r="S118" s="33" t="s">
        <v>92</v>
      </c>
      <c r="T118" s="33" t="s">
        <v>93</v>
      </c>
      <c r="U118" s="78">
        <v>100</v>
      </c>
      <c r="V118" s="33" t="s">
        <v>94</v>
      </c>
      <c r="W118" s="33" t="s">
        <v>95</v>
      </c>
      <c r="X118" s="33">
        <v>2023</v>
      </c>
      <c r="Y118" s="33" t="s">
        <v>117</v>
      </c>
      <c r="Z118" s="33" t="s">
        <v>97</v>
      </c>
      <c r="AA118" s="33" t="s">
        <v>98</v>
      </c>
      <c r="AB118" s="49" t="s">
        <v>99</v>
      </c>
      <c r="AC118" s="48" t="s">
        <v>1255</v>
      </c>
      <c r="AD118" s="79" t="s">
        <v>1244</v>
      </c>
      <c r="AE118" s="6" t="s">
        <v>1256</v>
      </c>
      <c r="AF118" s="6" t="s">
        <v>1246</v>
      </c>
      <c r="AG118" s="6" t="s">
        <v>218</v>
      </c>
      <c r="AH118" s="49" t="s">
        <v>123</v>
      </c>
      <c r="AI118" s="6" t="s">
        <v>1257</v>
      </c>
      <c r="AJ118" s="6" t="s">
        <v>1248</v>
      </c>
      <c r="AK118" s="33" t="s">
        <v>97</v>
      </c>
      <c r="AL118" s="33" t="s">
        <v>1249</v>
      </c>
      <c r="AM118" s="5" t="s">
        <v>5539</v>
      </c>
      <c r="AN118" s="6" t="s">
        <v>631</v>
      </c>
      <c r="AO118" s="6"/>
      <c r="AP118" s="6"/>
      <c r="AQ118" s="6" t="s">
        <v>982</v>
      </c>
      <c r="AR118" s="20" t="s">
        <v>97</v>
      </c>
      <c r="AS118" s="20" t="s">
        <v>107</v>
      </c>
      <c r="AT118" s="20"/>
      <c r="AU118" s="24">
        <v>0.8</v>
      </c>
      <c r="AV118" s="24">
        <f t="shared" si="19"/>
        <v>0.64000000000000012</v>
      </c>
      <c r="AW118" s="24">
        <f t="shared" si="20"/>
        <v>0.48</v>
      </c>
      <c r="AX118" s="25">
        <v>1E-4</v>
      </c>
      <c r="AY118" s="24">
        <v>0</v>
      </c>
      <c r="AZ118" s="24">
        <f t="shared" si="21"/>
        <v>0.72000000000000008</v>
      </c>
      <c r="BA118" s="24">
        <f t="shared" si="22"/>
        <v>0.57600000000000007</v>
      </c>
      <c r="BB118" s="24">
        <f t="shared" si="23"/>
        <v>0.43200000000000005</v>
      </c>
      <c r="BC118" s="25">
        <v>1E-4</v>
      </c>
      <c r="BD118" s="24">
        <v>0</v>
      </c>
      <c r="BE118" s="26">
        <v>0</v>
      </c>
      <c r="BF118" s="34">
        <f t="shared" si="12"/>
        <v>0</v>
      </c>
      <c r="BG118" s="34">
        <f t="shared" si="13"/>
        <v>0</v>
      </c>
      <c r="BH118" s="26">
        <v>0</v>
      </c>
      <c r="BI118" s="26">
        <v>0</v>
      </c>
      <c r="BJ118" s="20" t="s">
        <v>496</v>
      </c>
      <c r="BK118" s="27">
        <v>3.6535205524381921E-2</v>
      </c>
      <c r="BL118" s="27" t="s">
        <v>1258</v>
      </c>
      <c r="BM118" s="27" t="s">
        <v>1259</v>
      </c>
      <c r="BN118" s="26"/>
      <c r="BO118" s="34"/>
      <c r="BP118" s="34"/>
      <c r="BQ118" s="34"/>
      <c r="BR118" s="34"/>
      <c r="BS118" s="34"/>
      <c r="BT118" s="34"/>
      <c r="BU118" s="34"/>
      <c r="BV118" s="34"/>
      <c r="BW118" s="34"/>
      <c r="BX118" s="34"/>
      <c r="BY118" s="34"/>
      <c r="BZ118" s="34"/>
      <c r="CA118" s="20"/>
      <c r="CB118" s="20"/>
      <c r="CC118" s="29">
        <v>46003</v>
      </c>
      <c r="CD118" s="11" t="s">
        <v>1113</v>
      </c>
    </row>
    <row r="119" spans="1:82" s="18" customFormat="1" ht="66.75" customHeight="1" x14ac:dyDescent="0.25">
      <c r="A119" s="87">
        <v>115</v>
      </c>
      <c r="B119" s="141" t="s">
        <v>1260</v>
      </c>
      <c r="C119" s="6" t="s">
        <v>1261</v>
      </c>
      <c r="D119" s="6" t="s">
        <v>1262</v>
      </c>
      <c r="E119" s="75" t="s">
        <v>113</v>
      </c>
      <c r="F119" s="4" t="s">
        <v>81</v>
      </c>
      <c r="G119" s="33" t="s">
        <v>84</v>
      </c>
      <c r="H119" s="49" t="s">
        <v>775</v>
      </c>
      <c r="I119" s="49" t="s">
        <v>578</v>
      </c>
      <c r="J119" s="6"/>
      <c r="K119" s="49"/>
      <c r="L119" s="49"/>
      <c r="M119" s="49" t="s">
        <v>88</v>
      </c>
      <c r="N119" s="49" t="s">
        <v>89</v>
      </c>
      <c r="O119" s="49" t="s">
        <v>579</v>
      </c>
      <c r="P119" s="6" t="s">
        <v>580</v>
      </c>
      <c r="Q119" s="49"/>
      <c r="R119" s="75" t="s">
        <v>175</v>
      </c>
      <c r="S119" s="33" t="s">
        <v>92</v>
      </c>
      <c r="T119" s="33" t="s">
        <v>93</v>
      </c>
      <c r="U119" s="78">
        <v>100</v>
      </c>
      <c r="V119" s="33" t="s">
        <v>94</v>
      </c>
      <c r="W119" s="33" t="s">
        <v>95</v>
      </c>
      <c r="X119" s="33">
        <v>2023</v>
      </c>
      <c r="Y119" s="33" t="s">
        <v>117</v>
      </c>
      <c r="Z119" s="33" t="s">
        <v>97</v>
      </c>
      <c r="AA119" s="33" t="s">
        <v>98</v>
      </c>
      <c r="AB119" s="49" t="s">
        <v>99</v>
      </c>
      <c r="AC119" s="48" t="s">
        <v>1263</v>
      </c>
      <c r="AD119" s="79" t="s">
        <v>1264</v>
      </c>
      <c r="AE119" s="6" t="s">
        <v>1265</v>
      </c>
      <c r="AF119" s="6" t="s">
        <v>1246</v>
      </c>
      <c r="AG119" s="6" t="s">
        <v>667</v>
      </c>
      <c r="AH119" s="49" t="s">
        <v>123</v>
      </c>
      <c r="AI119" s="6" t="s">
        <v>1257</v>
      </c>
      <c r="AJ119" s="6" t="s">
        <v>1248</v>
      </c>
      <c r="AK119" s="33" t="s">
        <v>97</v>
      </c>
      <c r="AL119" s="33" t="s">
        <v>1249</v>
      </c>
      <c r="AM119" s="5" t="s">
        <v>221</v>
      </c>
      <c r="AN119" s="6" t="s">
        <v>631</v>
      </c>
      <c r="AO119" s="6"/>
      <c r="AP119" s="6"/>
      <c r="AQ119" s="6" t="s">
        <v>982</v>
      </c>
      <c r="AR119" s="20" t="s">
        <v>97</v>
      </c>
      <c r="AS119" s="20" t="s">
        <v>107</v>
      </c>
      <c r="AT119" s="20"/>
      <c r="AU119" s="24">
        <v>0.8</v>
      </c>
      <c r="AV119" s="24">
        <f t="shared" si="19"/>
        <v>0.64000000000000012</v>
      </c>
      <c r="AW119" s="24">
        <f t="shared" si="20"/>
        <v>0.48</v>
      </c>
      <c r="AX119" s="25">
        <v>1E-4</v>
      </c>
      <c r="AY119" s="24">
        <v>0</v>
      </c>
      <c r="AZ119" s="24">
        <f t="shared" si="21"/>
        <v>0.72000000000000008</v>
      </c>
      <c r="BA119" s="24">
        <f t="shared" si="22"/>
        <v>0.57600000000000007</v>
      </c>
      <c r="BB119" s="24">
        <f t="shared" si="23"/>
        <v>0.43200000000000005</v>
      </c>
      <c r="BC119" s="25">
        <v>1E-4</v>
      </c>
      <c r="BD119" s="24">
        <v>0</v>
      </c>
      <c r="BE119" s="26">
        <v>0</v>
      </c>
      <c r="BF119" s="34">
        <f t="shared" si="12"/>
        <v>0</v>
      </c>
      <c r="BG119" s="34">
        <f t="shared" si="13"/>
        <v>0</v>
      </c>
      <c r="BH119" s="26">
        <v>0</v>
      </c>
      <c r="BI119" s="26">
        <v>0</v>
      </c>
      <c r="BJ119" s="20" t="s">
        <v>496</v>
      </c>
      <c r="BK119" s="27">
        <v>6.8600873394001928E-3</v>
      </c>
      <c r="BL119" s="27" t="s">
        <v>1266</v>
      </c>
      <c r="BM119" s="27" t="s">
        <v>1251</v>
      </c>
      <c r="BN119" s="26"/>
      <c r="BO119" s="34"/>
      <c r="BP119" s="34"/>
      <c r="BQ119" s="34"/>
      <c r="BR119" s="34"/>
      <c r="BS119" s="34"/>
      <c r="BT119" s="34"/>
      <c r="BU119" s="34"/>
      <c r="BV119" s="34"/>
      <c r="BW119" s="34"/>
      <c r="BX119" s="34"/>
      <c r="BY119" s="34"/>
      <c r="BZ119" s="34"/>
      <c r="CA119" s="20"/>
      <c r="CB119" s="20"/>
      <c r="CC119" s="29">
        <v>46003</v>
      </c>
      <c r="CD119" s="11" t="s">
        <v>329</v>
      </c>
    </row>
    <row r="120" spans="1:82" s="18" customFormat="1" ht="66.75" customHeight="1" x14ac:dyDescent="0.25">
      <c r="A120" s="87">
        <v>116</v>
      </c>
      <c r="B120" s="141" t="s">
        <v>1267</v>
      </c>
      <c r="C120" s="6" t="s">
        <v>1268</v>
      </c>
      <c r="D120" s="6" t="s">
        <v>1269</v>
      </c>
      <c r="E120" s="75" t="s">
        <v>113</v>
      </c>
      <c r="F120" s="4" t="s">
        <v>81</v>
      </c>
      <c r="G120" s="33" t="s">
        <v>84</v>
      </c>
      <c r="H120" s="49" t="s">
        <v>775</v>
      </c>
      <c r="I120" s="49" t="s">
        <v>578</v>
      </c>
      <c r="J120" s="6"/>
      <c r="K120" s="49"/>
      <c r="L120" s="49"/>
      <c r="M120" s="49" t="s">
        <v>88</v>
      </c>
      <c r="N120" s="49" t="s">
        <v>89</v>
      </c>
      <c r="O120" s="49" t="s">
        <v>579</v>
      </c>
      <c r="P120" s="6" t="s">
        <v>580</v>
      </c>
      <c r="Q120" s="49"/>
      <c r="R120" s="75" t="s">
        <v>175</v>
      </c>
      <c r="S120" s="33" t="s">
        <v>92</v>
      </c>
      <c r="T120" s="33" t="s">
        <v>93</v>
      </c>
      <c r="U120" s="78">
        <v>100</v>
      </c>
      <c r="V120" s="33" t="s">
        <v>94</v>
      </c>
      <c r="W120" s="33" t="s">
        <v>95</v>
      </c>
      <c r="X120" s="33">
        <v>2023</v>
      </c>
      <c r="Y120" s="33" t="s">
        <v>117</v>
      </c>
      <c r="Z120" s="33" t="s">
        <v>97</v>
      </c>
      <c r="AA120" s="33" t="s">
        <v>98</v>
      </c>
      <c r="AB120" s="49" t="s">
        <v>99</v>
      </c>
      <c r="AC120" s="48" t="s">
        <v>1270</v>
      </c>
      <c r="AD120" s="79" t="s">
        <v>1271</v>
      </c>
      <c r="AE120" s="6" t="s">
        <v>1272</v>
      </c>
      <c r="AF120" s="6" t="s">
        <v>1246</v>
      </c>
      <c r="AG120" s="6" t="s">
        <v>667</v>
      </c>
      <c r="AH120" s="49" t="s">
        <v>123</v>
      </c>
      <c r="AI120" s="6" t="s">
        <v>1257</v>
      </c>
      <c r="AJ120" s="6" t="s">
        <v>1248</v>
      </c>
      <c r="AK120" s="33" t="s">
        <v>97</v>
      </c>
      <c r="AL120" s="33" t="s">
        <v>1249</v>
      </c>
      <c r="AM120" s="5" t="s">
        <v>221</v>
      </c>
      <c r="AN120" s="6" t="s">
        <v>631</v>
      </c>
      <c r="AO120" s="6"/>
      <c r="AP120" s="6"/>
      <c r="AQ120" s="6" t="s">
        <v>982</v>
      </c>
      <c r="AR120" s="20" t="s">
        <v>97</v>
      </c>
      <c r="AS120" s="20" t="s">
        <v>107</v>
      </c>
      <c r="AT120" s="20"/>
      <c r="AU120" s="24">
        <v>0.8</v>
      </c>
      <c r="AV120" s="24">
        <f t="shared" si="19"/>
        <v>0.64000000000000012</v>
      </c>
      <c r="AW120" s="24">
        <f t="shared" si="20"/>
        <v>0.48</v>
      </c>
      <c r="AX120" s="25">
        <v>1E-4</v>
      </c>
      <c r="AY120" s="24">
        <v>0</v>
      </c>
      <c r="AZ120" s="24">
        <f t="shared" si="21"/>
        <v>0.72000000000000008</v>
      </c>
      <c r="BA120" s="24">
        <f t="shared" si="22"/>
        <v>0.57600000000000007</v>
      </c>
      <c r="BB120" s="24">
        <f t="shared" si="23"/>
        <v>0.43200000000000005</v>
      </c>
      <c r="BC120" s="25">
        <v>1E-4</v>
      </c>
      <c r="BD120" s="24">
        <v>0</v>
      </c>
      <c r="BE120" s="26">
        <v>0</v>
      </c>
      <c r="BF120" s="34">
        <f t="shared" si="12"/>
        <v>0</v>
      </c>
      <c r="BG120" s="34">
        <f t="shared" si="13"/>
        <v>0</v>
      </c>
      <c r="BH120" s="26">
        <v>0</v>
      </c>
      <c r="BI120" s="26">
        <v>0</v>
      </c>
      <c r="BJ120" s="20" t="s">
        <v>496</v>
      </c>
      <c r="BK120" s="27">
        <v>4.5336588267875719E-2</v>
      </c>
      <c r="BL120" s="27" t="s">
        <v>1273</v>
      </c>
      <c r="BM120" s="27" t="s">
        <v>1274</v>
      </c>
      <c r="BN120" s="26"/>
      <c r="BO120" s="34"/>
      <c r="BP120" s="34"/>
      <c r="BQ120" s="34"/>
      <c r="BR120" s="34"/>
      <c r="BS120" s="34"/>
      <c r="BT120" s="34"/>
      <c r="BU120" s="34"/>
      <c r="BV120" s="34"/>
      <c r="BW120" s="34"/>
      <c r="BX120" s="34"/>
      <c r="BY120" s="34"/>
      <c r="BZ120" s="34"/>
      <c r="CA120" s="20"/>
      <c r="CB120" s="20"/>
      <c r="CC120" s="29">
        <v>46003</v>
      </c>
      <c r="CD120" s="11" t="s">
        <v>1275</v>
      </c>
    </row>
    <row r="121" spans="1:82" s="18" customFormat="1" ht="66.75" customHeight="1" x14ac:dyDescent="0.25">
      <c r="A121" s="121">
        <v>117</v>
      </c>
      <c r="B121" s="141" t="s">
        <v>1276</v>
      </c>
      <c r="C121" s="6" t="s">
        <v>1277</v>
      </c>
      <c r="D121" s="6" t="s">
        <v>1278</v>
      </c>
      <c r="E121" s="75" t="s">
        <v>113</v>
      </c>
      <c r="F121" s="4" t="s">
        <v>81</v>
      </c>
      <c r="G121" s="33" t="s">
        <v>84</v>
      </c>
      <c r="H121" s="49" t="s">
        <v>775</v>
      </c>
      <c r="I121" s="49" t="s">
        <v>578</v>
      </c>
      <c r="J121" s="6"/>
      <c r="K121" s="49"/>
      <c r="L121" s="49"/>
      <c r="M121" s="49" t="s">
        <v>88</v>
      </c>
      <c r="N121" s="49" t="s">
        <v>89</v>
      </c>
      <c r="O121" s="49" t="s">
        <v>579</v>
      </c>
      <c r="P121" s="6" t="s">
        <v>580</v>
      </c>
      <c r="Q121" s="49"/>
      <c r="R121" s="75" t="s">
        <v>175</v>
      </c>
      <c r="S121" s="33" t="s">
        <v>92</v>
      </c>
      <c r="T121" s="33" t="s">
        <v>93</v>
      </c>
      <c r="U121" s="78">
        <v>100</v>
      </c>
      <c r="V121" s="33" t="s">
        <v>94</v>
      </c>
      <c r="W121" s="33" t="s">
        <v>95</v>
      </c>
      <c r="X121" s="33">
        <v>2023</v>
      </c>
      <c r="Y121" s="33" t="s">
        <v>117</v>
      </c>
      <c r="Z121" s="33" t="s">
        <v>97</v>
      </c>
      <c r="AA121" s="33" t="s">
        <v>98</v>
      </c>
      <c r="AB121" s="49" t="s">
        <v>99</v>
      </c>
      <c r="AC121" s="48" t="s">
        <v>1279</v>
      </c>
      <c r="AD121" s="79" t="s">
        <v>1280</v>
      </c>
      <c r="AE121" s="6" t="s">
        <v>1281</v>
      </c>
      <c r="AF121" s="6" t="s">
        <v>1246</v>
      </c>
      <c r="AG121" s="6" t="s">
        <v>667</v>
      </c>
      <c r="AH121" s="49" t="s">
        <v>123</v>
      </c>
      <c r="AI121" s="6" t="s">
        <v>1257</v>
      </c>
      <c r="AJ121" s="6" t="s">
        <v>1248</v>
      </c>
      <c r="AK121" s="33" t="s">
        <v>97</v>
      </c>
      <c r="AL121" s="33" t="s">
        <v>1249</v>
      </c>
      <c r="AM121" s="5" t="s">
        <v>221</v>
      </c>
      <c r="AN121" s="6" t="s">
        <v>631</v>
      </c>
      <c r="AO121" s="6"/>
      <c r="AP121" s="6"/>
      <c r="AQ121" s="6" t="s">
        <v>982</v>
      </c>
      <c r="AR121" s="20" t="s">
        <v>97</v>
      </c>
      <c r="AS121" s="20" t="s">
        <v>107</v>
      </c>
      <c r="AT121" s="20"/>
      <c r="AU121" s="24">
        <v>0.8</v>
      </c>
      <c r="AV121" s="24">
        <f t="shared" si="19"/>
        <v>0.64000000000000012</v>
      </c>
      <c r="AW121" s="24">
        <f t="shared" si="20"/>
        <v>0.48</v>
      </c>
      <c r="AX121" s="25">
        <v>1E-4</v>
      </c>
      <c r="AY121" s="24">
        <v>0</v>
      </c>
      <c r="AZ121" s="24">
        <f t="shared" si="21"/>
        <v>0.72000000000000008</v>
      </c>
      <c r="BA121" s="24">
        <f t="shared" si="22"/>
        <v>0.57600000000000007</v>
      </c>
      <c r="BB121" s="24">
        <f t="shared" si="23"/>
        <v>0.43200000000000005</v>
      </c>
      <c r="BC121" s="25">
        <v>1E-4</v>
      </c>
      <c r="BD121" s="24">
        <v>0</v>
      </c>
      <c r="BE121" s="26">
        <v>0</v>
      </c>
      <c r="BF121" s="34">
        <f t="shared" si="12"/>
        <v>0</v>
      </c>
      <c r="BG121" s="34">
        <f t="shared" si="13"/>
        <v>0</v>
      </c>
      <c r="BH121" s="26">
        <v>0</v>
      </c>
      <c r="BI121" s="26">
        <v>0</v>
      </c>
      <c r="BJ121" s="20" t="s">
        <v>496</v>
      </c>
      <c r="BK121" s="27">
        <v>2.0447342413467958E-2</v>
      </c>
      <c r="BL121" s="27" t="s">
        <v>1282</v>
      </c>
      <c r="BM121" s="27" t="s">
        <v>1283</v>
      </c>
      <c r="BN121" s="26"/>
      <c r="BO121" s="34"/>
      <c r="BP121" s="34"/>
      <c r="BQ121" s="34"/>
      <c r="BR121" s="34"/>
      <c r="BS121" s="34"/>
      <c r="BT121" s="34"/>
      <c r="BU121" s="34"/>
      <c r="BV121" s="34"/>
      <c r="BW121" s="34"/>
      <c r="BX121" s="34"/>
      <c r="BY121" s="34"/>
      <c r="BZ121" s="34"/>
      <c r="CA121" s="20"/>
      <c r="CB121" s="20"/>
      <c r="CC121" s="29">
        <v>46003</v>
      </c>
      <c r="CD121" s="11" t="s">
        <v>1275</v>
      </c>
    </row>
    <row r="122" spans="1:82" s="18" customFormat="1" ht="66.75" customHeight="1" x14ac:dyDescent="0.25">
      <c r="A122" s="87">
        <v>118</v>
      </c>
      <c r="B122" s="141" t="s">
        <v>1284</v>
      </c>
      <c r="C122" s="6" t="s">
        <v>1285</v>
      </c>
      <c r="D122" s="6" t="s">
        <v>1286</v>
      </c>
      <c r="E122" s="75" t="s">
        <v>113</v>
      </c>
      <c r="F122" s="4" t="s">
        <v>81</v>
      </c>
      <c r="G122" s="33" t="s">
        <v>84</v>
      </c>
      <c r="H122" s="49" t="s">
        <v>775</v>
      </c>
      <c r="I122" s="49" t="s">
        <v>578</v>
      </c>
      <c r="J122" s="6"/>
      <c r="K122" s="49"/>
      <c r="L122" s="49"/>
      <c r="M122" s="49" t="s">
        <v>88</v>
      </c>
      <c r="N122" s="49" t="s">
        <v>89</v>
      </c>
      <c r="O122" s="49" t="s">
        <v>579</v>
      </c>
      <c r="P122" s="6" t="s">
        <v>580</v>
      </c>
      <c r="Q122" s="49"/>
      <c r="R122" s="75" t="s">
        <v>175</v>
      </c>
      <c r="S122" s="33" t="s">
        <v>92</v>
      </c>
      <c r="T122" s="33" t="s">
        <v>93</v>
      </c>
      <c r="U122" s="78">
        <v>100</v>
      </c>
      <c r="V122" s="33" t="s">
        <v>94</v>
      </c>
      <c r="W122" s="33" t="s">
        <v>95</v>
      </c>
      <c r="X122" s="33">
        <v>2023</v>
      </c>
      <c r="Y122" s="33" t="s">
        <v>117</v>
      </c>
      <c r="Z122" s="33" t="s">
        <v>97</v>
      </c>
      <c r="AA122" s="33" t="s">
        <v>98</v>
      </c>
      <c r="AB122" s="49" t="s">
        <v>99</v>
      </c>
      <c r="AC122" s="48" t="s">
        <v>1287</v>
      </c>
      <c r="AD122" s="79" t="s">
        <v>1288</v>
      </c>
      <c r="AE122" s="6" t="s">
        <v>1289</v>
      </c>
      <c r="AF122" s="6" t="s">
        <v>1246</v>
      </c>
      <c r="AG122" s="6" t="s">
        <v>667</v>
      </c>
      <c r="AH122" s="49" t="s">
        <v>123</v>
      </c>
      <c r="AI122" s="6" t="s">
        <v>1257</v>
      </c>
      <c r="AJ122" s="6" t="s">
        <v>1248</v>
      </c>
      <c r="AK122" s="33" t="s">
        <v>97</v>
      </c>
      <c r="AL122" s="33" t="s">
        <v>1249</v>
      </c>
      <c r="AM122" s="5" t="s">
        <v>221</v>
      </c>
      <c r="AN122" s="6" t="s">
        <v>631</v>
      </c>
      <c r="AO122" s="6"/>
      <c r="AP122" s="6"/>
      <c r="AQ122" s="6" t="s">
        <v>982</v>
      </c>
      <c r="AR122" s="20" t="s">
        <v>97</v>
      </c>
      <c r="AS122" s="20" t="s">
        <v>107</v>
      </c>
      <c r="AT122" s="20"/>
      <c r="AU122" s="24">
        <v>0.8</v>
      </c>
      <c r="AV122" s="24">
        <f t="shared" si="19"/>
        <v>0.64000000000000012</v>
      </c>
      <c r="AW122" s="24">
        <f t="shared" si="20"/>
        <v>0.48</v>
      </c>
      <c r="AX122" s="25">
        <v>1E-4</v>
      </c>
      <c r="AY122" s="24">
        <v>0</v>
      </c>
      <c r="AZ122" s="24">
        <f t="shared" si="21"/>
        <v>0.72000000000000008</v>
      </c>
      <c r="BA122" s="24">
        <f t="shared" si="22"/>
        <v>0.57600000000000007</v>
      </c>
      <c r="BB122" s="24">
        <f t="shared" si="23"/>
        <v>0.43200000000000005</v>
      </c>
      <c r="BC122" s="25">
        <v>1E-4</v>
      </c>
      <c r="BD122" s="24">
        <v>0</v>
      </c>
      <c r="BE122" s="26">
        <v>0</v>
      </c>
      <c r="BF122" s="34">
        <f t="shared" si="12"/>
        <v>0</v>
      </c>
      <c r="BG122" s="34">
        <f t="shared" si="13"/>
        <v>0</v>
      </c>
      <c r="BH122" s="26">
        <v>0</v>
      </c>
      <c r="BI122" s="26">
        <v>0</v>
      </c>
      <c r="BJ122" s="20" t="s">
        <v>496</v>
      </c>
      <c r="BK122" s="27">
        <v>1.3744654856444698E-2</v>
      </c>
      <c r="BL122" s="27" t="s">
        <v>1176</v>
      </c>
      <c r="BM122" s="27" t="s">
        <v>1176</v>
      </c>
      <c r="BN122" s="26"/>
      <c r="BO122" s="34"/>
      <c r="BP122" s="34"/>
      <c r="BQ122" s="34"/>
      <c r="BR122" s="34"/>
      <c r="BS122" s="34"/>
      <c r="BT122" s="34"/>
      <c r="BU122" s="34"/>
      <c r="BV122" s="34"/>
      <c r="BW122" s="34"/>
      <c r="BX122" s="34"/>
      <c r="BY122" s="34"/>
      <c r="BZ122" s="34"/>
      <c r="CA122" s="20"/>
      <c r="CB122" s="20"/>
      <c r="CC122" s="29">
        <v>46003</v>
      </c>
      <c r="CD122" s="11" t="s">
        <v>1275</v>
      </c>
    </row>
    <row r="123" spans="1:82" s="18" customFormat="1" ht="66.75" customHeight="1" x14ac:dyDescent="0.25">
      <c r="A123" s="87">
        <v>119</v>
      </c>
      <c r="B123" s="141" t="s">
        <v>1290</v>
      </c>
      <c r="C123" s="6" t="s">
        <v>1291</v>
      </c>
      <c r="D123" s="6" t="s">
        <v>1292</v>
      </c>
      <c r="E123" s="75" t="s">
        <v>174</v>
      </c>
      <c r="F123" s="4" t="s">
        <v>81</v>
      </c>
      <c r="G123" s="33">
        <v>17</v>
      </c>
      <c r="H123" s="49" t="s">
        <v>114</v>
      </c>
      <c r="I123" s="49" t="s">
        <v>1293</v>
      </c>
      <c r="J123" s="6"/>
      <c r="K123" s="49"/>
      <c r="L123" s="49"/>
      <c r="M123" s="49" t="s">
        <v>136</v>
      </c>
      <c r="N123" s="49" t="s">
        <v>89</v>
      </c>
      <c r="O123" s="49" t="s">
        <v>116</v>
      </c>
      <c r="P123" s="6" t="s">
        <v>1294</v>
      </c>
      <c r="Q123" s="49"/>
      <c r="R123" s="75" t="s">
        <v>91</v>
      </c>
      <c r="S123" s="33" t="s">
        <v>92</v>
      </c>
      <c r="T123" s="33" t="s">
        <v>93</v>
      </c>
      <c r="U123" s="78">
        <v>100</v>
      </c>
      <c r="V123" s="33" t="s">
        <v>94</v>
      </c>
      <c r="W123" s="33" t="s">
        <v>95</v>
      </c>
      <c r="X123" s="33">
        <v>2021</v>
      </c>
      <c r="Y123" s="33" t="s">
        <v>117</v>
      </c>
      <c r="Z123" s="33" t="s">
        <v>97</v>
      </c>
      <c r="AA123" s="33" t="s">
        <v>98</v>
      </c>
      <c r="AB123" s="49" t="s">
        <v>99</v>
      </c>
      <c r="AC123" s="48" t="s">
        <v>1295</v>
      </c>
      <c r="AD123" s="48" t="s">
        <v>1296</v>
      </c>
      <c r="AE123" s="6" t="s">
        <v>1297</v>
      </c>
      <c r="AF123" s="6" t="s">
        <v>121</v>
      </c>
      <c r="AG123" s="6" t="s">
        <v>1298</v>
      </c>
      <c r="AH123" s="49" t="s">
        <v>123</v>
      </c>
      <c r="AI123" s="6" t="s">
        <v>1299</v>
      </c>
      <c r="AJ123" s="6" t="s">
        <v>1300</v>
      </c>
      <c r="AK123" s="33" t="s">
        <v>97</v>
      </c>
      <c r="AL123" s="33" t="s">
        <v>97</v>
      </c>
      <c r="AM123" s="5" t="s">
        <v>1301</v>
      </c>
      <c r="AN123" s="5" t="s">
        <v>470</v>
      </c>
      <c r="AO123" s="5" t="s">
        <v>1302</v>
      </c>
      <c r="AP123" s="5" t="s">
        <v>1303</v>
      </c>
      <c r="AQ123" s="49" t="s">
        <v>114</v>
      </c>
      <c r="AR123" s="20" t="s">
        <v>95</v>
      </c>
      <c r="AS123" s="20" t="s">
        <v>107</v>
      </c>
      <c r="AT123" s="7"/>
      <c r="AU123" s="24">
        <v>0.3</v>
      </c>
      <c r="AV123" s="24">
        <f t="shared" si="19"/>
        <v>0.24</v>
      </c>
      <c r="AW123" s="24">
        <f t="shared" si="20"/>
        <v>0.18</v>
      </c>
      <c r="AX123" s="25">
        <v>1E-4</v>
      </c>
      <c r="AY123" s="24">
        <v>0</v>
      </c>
      <c r="AZ123" s="24">
        <f t="shared" si="21"/>
        <v>0.27</v>
      </c>
      <c r="BA123" s="24">
        <f t="shared" si="22"/>
        <v>0.21600000000000003</v>
      </c>
      <c r="BB123" s="24">
        <f t="shared" si="23"/>
        <v>0.16200000000000001</v>
      </c>
      <c r="BC123" s="25">
        <v>1E-4</v>
      </c>
      <c r="BD123" s="24">
        <v>0</v>
      </c>
      <c r="BE123" s="34">
        <v>10</v>
      </c>
      <c r="BF123" s="34">
        <f t="shared" si="12"/>
        <v>8</v>
      </c>
      <c r="BG123" s="34">
        <f t="shared" si="13"/>
        <v>6</v>
      </c>
      <c r="BH123" s="26">
        <v>1</v>
      </c>
      <c r="BI123" s="26">
        <v>0</v>
      </c>
      <c r="BJ123" s="27">
        <v>0.161</v>
      </c>
      <c r="BK123" s="27">
        <v>0.23866536730242702</v>
      </c>
      <c r="BL123" s="27" t="s">
        <v>1304</v>
      </c>
      <c r="BM123" s="27" t="s">
        <v>1305</v>
      </c>
      <c r="BN123" s="26">
        <v>1</v>
      </c>
      <c r="BO123" s="34">
        <v>1</v>
      </c>
      <c r="BP123" s="34"/>
      <c r="BQ123" s="34"/>
      <c r="BR123" s="34"/>
      <c r="BS123" s="34"/>
      <c r="BT123" s="34"/>
      <c r="BU123" s="34"/>
      <c r="BV123" s="34"/>
      <c r="BW123" s="34"/>
      <c r="BX123" s="34"/>
      <c r="BY123" s="34"/>
      <c r="BZ123" s="34">
        <v>1</v>
      </c>
      <c r="CA123" s="20" t="s">
        <v>240</v>
      </c>
      <c r="CB123" s="20" t="s">
        <v>240</v>
      </c>
      <c r="CC123" s="35">
        <v>46003</v>
      </c>
      <c r="CD123" s="36" t="s">
        <v>1306</v>
      </c>
    </row>
    <row r="124" spans="1:82" s="18" customFormat="1" ht="66.75" customHeight="1" x14ac:dyDescent="0.25">
      <c r="A124" s="121">
        <v>120</v>
      </c>
      <c r="B124" s="141" t="s">
        <v>1307</v>
      </c>
      <c r="C124" s="6" t="s">
        <v>1308</v>
      </c>
      <c r="D124" s="6" t="s">
        <v>1309</v>
      </c>
      <c r="E124" s="75" t="s">
        <v>113</v>
      </c>
      <c r="F124" s="4" t="s">
        <v>81</v>
      </c>
      <c r="G124" s="33" t="s">
        <v>84</v>
      </c>
      <c r="H124" s="49" t="s">
        <v>114</v>
      </c>
      <c r="I124" s="49" t="s">
        <v>1293</v>
      </c>
      <c r="J124" s="6"/>
      <c r="K124" s="49"/>
      <c r="L124" s="49"/>
      <c r="M124" s="49" t="s">
        <v>88</v>
      </c>
      <c r="N124" s="49" t="s">
        <v>89</v>
      </c>
      <c r="O124" s="49" t="s">
        <v>116</v>
      </c>
      <c r="P124" s="6" t="s">
        <v>1294</v>
      </c>
      <c r="Q124" s="49"/>
      <c r="R124" s="75" t="s">
        <v>91</v>
      </c>
      <c r="S124" s="33" t="s">
        <v>92</v>
      </c>
      <c r="T124" s="33" t="s">
        <v>93</v>
      </c>
      <c r="U124" s="78">
        <v>100</v>
      </c>
      <c r="V124" s="33" t="s">
        <v>94</v>
      </c>
      <c r="W124" s="33" t="s">
        <v>95</v>
      </c>
      <c r="X124" s="33">
        <v>2023</v>
      </c>
      <c r="Y124" s="33" t="s">
        <v>117</v>
      </c>
      <c r="Z124" s="33" t="s">
        <v>97</v>
      </c>
      <c r="AA124" s="33" t="s">
        <v>98</v>
      </c>
      <c r="AB124" s="49" t="s">
        <v>99</v>
      </c>
      <c r="AC124" s="48" t="s">
        <v>1310</v>
      </c>
      <c r="AD124" s="48" t="s">
        <v>1311</v>
      </c>
      <c r="AE124" s="6" t="s">
        <v>1297</v>
      </c>
      <c r="AF124" s="6" t="s">
        <v>121</v>
      </c>
      <c r="AG124" s="6" t="s">
        <v>1312</v>
      </c>
      <c r="AH124" s="49" t="s">
        <v>123</v>
      </c>
      <c r="AI124" s="6" t="s">
        <v>1313</v>
      </c>
      <c r="AJ124" s="6" t="s">
        <v>1314</v>
      </c>
      <c r="AK124" s="33" t="s">
        <v>97</v>
      </c>
      <c r="AL124" s="33" t="s">
        <v>97</v>
      </c>
      <c r="AM124" s="5" t="s">
        <v>1315</v>
      </c>
      <c r="AN124" s="5" t="s">
        <v>470</v>
      </c>
      <c r="AO124" s="5"/>
      <c r="AP124" s="5"/>
      <c r="AQ124" s="49" t="s">
        <v>114</v>
      </c>
      <c r="AR124" s="20" t="s">
        <v>97</v>
      </c>
      <c r="AS124" s="20" t="s">
        <v>107</v>
      </c>
      <c r="AT124" s="20"/>
      <c r="AU124" s="24">
        <v>0.5</v>
      </c>
      <c r="AV124" s="24">
        <f t="shared" si="19"/>
        <v>0.4</v>
      </c>
      <c r="AW124" s="24">
        <f t="shared" si="20"/>
        <v>0.3</v>
      </c>
      <c r="AX124" s="25">
        <v>1E-4</v>
      </c>
      <c r="AY124" s="24">
        <v>0</v>
      </c>
      <c r="AZ124" s="24">
        <f t="shared" si="21"/>
        <v>0.45</v>
      </c>
      <c r="BA124" s="24">
        <f t="shared" si="22"/>
        <v>0.36000000000000004</v>
      </c>
      <c r="BB124" s="24">
        <f t="shared" si="23"/>
        <v>0.27</v>
      </c>
      <c r="BC124" s="25">
        <v>1E-4</v>
      </c>
      <c r="BD124" s="24">
        <v>0</v>
      </c>
      <c r="BE124" s="26">
        <v>0</v>
      </c>
      <c r="BF124" s="34">
        <f t="shared" si="12"/>
        <v>0</v>
      </c>
      <c r="BG124" s="34">
        <f t="shared" si="13"/>
        <v>0</v>
      </c>
      <c r="BH124" s="26">
        <v>0</v>
      </c>
      <c r="BI124" s="26">
        <v>0</v>
      </c>
      <c r="BJ124" s="27">
        <v>0.29099999999999998</v>
      </c>
      <c r="BK124" s="27">
        <v>0.44137519872813991</v>
      </c>
      <c r="BL124" s="27" t="s">
        <v>1316</v>
      </c>
      <c r="BM124" s="27" t="s">
        <v>1317</v>
      </c>
      <c r="BN124" s="26">
        <v>1</v>
      </c>
      <c r="BO124" s="34"/>
      <c r="BP124" s="34"/>
      <c r="BQ124" s="34"/>
      <c r="BR124" s="34"/>
      <c r="BS124" s="34"/>
      <c r="BT124" s="34"/>
      <c r="BU124" s="34"/>
      <c r="BV124" s="34"/>
      <c r="BW124" s="34"/>
      <c r="BX124" s="34"/>
      <c r="BY124" s="34"/>
      <c r="BZ124" s="34"/>
      <c r="CA124" s="20"/>
      <c r="CB124" s="20"/>
      <c r="CC124" s="35">
        <v>46003</v>
      </c>
      <c r="CD124" s="36" t="s">
        <v>1318</v>
      </c>
    </row>
    <row r="125" spans="1:82" s="18" customFormat="1" ht="66.75" customHeight="1" x14ac:dyDescent="0.25">
      <c r="A125" s="87">
        <v>121</v>
      </c>
      <c r="B125" s="141" t="s">
        <v>1319</v>
      </c>
      <c r="C125" s="6" t="s">
        <v>1320</v>
      </c>
      <c r="D125" s="6" t="s">
        <v>1321</v>
      </c>
      <c r="E125" s="75" t="s">
        <v>113</v>
      </c>
      <c r="F125" s="4" t="s">
        <v>81</v>
      </c>
      <c r="G125" s="33">
        <v>9</v>
      </c>
      <c r="H125" s="49" t="s">
        <v>114</v>
      </c>
      <c r="I125" s="49" t="s">
        <v>1293</v>
      </c>
      <c r="J125" s="6"/>
      <c r="K125" s="49"/>
      <c r="L125" s="49"/>
      <c r="M125" s="49" t="s">
        <v>136</v>
      </c>
      <c r="N125" s="49" t="s">
        <v>245</v>
      </c>
      <c r="O125" s="49" t="s">
        <v>116</v>
      </c>
      <c r="P125" s="6" t="s">
        <v>1322</v>
      </c>
      <c r="Q125" s="49"/>
      <c r="R125" s="75" t="s">
        <v>91</v>
      </c>
      <c r="S125" s="33" t="s">
        <v>92</v>
      </c>
      <c r="T125" s="33" t="s">
        <v>93</v>
      </c>
      <c r="U125" s="78">
        <v>100</v>
      </c>
      <c r="V125" s="33" t="s">
        <v>94</v>
      </c>
      <c r="W125" s="33" t="s">
        <v>95</v>
      </c>
      <c r="X125" s="33">
        <v>2023</v>
      </c>
      <c r="Y125" s="33" t="s">
        <v>117</v>
      </c>
      <c r="Z125" s="33" t="s">
        <v>97</v>
      </c>
      <c r="AA125" s="33" t="s">
        <v>98</v>
      </c>
      <c r="AB125" s="49" t="s">
        <v>99</v>
      </c>
      <c r="AC125" s="48" t="s">
        <v>1323</v>
      </c>
      <c r="AD125" s="48" t="s">
        <v>1324</v>
      </c>
      <c r="AE125" s="6" t="s">
        <v>1325</v>
      </c>
      <c r="AF125" s="6" t="s">
        <v>121</v>
      </c>
      <c r="AG125" s="6" t="s">
        <v>218</v>
      </c>
      <c r="AH125" s="49" t="s">
        <v>123</v>
      </c>
      <c r="AI125" s="6" t="s">
        <v>1326</v>
      </c>
      <c r="AJ125" s="6" t="s">
        <v>1327</v>
      </c>
      <c r="AK125" s="33" t="s">
        <v>97</v>
      </c>
      <c r="AL125" s="33" t="s">
        <v>97</v>
      </c>
      <c r="AM125" s="5"/>
      <c r="AN125" s="5"/>
      <c r="AO125" s="5"/>
      <c r="AP125" s="5"/>
      <c r="AQ125" s="49" t="s">
        <v>114</v>
      </c>
      <c r="AR125" s="20" t="s">
        <v>97</v>
      </c>
      <c r="AS125" s="20" t="s">
        <v>107</v>
      </c>
      <c r="AT125" s="20"/>
      <c r="AU125" s="24">
        <v>0.8</v>
      </c>
      <c r="AV125" s="24">
        <f t="shared" si="19"/>
        <v>0.64000000000000012</v>
      </c>
      <c r="AW125" s="24">
        <f t="shared" si="20"/>
        <v>0.48</v>
      </c>
      <c r="AX125" s="25">
        <v>1E-4</v>
      </c>
      <c r="AY125" s="24">
        <v>0</v>
      </c>
      <c r="AZ125" s="24">
        <f t="shared" si="21"/>
        <v>0.72000000000000008</v>
      </c>
      <c r="BA125" s="24">
        <f t="shared" si="22"/>
        <v>0.57600000000000007</v>
      </c>
      <c r="BB125" s="24">
        <f t="shared" si="23"/>
        <v>0.43200000000000005</v>
      </c>
      <c r="BC125" s="25">
        <v>1E-4</v>
      </c>
      <c r="BD125" s="24">
        <v>0</v>
      </c>
      <c r="BE125" s="26">
        <v>0</v>
      </c>
      <c r="BF125" s="34">
        <f t="shared" si="12"/>
        <v>0</v>
      </c>
      <c r="BG125" s="34">
        <f t="shared" si="13"/>
        <v>0</v>
      </c>
      <c r="BH125" s="26">
        <v>0</v>
      </c>
      <c r="BI125" s="26">
        <v>0</v>
      </c>
      <c r="BJ125" s="20" t="s">
        <v>496</v>
      </c>
      <c r="BK125" s="27">
        <v>0</v>
      </c>
      <c r="BL125" s="27" t="s">
        <v>1176</v>
      </c>
      <c r="BM125" s="27" t="s">
        <v>1176</v>
      </c>
      <c r="BN125" s="26"/>
      <c r="BO125" s="34">
        <v>1</v>
      </c>
      <c r="BP125" s="34"/>
      <c r="BQ125" s="34"/>
      <c r="BR125" s="34"/>
      <c r="BS125" s="34"/>
      <c r="BT125" s="34"/>
      <c r="BU125" s="34"/>
      <c r="BV125" s="34"/>
      <c r="BW125" s="34"/>
      <c r="BX125" s="34"/>
      <c r="BY125" s="34"/>
      <c r="BZ125" s="34"/>
      <c r="CA125" s="20"/>
      <c r="CB125" s="20"/>
      <c r="CC125" s="29">
        <v>46003</v>
      </c>
      <c r="CD125" s="35" t="s">
        <v>254</v>
      </c>
    </row>
    <row r="126" spans="1:82" s="18" customFormat="1" ht="66.75" customHeight="1" x14ac:dyDescent="0.25">
      <c r="A126" s="87">
        <v>122</v>
      </c>
      <c r="B126" s="141" t="s">
        <v>1328</v>
      </c>
      <c r="C126" s="6" t="s">
        <v>1329</v>
      </c>
      <c r="D126" s="6" t="s">
        <v>1330</v>
      </c>
      <c r="E126" s="75" t="s">
        <v>174</v>
      </c>
      <c r="F126" s="4" t="s">
        <v>81</v>
      </c>
      <c r="G126" s="33">
        <v>13</v>
      </c>
      <c r="H126" s="49" t="s">
        <v>114</v>
      </c>
      <c r="I126" s="49" t="s">
        <v>1331</v>
      </c>
      <c r="J126" s="6" t="s">
        <v>115</v>
      </c>
      <c r="K126" s="49"/>
      <c r="L126" s="49"/>
      <c r="M126" s="49" t="s">
        <v>136</v>
      </c>
      <c r="N126" s="49" t="s">
        <v>89</v>
      </c>
      <c r="O126" s="49" t="s">
        <v>579</v>
      </c>
      <c r="P126" s="6" t="s">
        <v>1332</v>
      </c>
      <c r="Q126" s="49"/>
      <c r="R126" s="75" t="s">
        <v>91</v>
      </c>
      <c r="S126" s="33" t="s">
        <v>92</v>
      </c>
      <c r="T126" s="33" t="s">
        <v>93</v>
      </c>
      <c r="U126" s="78">
        <v>100</v>
      </c>
      <c r="V126" s="33" t="s">
        <v>94</v>
      </c>
      <c r="W126" s="33" t="s">
        <v>95</v>
      </c>
      <c r="X126" s="33">
        <v>2021</v>
      </c>
      <c r="Y126" s="33" t="s">
        <v>117</v>
      </c>
      <c r="Z126" s="33" t="s">
        <v>97</v>
      </c>
      <c r="AA126" s="33" t="s">
        <v>98</v>
      </c>
      <c r="AB126" s="49" t="s">
        <v>99</v>
      </c>
      <c r="AC126" s="48" t="s">
        <v>1333</v>
      </c>
      <c r="AD126" s="48" t="s">
        <v>1334</v>
      </c>
      <c r="AE126" s="6" t="s">
        <v>1335</v>
      </c>
      <c r="AF126" s="6" t="s">
        <v>121</v>
      </c>
      <c r="AG126" s="6" t="s">
        <v>1042</v>
      </c>
      <c r="AH126" s="49" t="s">
        <v>123</v>
      </c>
      <c r="AI126" s="6" t="s">
        <v>1336</v>
      </c>
      <c r="AJ126" s="6" t="s">
        <v>1334</v>
      </c>
      <c r="AK126" s="33" t="s">
        <v>97</v>
      </c>
      <c r="AL126" s="33" t="s">
        <v>97</v>
      </c>
      <c r="AM126" s="5" t="s">
        <v>1337</v>
      </c>
      <c r="AN126" s="5"/>
      <c r="AO126" s="5" t="s">
        <v>1338</v>
      </c>
      <c r="AP126" s="5" t="s">
        <v>1339</v>
      </c>
      <c r="AQ126" s="6" t="s">
        <v>1340</v>
      </c>
      <c r="AR126" s="20" t="s">
        <v>97</v>
      </c>
      <c r="AS126" s="20" t="s">
        <v>107</v>
      </c>
      <c r="AT126" s="20"/>
      <c r="AU126" s="24">
        <v>0.9</v>
      </c>
      <c r="AV126" s="24">
        <f t="shared" si="19"/>
        <v>0.72000000000000008</v>
      </c>
      <c r="AW126" s="24">
        <f t="shared" si="20"/>
        <v>0.54</v>
      </c>
      <c r="AX126" s="25">
        <v>1E-4</v>
      </c>
      <c r="AY126" s="24">
        <v>0</v>
      </c>
      <c r="AZ126" s="24">
        <f t="shared" si="21"/>
        <v>0.81</v>
      </c>
      <c r="BA126" s="24">
        <f t="shared" si="22"/>
        <v>0.64800000000000013</v>
      </c>
      <c r="BB126" s="24">
        <f t="shared" si="23"/>
        <v>0.48599999999999999</v>
      </c>
      <c r="BC126" s="25">
        <v>1E-4</v>
      </c>
      <c r="BD126" s="24">
        <v>0</v>
      </c>
      <c r="BE126" s="34">
        <v>20</v>
      </c>
      <c r="BF126" s="34">
        <f t="shared" si="12"/>
        <v>16</v>
      </c>
      <c r="BG126" s="34">
        <f t="shared" si="13"/>
        <v>12</v>
      </c>
      <c r="BH126" s="26">
        <v>1</v>
      </c>
      <c r="BI126" s="26">
        <v>0</v>
      </c>
      <c r="BJ126" s="27">
        <v>0.7</v>
      </c>
      <c r="BK126" s="27">
        <v>0.59036390486367074</v>
      </c>
      <c r="BL126" s="27" t="s">
        <v>1341</v>
      </c>
      <c r="BM126" s="27" t="s">
        <v>1342</v>
      </c>
      <c r="BN126" s="26"/>
      <c r="BO126" s="34">
        <v>1</v>
      </c>
      <c r="BP126" s="34"/>
      <c r="BQ126" s="34"/>
      <c r="BR126" s="34"/>
      <c r="BS126" s="34"/>
      <c r="BT126" s="34"/>
      <c r="BU126" s="34"/>
      <c r="BV126" s="34"/>
      <c r="BW126" s="34"/>
      <c r="BX126" s="34"/>
      <c r="BY126" s="34"/>
      <c r="BZ126" s="34">
        <v>1</v>
      </c>
      <c r="CA126" s="20" t="s">
        <v>240</v>
      </c>
      <c r="CB126" s="20" t="s">
        <v>240</v>
      </c>
      <c r="CC126" s="46">
        <v>46006</v>
      </c>
      <c r="CD126" s="35" t="s">
        <v>1343</v>
      </c>
    </row>
    <row r="127" spans="1:82" s="18" customFormat="1" ht="66.75" customHeight="1" x14ac:dyDescent="0.25">
      <c r="A127" s="121">
        <v>123</v>
      </c>
      <c r="B127" s="141" t="s">
        <v>1344</v>
      </c>
      <c r="C127" s="6" t="s">
        <v>1345</v>
      </c>
      <c r="D127" s="6" t="s">
        <v>1346</v>
      </c>
      <c r="E127" s="75" t="s">
        <v>174</v>
      </c>
      <c r="F127" s="4" t="s">
        <v>81</v>
      </c>
      <c r="G127" s="33">
        <v>14</v>
      </c>
      <c r="H127" s="49" t="s">
        <v>114</v>
      </c>
      <c r="I127" s="49" t="s">
        <v>1331</v>
      </c>
      <c r="J127" s="6" t="s">
        <v>115</v>
      </c>
      <c r="K127" s="49"/>
      <c r="L127" s="49"/>
      <c r="M127" s="49" t="s">
        <v>136</v>
      </c>
      <c r="N127" s="49" t="s">
        <v>89</v>
      </c>
      <c r="O127" s="49" t="s">
        <v>579</v>
      </c>
      <c r="P127" s="6" t="s">
        <v>1332</v>
      </c>
      <c r="Q127" s="49"/>
      <c r="R127" s="75" t="s">
        <v>91</v>
      </c>
      <c r="S127" s="33" t="s">
        <v>92</v>
      </c>
      <c r="T127" s="33" t="s">
        <v>93</v>
      </c>
      <c r="U127" s="78">
        <v>100</v>
      </c>
      <c r="V127" s="33" t="s">
        <v>94</v>
      </c>
      <c r="W127" s="33" t="s">
        <v>95</v>
      </c>
      <c r="X127" s="33">
        <v>2021</v>
      </c>
      <c r="Y127" s="33" t="s">
        <v>117</v>
      </c>
      <c r="Z127" s="33" t="s">
        <v>95</v>
      </c>
      <c r="AA127" s="33" t="s">
        <v>98</v>
      </c>
      <c r="AB127" s="49" t="s">
        <v>99</v>
      </c>
      <c r="AC127" s="48" t="s">
        <v>1347</v>
      </c>
      <c r="AD127" s="79" t="s">
        <v>1348</v>
      </c>
      <c r="AE127" s="6" t="s">
        <v>1349</v>
      </c>
      <c r="AF127" s="6" t="s">
        <v>121</v>
      </c>
      <c r="AG127" s="6" t="s">
        <v>122</v>
      </c>
      <c r="AH127" s="49" t="s">
        <v>123</v>
      </c>
      <c r="AI127" s="6" t="s">
        <v>1336</v>
      </c>
      <c r="AJ127" s="6" t="s">
        <v>1348</v>
      </c>
      <c r="AK127" s="33" t="s">
        <v>97</v>
      </c>
      <c r="AL127" s="33" t="s">
        <v>97</v>
      </c>
      <c r="AM127" s="5" t="s">
        <v>1337</v>
      </c>
      <c r="AN127" s="5"/>
      <c r="AO127" s="5" t="s">
        <v>1350</v>
      </c>
      <c r="AP127" s="5" t="s">
        <v>1351</v>
      </c>
      <c r="AQ127" s="6" t="s">
        <v>1340</v>
      </c>
      <c r="AR127" s="20" t="s">
        <v>97</v>
      </c>
      <c r="AS127" s="20" t="s">
        <v>107</v>
      </c>
      <c r="AT127" s="20"/>
      <c r="AU127" s="24">
        <v>0.8</v>
      </c>
      <c r="AV127" s="24">
        <f t="shared" si="19"/>
        <v>0.64000000000000012</v>
      </c>
      <c r="AW127" s="24">
        <f t="shared" si="20"/>
        <v>0.48</v>
      </c>
      <c r="AX127" s="25">
        <v>1E-4</v>
      </c>
      <c r="AY127" s="24">
        <v>0</v>
      </c>
      <c r="AZ127" s="24">
        <f t="shared" si="21"/>
        <v>0.72000000000000008</v>
      </c>
      <c r="BA127" s="24">
        <f t="shared" si="22"/>
        <v>0.57600000000000007</v>
      </c>
      <c r="BB127" s="24">
        <f t="shared" si="23"/>
        <v>0.43200000000000005</v>
      </c>
      <c r="BC127" s="25">
        <v>1E-4</v>
      </c>
      <c r="BD127" s="24">
        <v>0</v>
      </c>
      <c r="BE127" s="34">
        <v>20</v>
      </c>
      <c r="BF127" s="34">
        <f t="shared" si="12"/>
        <v>16</v>
      </c>
      <c r="BG127" s="34">
        <f t="shared" si="13"/>
        <v>12</v>
      </c>
      <c r="BH127" s="26">
        <v>1</v>
      </c>
      <c r="BI127" s="26">
        <v>0</v>
      </c>
      <c r="BJ127" s="27">
        <v>0.81799999999999995</v>
      </c>
      <c r="BK127" s="27">
        <v>0.79139751664244318</v>
      </c>
      <c r="BL127" s="27" t="s">
        <v>1352</v>
      </c>
      <c r="BM127" s="27" t="s">
        <v>1353</v>
      </c>
      <c r="BN127" s="26"/>
      <c r="BO127" s="34">
        <v>1</v>
      </c>
      <c r="BP127" s="34"/>
      <c r="BQ127" s="34"/>
      <c r="BR127" s="34"/>
      <c r="BS127" s="34"/>
      <c r="BT127" s="34"/>
      <c r="BU127" s="34"/>
      <c r="BV127" s="34"/>
      <c r="BW127" s="34"/>
      <c r="BX127" s="34"/>
      <c r="BY127" s="34"/>
      <c r="BZ127" s="34">
        <v>1</v>
      </c>
      <c r="CA127" s="20" t="s">
        <v>240</v>
      </c>
      <c r="CB127" s="24"/>
      <c r="CC127" s="46">
        <v>46006</v>
      </c>
      <c r="CD127" s="11" t="s">
        <v>1354</v>
      </c>
    </row>
    <row r="128" spans="1:82" s="18" customFormat="1" ht="66.75" customHeight="1" x14ac:dyDescent="0.25">
      <c r="A128" s="87">
        <v>124</v>
      </c>
      <c r="B128" s="141" t="s">
        <v>1355</v>
      </c>
      <c r="C128" s="6" t="s">
        <v>1356</v>
      </c>
      <c r="D128" s="6" t="s">
        <v>1357</v>
      </c>
      <c r="E128" s="75" t="s">
        <v>174</v>
      </c>
      <c r="F128" s="4" t="s">
        <v>81</v>
      </c>
      <c r="G128" s="33">
        <v>21</v>
      </c>
      <c r="H128" s="49" t="s">
        <v>309</v>
      </c>
      <c r="I128" s="49" t="s">
        <v>1331</v>
      </c>
      <c r="J128" s="6" t="s">
        <v>115</v>
      </c>
      <c r="K128" s="49"/>
      <c r="L128" s="49"/>
      <c r="M128" s="49" t="s">
        <v>136</v>
      </c>
      <c r="N128" s="49" t="s">
        <v>89</v>
      </c>
      <c r="O128" s="49" t="s">
        <v>579</v>
      </c>
      <c r="P128" s="6" t="s">
        <v>1332</v>
      </c>
      <c r="Q128" s="49"/>
      <c r="R128" s="75" t="s">
        <v>91</v>
      </c>
      <c r="S128" s="33" t="s">
        <v>92</v>
      </c>
      <c r="T128" s="33" t="s">
        <v>93</v>
      </c>
      <c r="U128" s="78">
        <v>100</v>
      </c>
      <c r="V128" s="33" t="s">
        <v>94</v>
      </c>
      <c r="W128" s="33" t="s">
        <v>95</v>
      </c>
      <c r="X128" s="33">
        <v>2021</v>
      </c>
      <c r="Y128" s="33" t="s">
        <v>117</v>
      </c>
      <c r="Z128" s="33" t="s">
        <v>95</v>
      </c>
      <c r="AA128" s="33" t="s">
        <v>98</v>
      </c>
      <c r="AB128" s="49" t="s">
        <v>99</v>
      </c>
      <c r="AC128" s="48" t="s">
        <v>1358</v>
      </c>
      <c r="AD128" s="79" t="s">
        <v>1359</v>
      </c>
      <c r="AE128" s="6" t="s">
        <v>1349</v>
      </c>
      <c r="AF128" s="6" t="s">
        <v>121</v>
      </c>
      <c r="AG128" s="6" t="s">
        <v>1042</v>
      </c>
      <c r="AH128" s="49" t="s">
        <v>123</v>
      </c>
      <c r="AI128" s="6" t="s">
        <v>1360</v>
      </c>
      <c r="AJ128" s="6" t="s">
        <v>1359</v>
      </c>
      <c r="AK128" s="33" t="s">
        <v>97</v>
      </c>
      <c r="AL128" s="33" t="s">
        <v>97</v>
      </c>
      <c r="AM128" s="5" t="s">
        <v>1361</v>
      </c>
      <c r="AN128" s="5"/>
      <c r="AO128" s="5" t="s">
        <v>1362</v>
      </c>
      <c r="AP128" s="5" t="s">
        <v>1363</v>
      </c>
      <c r="AQ128" s="6" t="s">
        <v>1364</v>
      </c>
      <c r="AR128" s="20" t="s">
        <v>97</v>
      </c>
      <c r="AS128" s="20" t="s">
        <v>107</v>
      </c>
      <c r="AT128" s="20"/>
      <c r="AU128" s="24">
        <v>0.7</v>
      </c>
      <c r="AV128" s="24">
        <f t="shared" si="19"/>
        <v>0.55999999999999994</v>
      </c>
      <c r="AW128" s="24">
        <f t="shared" si="20"/>
        <v>0.42</v>
      </c>
      <c r="AX128" s="25">
        <v>1E-4</v>
      </c>
      <c r="AY128" s="24">
        <v>0</v>
      </c>
      <c r="AZ128" s="24">
        <f t="shared" si="21"/>
        <v>0.63</v>
      </c>
      <c r="BA128" s="24">
        <f t="shared" si="22"/>
        <v>0.504</v>
      </c>
      <c r="BB128" s="24">
        <f t="shared" si="23"/>
        <v>0.378</v>
      </c>
      <c r="BC128" s="25">
        <v>1E-4</v>
      </c>
      <c r="BD128" s="24">
        <v>0</v>
      </c>
      <c r="BE128" s="34">
        <v>20</v>
      </c>
      <c r="BF128" s="34">
        <f t="shared" si="12"/>
        <v>16</v>
      </c>
      <c r="BG128" s="34">
        <f t="shared" si="13"/>
        <v>12</v>
      </c>
      <c r="BH128" s="26">
        <v>1</v>
      </c>
      <c r="BI128" s="26">
        <v>0</v>
      </c>
      <c r="BJ128" s="27">
        <v>0.51400000000000001</v>
      </c>
      <c r="BK128" s="27">
        <v>0.49821274677003524</v>
      </c>
      <c r="BL128" s="27" t="s">
        <v>1365</v>
      </c>
      <c r="BM128" s="27" t="s">
        <v>1366</v>
      </c>
      <c r="BN128" s="26"/>
      <c r="BO128" s="34">
        <v>1</v>
      </c>
      <c r="BP128" s="34"/>
      <c r="BQ128" s="34"/>
      <c r="BR128" s="34"/>
      <c r="BS128" s="34"/>
      <c r="BT128" s="34"/>
      <c r="BU128" s="34"/>
      <c r="BV128" s="34"/>
      <c r="BW128" s="34"/>
      <c r="BX128" s="34"/>
      <c r="BY128" s="34"/>
      <c r="BZ128" s="34">
        <v>1</v>
      </c>
      <c r="CA128" s="20" t="s">
        <v>240</v>
      </c>
      <c r="CB128" s="20" t="s">
        <v>240</v>
      </c>
      <c r="CC128" s="29">
        <v>46006</v>
      </c>
      <c r="CD128" s="11" t="s">
        <v>1367</v>
      </c>
    </row>
    <row r="129" spans="1:82" s="18" customFormat="1" ht="66.75" customHeight="1" x14ac:dyDescent="0.25">
      <c r="A129" s="87">
        <v>125</v>
      </c>
      <c r="B129" s="141" t="s">
        <v>1368</v>
      </c>
      <c r="C129" s="6" t="s">
        <v>1369</v>
      </c>
      <c r="D129" s="6" t="s">
        <v>1370</v>
      </c>
      <c r="E129" s="75" t="s">
        <v>113</v>
      </c>
      <c r="F129" s="4" t="s">
        <v>81</v>
      </c>
      <c r="G129" s="33">
        <v>22</v>
      </c>
      <c r="H129" s="49" t="s">
        <v>364</v>
      </c>
      <c r="I129" s="49" t="s">
        <v>1331</v>
      </c>
      <c r="J129" s="6" t="s">
        <v>115</v>
      </c>
      <c r="K129" s="49"/>
      <c r="L129" s="49"/>
      <c r="M129" s="49" t="s">
        <v>136</v>
      </c>
      <c r="N129" s="49" t="s">
        <v>89</v>
      </c>
      <c r="O129" s="49" t="s">
        <v>579</v>
      </c>
      <c r="P129" s="6" t="s">
        <v>1332</v>
      </c>
      <c r="Q129" s="49"/>
      <c r="R129" s="75" t="s">
        <v>91</v>
      </c>
      <c r="S129" s="33" t="s">
        <v>92</v>
      </c>
      <c r="T129" s="33" t="s">
        <v>93</v>
      </c>
      <c r="U129" s="78">
        <v>100</v>
      </c>
      <c r="V129" s="33" t="s">
        <v>94</v>
      </c>
      <c r="W129" s="33" t="s">
        <v>95</v>
      </c>
      <c r="X129" s="33">
        <v>2021</v>
      </c>
      <c r="Y129" s="33" t="s">
        <v>117</v>
      </c>
      <c r="Z129" s="33" t="s">
        <v>95</v>
      </c>
      <c r="AA129" s="33" t="s">
        <v>98</v>
      </c>
      <c r="AB129" s="49" t="s">
        <v>99</v>
      </c>
      <c r="AC129" s="48" t="s">
        <v>1371</v>
      </c>
      <c r="AD129" s="79" t="s">
        <v>1372</v>
      </c>
      <c r="AE129" s="6" t="s">
        <v>1349</v>
      </c>
      <c r="AF129" s="6" t="s">
        <v>121</v>
      </c>
      <c r="AG129" s="6" t="s">
        <v>1042</v>
      </c>
      <c r="AH129" s="49" t="s">
        <v>123</v>
      </c>
      <c r="AI129" s="6" t="s">
        <v>1373</v>
      </c>
      <c r="AJ129" s="6" t="s">
        <v>1374</v>
      </c>
      <c r="AK129" s="33" t="s">
        <v>97</v>
      </c>
      <c r="AL129" s="33" t="s">
        <v>97</v>
      </c>
      <c r="AM129" s="5" t="s">
        <v>1361</v>
      </c>
      <c r="AN129" s="5"/>
      <c r="AO129" s="5" t="s">
        <v>1375</v>
      </c>
      <c r="AP129" s="5" t="s">
        <v>1376</v>
      </c>
      <c r="AQ129" s="6" t="s">
        <v>1377</v>
      </c>
      <c r="AR129" s="20" t="s">
        <v>97</v>
      </c>
      <c r="AS129" s="20" t="s">
        <v>107</v>
      </c>
      <c r="AT129" s="20"/>
      <c r="AU129" s="24">
        <v>0.55000000000000004</v>
      </c>
      <c r="AV129" s="24">
        <f t="shared" si="19"/>
        <v>0.44000000000000006</v>
      </c>
      <c r="AW129" s="24">
        <f t="shared" si="20"/>
        <v>0.33</v>
      </c>
      <c r="AX129" s="25">
        <v>1E-4</v>
      </c>
      <c r="AY129" s="24">
        <v>0</v>
      </c>
      <c r="AZ129" s="24">
        <f t="shared" si="21"/>
        <v>0.49500000000000005</v>
      </c>
      <c r="BA129" s="24">
        <f t="shared" si="22"/>
        <v>0.39600000000000007</v>
      </c>
      <c r="BB129" s="24">
        <f t="shared" si="23"/>
        <v>0.29700000000000004</v>
      </c>
      <c r="BC129" s="25">
        <v>1E-4</v>
      </c>
      <c r="BD129" s="24">
        <v>0</v>
      </c>
      <c r="BE129" s="26">
        <v>0</v>
      </c>
      <c r="BF129" s="34">
        <f t="shared" si="12"/>
        <v>0</v>
      </c>
      <c r="BG129" s="34">
        <f t="shared" si="13"/>
        <v>0</v>
      </c>
      <c r="BH129" s="26">
        <v>0</v>
      </c>
      <c r="BI129" s="26">
        <v>0</v>
      </c>
      <c r="BJ129" s="27">
        <v>0.51100000000000001</v>
      </c>
      <c r="BK129" s="27">
        <v>0.49749793686647004</v>
      </c>
      <c r="BL129" s="27" t="s">
        <v>1378</v>
      </c>
      <c r="BM129" s="27" t="s">
        <v>1366</v>
      </c>
      <c r="BN129" s="26"/>
      <c r="BO129" s="34">
        <v>1</v>
      </c>
      <c r="BP129" s="34"/>
      <c r="BQ129" s="34"/>
      <c r="BR129" s="34"/>
      <c r="BS129" s="34"/>
      <c r="BT129" s="34"/>
      <c r="BU129" s="34"/>
      <c r="BV129" s="34"/>
      <c r="BW129" s="34"/>
      <c r="BX129" s="34"/>
      <c r="BY129" s="34"/>
      <c r="BZ129" s="34"/>
      <c r="CA129" s="20"/>
      <c r="CB129" s="20"/>
      <c r="CC129" s="29">
        <v>46003</v>
      </c>
      <c r="CD129" s="30" t="s">
        <v>1379</v>
      </c>
    </row>
    <row r="130" spans="1:82" s="18" customFormat="1" ht="66.75" customHeight="1" x14ac:dyDescent="0.25">
      <c r="A130" s="121">
        <v>126</v>
      </c>
      <c r="B130" s="141" t="s">
        <v>1380</v>
      </c>
      <c r="C130" s="6" t="s">
        <v>1381</v>
      </c>
      <c r="D130" s="6" t="s">
        <v>1382</v>
      </c>
      <c r="E130" s="75" t="s">
        <v>113</v>
      </c>
      <c r="F130" s="4" t="s">
        <v>81</v>
      </c>
      <c r="G130" s="33">
        <v>23</v>
      </c>
      <c r="H130" s="49" t="s">
        <v>423</v>
      </c>
      <c r="I130" s="49" t="s">
        <v>1331</v>
      </c>
      <c r="J130" s="6" t="s">
        <v>115</v>
      </c>
      <c r="K130" s="49"/>
      <c r="L130" s="49"/>
      <c r="M130" s="49" t="s">
        <v>136</v>
      </c>
      <c r="N130" s="49" t="s">
        <v>89</v>
      </c>
      <c r="O130" s="49" t="s">
        <v>579</v>
      </c>
      <c r="P130" s="6" t="s">
        <v>1332</v>
      </c>
      <c r="Q130" s="49"/>
      <c r="R130" s="75" t="s">
        <v>91</v>
      </c>
      <c r="S130" s="33" t="s">
        <v>92</v>
      </c>
      <c r="T130" s="33" t="s">
        <v>93</v>
      </c>
      <c r="U130" s="78">
        <v>100</v>
      </c>
      <c r="V130" s="33" t="s">
        <v>94</v>
      </c>
      <c r="W130" s="33" t="s">
        <v>95</v>
      </c>
      <c r="X130" s="33">
        <v>2021</v>
      </c>
      <c r="Y130" s="33" t="s">
        <v>117</v>
      </c>
      <c r="Z130" s="33" t="s">
        <v>95</v>
      </c>
      <c r="AA130" s="33" t="s">
        <v>98</v>
      </c>
      <c r="AB130" s="49" t="s">
        <v>99</v>
      </c>
      <c r="AC130" s="48" t="s">
        <v>1383</v>
      </c>
      <c r="AD130" s="79" t="s">
        <v>1384</v>
      </c>
      <c r="AE130" s="6" t="s">
        <v>1349</v>
      </c>
      <c r="AF130" s="6" t="s">
        <v>121</v>
      </c>
      <c r="AG130" s="6" t="s">
        <v>122</v>
      </c>
      <c r="AH130" s="49" t="s">
        <v>123</v>
      </c>
      <c r="AI130" s="6" t="s">
        <v>1385</v>
      </c>
      <c r="AJ130" s="6" t="s">
        <v>1384</v>
      </c>
      <c r="AK130" s="33" t="s">
        <v>97</v>
      </c>
      <c r="AL130" s="33" t="s">
        <v>97</v>
      </c>
      <c r="AM130" s="5" t="s">
        <v>1386</v>
      </c>
      <c r="AN130" s="5" t="s">
        <v>470</v>
      </c>
      <c r="AO130" s="5" t="s">
        <v>1387</v>
      </c>
      <c r="AP130" s="5" t="s">
        <v>1388</v>
      </c>
      <c r="AQ130" s="6" t="s">
        <v>1389</v>
      </c>
      <c r="AR130" s="20" t="s">
        <v>97</v>
      </c>
      <c r="AS130" s="20" t="s">
        <v>107</v>
      </c>
      <c r="AT130" s="20"/>
      <c r="AU130" s="24">
        <v>0.7</v>
      </c>
      <c r="AV130" s="24">
        <f t="shared" si="19"/>
        <v>0.55999999999999994</v>
      </c>
      <c r="AW130" s="24">
        <f t="shared" si="20"/>
        <v>0.42</v>
      </c>
      <c r="AX130" s="25">
        <v>1E-4</v>
      </c>
      <c r="AY130" s="24">
        <v>0</v>
      </c>
      <c r="AZ130" s="24">
        <f t="shared" si="21"/>
        <v>0.63</v>
      </c>
      <c r="BA130" s="24">
        <f t="shared" si="22"/>
        <v>0.504</v>
      </c>
      <c r="BB130" s="24">
        <f t="shared" si="23"/>
        <v>0.378</v>
      </c>
      <c r="BC130" s="25">
        <v>1E-4</v>
      </c>
      <c r="BD130" s="24">
        <v>0</v>
      </c>
      <c r="BE130" s="26">
        <v>0</v>
      </c>
      <c r="BF130" s="34">
        <f t="shared" si="12"/>
        <v>0</v>
      </c>
      <c r="BG130" s="34">
        <f t="shared" si="13"/>
        <v>0</v>
      </c>
      <c r="BH130" s="26">
        <v>0</v>
      </c>
      <c r="BI130" s="26">
        <v>0</v>
      </c>
      <c r="BJ130" s="27">
        <v>0.57599999999999996</v>
      </c>
      <c r="BK130" s="27">
        <v>0.56943055128670816</v>
      </c>
      <c r="BL130" s="27" t="s">
        <v>1390</v>
      </c>
      <c r="BM130" s="27" t="s">
        <v>1391</v>
      </c>
      <c r="BN130" s="26"/>
      <c r="BO130" s="34">
        <v>1</v>
      </c>
      <c r="BP130" s="34"/>
      <c r="BQ130" s="34"/>
      <c r="BR130" s="34"/>
      <c r="BS130" s="34"/>
      <c r="BT130" s="34"/>
      <c r="BU130" s="34"/>
      <c r="BV130" s="34"/>
      <c r="BW130" s="34"/>
      <c r="BX130" s="34"/>
      <c r="BY130" s="34"/>
      <c r="BZ130" s="34">
        <v>1</v>
      </c>
      <c r="CA130" s="20" t="s">
        <v>240</v>
      </c>
      <c r="CB130" s="20" t="s">
        <v>240</v>
      </c>
      <c r="CC130" s="46">
        <v>46006</v>
      </c>
      <c r="CD130" s="11" t="s">
        <v>1392</v>
      </c>
    </row>
    <row r="131" spans="1:82" s="18" customFormat="1" ht="66.75" customHeight="1" x14ac:dyDescent="0.25">
      <c r="A131" s="87">
        <v>127</v>
      </c>
      <c r="B131" s="141" t="s">
        <v>1393</v>
      </c>
      <c r="C131" s="6" t="s">
        <v>1394</v>
      </c>
      <c r="D131" s="6" t="s">
        <v>1395</v>
      </c>
      <c r="E131" s="75" t="s">
        <v>113</v>
      </c>
      <c r="F131" s="4" t="s">
        <v>81</v>
      </c>
      <c r="G131" s="33">
        <v>24</v>
      </c>
      <c r="H131" s="49" t="s">
        <v>436</v>
      </c>
      <c r="I131" s="49" t="s">
        <v>1331</v>
      </c>
      <c r="J131" s="6" t="s">
        <v>115</v>
      </c>
      <c r="K131" s="49"/>
      <c r="L131" s="49"/>
      <c r="M131" s="49" t="s">
        <v>136</v>
      </c>
      <c r="N131" s="49" t="s">
        <v>89</v>
      </c>
      <c r="O131" s="49" t="s">
        <v>579</v>
      </c>
      <c r="P131" s="6" t="s">
        <v>1332</v>
      </c>
      <c r="Q131" s="49"/>
      <c r="R131" s="75" t="s">
        <v>91</v>
      </c>
      <c r="S131" s="33" t="s">
        <v>92</v>
      </c>
      <c r="T131" s="33" t="s">
        <v>93</v>
      </c>
      <c r="U131" s="78">
        <v>100</v>
      </c>
      <c r="V131" s="33" t="s">
        <v>94</v>
      </c>
      <c r="W131" s="33" t="s">
        <v>95</v>
      </c>
      <c r="X131" s="33">
        <v>2021</v>
      </c>
      <c r="Y131" s="33" t="s">
        <v>117</v>
      </c>
      <c r="Z131" s="33" t="s">
        <v>95</v>
      </c>
      <c r="AA131" s="33" t="s">
        <v>98</v>
      </c>
      <c r="AB131" s="49" t="s">
        <v>99</v>
      </c>
      <c r="AC131" s="48" t="s">
        <v>1396</v>
      </c>
      <c r="AD131" s="79" t="s">
        <v>1397</v>
      </c>
      <c r="AE131" s="6" t="s">
        <v>1349</v>
      </c>
      <c r="AF131" s="6" t="s">
        <v>121</v>
      </c>
      <c r="AG131" s="6" t="s">
        <v>122</v>
      </c>
      <c r="AH131" s="49" t="s">
        <v>123</v>
      </c>
      <c r="AI131" s="6" t="s">
        <v>1398</v>
      </c>
      <c r="AJ131" s="6" t="s">
        <v>1399</v>
      </c>
      <c r="AK131" s="33" t="s">
        <v>97</v>
      </c>
      <c r="AL131" s="33" t="s">
        <v>97</v>
      </c>
      <c r="AM131" s="5" t="s">
        <v>1361</v>
      </c>
      <c r="AN131" s="5" t="s">
        <v>470</v>
      </c>
      <c r="AO131" s="5" t="s">
        <v>1400</v>
      </c>
      <c r="AP131" s="5" t="s">
        <v>1401</v>
      </c>
      <c r="AQ131" s="6" t="s">
        <v>1402</v>
      </c>
      <c r="AR131" s="20" t="s">
        <v>97</v>
      </c>
      <c r="AS131" s="20" t="s">
        <v>107</v>
      </c>
      <c r="AT131" s="20"/>
      <c r="AU131" s="24">
        <v>0.75</v>
      </c>
      <c r="AV131" s="24">
        <f t="shared" si="19"/>
        <v>0.60000000000000009</v>
      </c>
      <c r="AW131" s="24">
        <f t="shared" si="20"/>
        <v>0.44999999999999996</v>
      </c>
      <c r="AX131" s="25">
        <v>1E-4</v>
      </c>
      <c r="AY131" s="24">
        <v>0</v>
      </c>
      <c r="AZ131" s="24">
        <f t="shared" si="21"/>
        <v>0.67500000000000004</v>
      </c>
      <c r="BA131" s="24">
        <f t="shared" si="22"/>
        <v>0.54</v>
      </c>
      <c r="BB131" s="24">
        <f t="shared" si="23"/>
        <v>0.40500000000000003</v>
      </c>
      <c r="BC131" s="25">
        <v>1E-4</v>
      </c>
      <c r="BD131" s="24">
        <v>0</v>
      </c>
      <c r="BE131" s="26">
        <v>0</v>
      </c>
      <c r="BF131" s="34">
        <f t="shared" si="12"/>
        <v>0</v>
      </c>
      <c r="BG131" s="34">
        <f t="shared" si="13"/>
        <v>0</v>
      </c>
      <c r="BH131" s="26">
        <v>0</v>
      </c>
      <c r="BI131" s="26">
        <v>0</v>
      </c>
      <c r="BJ131" s="27">
        <v>0.70499999999999996</v>
      </c>
      <c r="BK131" s="27">
        <v>0.68521260603002687</v>
      </c>
      <c r="BL131" s="27" t="s">
        <v>1403</v>
      </c>
      <c r="BM131" s="27" t="s">
        <v>1404</v>
      </c>
      <c r="BN131" s="26"/>
      <c r="BO131" s="34">
        <v>1</v>
      </c>
      <c r="BP131" s="34"/>
      <c r="BQ131" s="34"/>
      <c r="BR131" s="34"/>
      <c r="BS131" s="34"/>
      <c r="BT131" s="34"/>
      <c r="BU131" s="34"/>
      <c r="BV131" s="34"/>
      <c r="BW131" s="34"/>
      <c r="BX131" s="34"/>
      <c r="BY131" s="34"/>
      <c r="BZ131" s="34">
        <v>1</v>
      </c>
      <c r="CA131" s="20" t="s">
        <v>240</v>
      </c>
      <c r="CB131" s="20" t="s">
        <v>240</v>
      </c>
      <c r="CC131" s="46">
        <v>46006</v>
      </c>
      <c r="CD131" s="11" t="s">
        <v>1405</v>
      </c>
    </row>
    <row r="132" spans="1:82" s="18" customFormat="1" ht="66.75" customHeight="1" x14ac:dyDescent="0.25">
      <c r="A132" s="87">
        <v>128</v>
      </c>
      <c r="B132" s="141" t="s">
        <v>1406</v>
      </c>
      <c r="C132" s="6" t="s">
        <v>1407</v>
      </c>
      <c r="D132" s="6" t="s">
        <v>1408</v>
      </c>
      <c r="E132" s="75" t="s">
        <v>113</v>
      </c>
      <c r="F132" s="4" t="s">
        <v>81</v>
      </c>
      <c r="G132" s="33">
        <v>25</v>
      </c>
      <c r="H132" s="49" t="s">
        <v>463</v>
      </c>
      <c r="I132" s="49" t="s">
        <v>1331</v>
      </c>
      <c r="J132" s="6" t="s">
        <v>115</v>
      </c>
      <c r="K132" s="49"/>
      <c r="L132" s="49"/>
      <c r="M132" s="49" t="s">
        <v>136</v>
      </c>
      <c r="N132" s="49" t="s">
        <v>89</v>
      </c>
      <c r="O132" s="49" t="s">
        <v>579</v>
      </c>
      <c r="P132" s="6" t="s">
        <v>1332</v>
      </c>
      <c r="Q132" s="49"/>
      <c r="R132" s="75" t="s">
        <v>91</v>
      </c>
      <c r="S132" s="33" t="s">
        <v>92</v>
      </c>
      <c r="T132" s="33" t="s">
        <v>93</v>
      </c>
      <c r="U132" s="78">
        <v>100</v>
      </c>
      <c r="V132" s="33" t="s">
        <v>94</v>
      </c>
      <c r="W132" s="33" t="s">
        <v>95</v>
      </c>
      <c r="X132" s="33">
        <v>2021</v>
      </c>
      <c r="Y132" s="33" t="s">
        <v>117</v>
      </c>
      <c r="Z132" s="33" t="s">
        <v>95</v>
      </c>
      <c r="AA132" s="33" t="s">
        <v>98</v>
      </c>
      <c r="AB132" s="49" t="s">
        <v>99</v>
      </c>
      <c r="AC132" s="48" t="s">
        <v>1409</v>
      </c>
      <c r="AD132" s="79" t="s">
        <v>1410</v>
      </c>
      <c r="AE132" s="6" t="s">
        <v>1349</v>
      </c>
      <c r="AF132" s="6" t="s">
        <v>121</v>
      </c>
      <c r="AG132" s="6" t="s">
        <v>122</v>
      </c>
      <c r="AH132" s="49" t="s">
        <v>123</v>
      </c>
      <c r="AI132" s="6" t="s">
        <v>1398</v>
      </c>
      <c r="AJ132" s="6" t="s">
        <v>1410</v>
      </c>
      <c r="AK132" s="33" t="s">
        <v>97</v>
      </c>
      <c r="AL132" s="33" t="s">
        <v>97</v>
      </c>
      <c r="AM132" s="5" t="s">
        <v>1361</v>
      </c>
      <c r="AN132" s="5" t="s">
        <v>470</v>
      </c>
      <c r="AO132" s="5" t="s">
        <v>1411</v>
      </c>
      <c r="AP132" s="5" t="s">
        <v>1412</v>
      </c>
      <c r="AQ132" s="6" t="s">
        <v>1413</v>
      </c>
      <c r="AR132" s="20" t="s">
        <v>97</v>
      </c>
      <c r="AS132" s="20" t="s">
        <v>107</v>
      </c>
      <c r="AT132" s="20"/>
      <c r="AU132" s="24">
        <v>0.9</v>
      </c>
      <c r="AV132" s="24">
        <f t="shared" ref="AV132:AV149" si="24">+AU132*80%</f>
        <v>0.72000000000000008</v>
      </c>
      <c r="AW132" s="24">
        <f t="shared" ref="AW132:AW149" si="25">+AU132*60%</f>
        <v>0.54</v>
      </c>
      <c r="AX132" s="25">
        <v>1E-4</v>
      </c>
      <c r="AY132" s="24">
        <v>0</v>
      </c>
      <c r="AZ132" s="24">
        <f t="shared" si="21"/>
        <v>0.81</v>
      </c>
      <c r="BA132" s="24">
        <f t="shared" si="22"/>
        <v>0.64800000000000013</v>
      </c>
      <c r="BB132" s="24">
        <f t="shared" si="23"/>
        <v>0.48599999999999999</v>
      </c>
      <c r="BC132" s="25">
        <v>1E-4</v>
      </c>
      <c r="BD132" s="24">
        <v>0</v>
      </c>
      <c r="BE132" s="26">
        <v>0</v>
      </c>
      <c r="BF132" s="34">
        <f t="shared" ref="BF132:BF195" si="26">+BE132*80%</f>
        <v>0</v>
      </c>
      <c r="BG132" s="34">
        <f t="shared" ref="BG132:BG195" si="27">+BE132*60%</f>
        <v>0</v>
      </c>
      <c r="BH132" s="26">
        <v>0</v>
      </c>
      <c r="BI132" s="26">
        <v>0</v>
      </c>
      <c r="BJ132" s="27">
        <v>0.85599999999999998</v>
      </c>
      <c r="BK132" s="27">
        <v>0.81084926455853468</v>
      </c>
      <c r="BL132" s="27" t="s">
        <v>1414</v>
      </c>
      <c r="BM132" s="27" t="s">
        <v>1415</v>
      </c>
      <c r="BN132" s="26"/>
      <c r="BO132" s="34">
        <v>1</v>
      </c>
      <c r="BP132" s="34"/>
      <c r="BQ132" s="34"/>
      <c r="BR132" s="34"/>
      <c r="BS132" s="34"/>
      <c r="BT132" s="34"/>
      <c r="BU132" s="34"/>
      <c r="BV132" s="34"/>
      <c r="BW132" s="34"/>
      <c r="BX132" s="34"/>
      <c r="BY132" s="34"/>
      <c r="BZ132" s="34">
        <v>1</v>
      </c>
      <c r="CA132" s="20" t="s">
        <v>240</v>
      </c>
      <c r="CB132" s="20" t="s">
        <v>240</v>
      </c>
      <c r="CC132" s="46">
        <v>46006</v>
      </c>
      <c r="CD132" s="11" t="s">
        <v>1416</v>
      </c>
    </row>
    <row r="133" spans="1:82" s="18" customFormat="1" ht="66.75" customHeight="1" x14ac:dyDescent="0.25">
      <c r="A133" s="121">
        <v>129</v>
      </c>
      <c r="B133" s="141" t="s">
        <v>1417</v>
      </c>
      <c r="C133" s="6" t="s">
        <v>1418</v>
      </c>
      <c r="D133" s="6" t="s">
        <v>1419</v>
      </c>
      <c r="E133" s="75" t="s">
        <v>174</v>
      </c>
      <c r="F133" s="4" t="s">
        <v>81</v>
      </c>
      <c r="G133" s="33" t="s">
        <v>84</v>
      </c>
      <c r="H133" s="49" t="s">
        <v>775</v>
      </c>
      <c r="I133" s="49" t="s">
        <v>1331</v>
      </c>
      <c r="J133" s="6" t="s">
        <v>115</v>
      </c>
      <c r="K133" s="49"/>
      <c r="L133" s="49"/>
      <c r="M133" s="49" t="s">
        <v>88</v>
      </c>
      <c r="N133" s="49" t="s">
        <v>89</v>
      </c>
      <c r="O133" s="49" t="s">
        <v>579</v>
      </c>
      <c r="P133" s="6" t="s">
        <v>1332</v>
      </c>
      <c r="Q133" s="49"/>
      <c r="R133" s="75" t="s">
        <v>175</v>
      </c>
      <c r="S133" s="33" t="s">
        <v>92</v>
      </c>
      <c r="T133" s="33" t="s">
        <v>93</v>
      </c>
      <c r="U133" s="78">
        <v>100</v>
      </c>
      <c r="V133" s="33" t="s">
        <v>94</v>
      </c>
      <c r="W133" s="33" t="s">
        <v>95</v>
      </c>
      <c r="X133" s="33">
        <v>2023</v>
      </c>
      <c r="Y133" s="33" t="s">
        <v>117</v>
      </c>
      <c r="Z133" s="33" t="s">
        <v>95</v>
      </c>
      <c r="AA133" s="33" t="s">
        <v>98</v>
      </c>
      <c r="AB133" s="49" t="s">
        <v>99</v>
      </c>
      <c r="AC133" s="48" t="s">
        <v>1420</v>
      </c>
      <c r="AD133" s="79" t="s">
        <v>1421</v>
      </c>
      <c r="AE133" s="6" t="s">
        <v>1335</v>
      </c>
      <c r="AF133" s="6" t="s">
        <v>121</v>
      </c>
      <c r="AG133" s="6" t="s">
        <v>178</v>
      </c>
      <c r="AH133" s="49" t="s">
        <v>123</v>
      </c>
      <c r="AI133" s="6" t="s">
        <v>1422</v>
      </c>
      <c r="AJ133" s="6" t="s">
        <v>1421</v>
      </c>
      <c r="AK133" s="33" t="s">
        <v>97</v>
      </c>
      <c r="AL133" s="33" t="s">
        <v>97</v>
      </c>
      <c r="AM133" s="5" t="s">
        <v>1337</v>
      </c>
      <c r="AN133" s="5"/>
      <c r="AO133" s="5" t="s">
        <v>1423</v>
      </c>
      <c r="AP133" s="5" t="s">
        <v>1424</v>
      </c>
      <c r="AQ133" s="6" t="s">
        <v>1425</v>
      </c>
      <c r="AR133" s="20" t="s">
        <v>97</v>
      </c>
      <c r="AS133" s="20" t="s">
        <v>107</v>
      </c>
      <c r="AT133" s="20"/>
      <c r="AU133" s="24">
        <v>0.7</v>
      </c>
      <c r="AV133" s="24">
        <f t="shared" si="24"/>
        <v>0.55999999999999994</v>
      </c>
      <c r="AW133" s="24">
        <f t="shared" si="25"/>
        <v>0.42</v>
      </c>
      <c r="AX133" s="25">
        <v>1E-4</v>
      </c>
      <c r="AY133" s="24">
        <v>0</v>
      </c>
      <c r="AZ133" s="24">
        <f t="shared" si="21"/>
        <v>0.63</v>
      </c>
      <c r="BA133" s="24">
        <f t="shared" si="22"/>
        <v>0.504</v>
      </c>
      <c r="BB133" s="24">
        <f t="shared" si="23"/>
        <v>0.378</v>
      </c>
      <c r="BC133" s="25">
        <v>1E-4</v>
      </c>
      <c r="BD133" s="24">
        <v>0</v>
      </c>
      <c r="BE133" s="34">
        <v>20</v>
      </c>
      <c r="BF133" s="34">
        <f t="shared" si="26"/>
        <v>16</v>
      </c>
      <c r="BG133" s="34">
        <f t="shared" si="27"/>
        <v>12</v>
      </c>
      <c r="BH133" s="26">
        <v>1</v>
      </c>
      <c r="BI133" s="26">
        <v>0</v>
      </c>
      <c r="BJ133" s="27">
        <v>0.70199999999999996</v>
      </c>
      <c r="BK133" s="27">
        <v>0.6022942344245682</v>
      </c>
      <c r="BL133" s="27" t="s">
        <v>1426</v>
      </c>
      <c r="BM133" s="27" t="s">
        <v>1427</v>
      </c>
      <c r="BN133" s="26"/>
      <c r="BO133" s="34"/>
      <c r="BP133" s="34"/>
      <c r="BQ133" s="34"/>
      <c r="BR133" s="34"/>
      <c r="BS133" s="34"/>
      <c r="BT133" s="34"/>
      <c r="BU133" s="34"/>
      <c r="BV133" s="34"/>
      <c r="BW133" s="34"/>
      <c r="BX133" s="34"/>
      <c r="BY133" s="34"/>
      <c r="BZ133" s="34">
        <v>1</v>
      </c>
      <c r="CA133" s="20" t="s">
        <v>240</v>
      </c>
      <c r="CB133" s="20" t="s">
        <v>240</v>
      </c>
      <c r="CC133" s="29">
        <v>46003</v>
      </c>
      <c r="CD133" s="11" t="s">
        <v>1428</v>
      </c>
    </row>
    <row r="134" spans="1:82" s="18" customFormat="1" ht="66.75" customHeight="1" x14ac:dyDescent="0.25">
      <c r="A134" s="87">
        <v>130</v>
      </c>
      <c r="B134" s="141" t="s">
        <v>1429</v>
      </c>
      <c r="C134" s="6" t="s">
        <v>1430</v>
      </c>
      <c r="D134" s="6" t="s">
        <v>1431</v>
      </c>
      <c r="E134" s="75" t="s">
        <v>113</v>
      </c>
      <c r="F134" s="4" t="s">
        <v>81</v>
      </c>
      <c r="G134" s="33" t="s">
        <v>84</v>
      </c>
      <c r="H134" s="49" t="s">
        <v>775</v>
      </c>
      <c r="I134" s="49" t="s">
        <v>1331</v>
      </c>
      <c r="J134" s="6" t="s">
        <v>115</v>
      </c>
      <c r="K134" s="49"/>
      <c r="L134" s="49"/>
      <c r="M134" s="49" t="s">
        <v>88</v>
      </c>
      <c r="N134" s="49" t="s">
        <v>89</v>
      </c>
      <c r="O134" s="49" t="s">
        <v>579</v>
      </c>
      <c r="P134" s="6" t="s">
        <v>1332</v>
      </c>
      <c r="Q134" s="49"/>
      <c r="R134" s="75" t="s">
        <v>91</v>
      </c>
      <c r="S134" s="33" t="s">
        <v>92</v>
      </c>
      <c r="T134" s="33" t="s">
        <v>93</v>
      </c>
      <c r="U134" s="78">
        <v>100</v>
      </c>
      <c r="V134" s="33" t="s">
        <v>94</v>
      </c>
      <c r="W134" s="33" t="s">
        <v>95</v>
      </c>
      <c r="X134" s="33">
        <v>2023</v>
      </c>
      <c r="Y134" s="33" t="s">
        <v>117</v>
      </c>
      <c r="Z134" s="33" t="s">
        <v>95</v>
      </c>
      <c r="AA134" s="33" t="s">
        <v>98</v>
      </c>
      <c r="AB134" s="49" t="s">
        <v>99</v>
      </c>
      <c r="AC134" s="48" t="s">
        <v>1432</v>
      </c>
      <c r="AD134" s="79" t="s">
        <v>1433</v>
      </c>
      <c r="AE134" s="6" t="s">
        <v>1335</v>
      </c>
      <c r="AF134" s="6" t="s">
        <v>121</v>
      </c>
      <c r="AG134" s="6" t="s">
        <v>218</v>
      </c>
      <c r="AH134" s="49" t="s">
        <v>123</v>
      </c>
      <c r="AI134" s="6" t="s">
        <v>1434</v>
      </c>
      <c r="AJ134" s="6" t="s">
        <v>1435</v>
      </c>
      <c r="AK134" s="33" t="s">
        <v>1436</v>
      </c>
      <c r="AL134" s="33" t="s">
        <v>97</v>
      </c>
      <c r="AM134" s="5" t="s">
        <v>1337</v>
      </c>
      <c r="AN134" s="5" t="s">
        <v>470</v>
      </c>
      <c r="AO134" s="5" t="s">
        <v>1437</v>
      </c>
      <c r="AP134" s="5" t="s">
        <v>1438</v>
      </c>
      <c r="AQ134" s="6" t="s">
        <v>1425</v>
      </c>
      <c r="AR134" s="20" t="s">
        <v>97</v>
      </c>
      <c r="AS134" s="20" t="s">
        <v>107</v>
      </c>
      <c r="AT134" s="20"/>
      <c r="AU134" s="24">
        <v>0.85</v>
      </c>
      <c r="AV134" s="24">
        <f t="shared" si="24"/>
        <v>0.68</v>
      </c>
      <c r="AW134" s="24">
        <f t="shared" si="25"/>
        <v>0.51</v>
      </c>
      <c r="AX134" s="25">
        <v>1E-4</v>
      </c>
      <c r="AY134" s="24">
        <v>0</v>
      </c>
      <c r="AZ134" s="24">
        <f t="shared" si="21"/>
        <v>0.76500000000000001</v>
      </c>
      <c r="BA134" s="24">
        <f t="shared" si="22"/>
        <v>0.6120000000000001</v>
      </c>
      <c r="BB134" s="24">
        <f t="shared" si="23"/>
        <v>0.45899999999999996</v>
      </c>
      <c r="BC134" s="25">
        <v>1E-4</v>
      </c>
      <c r="BD134" s="24">
        <v>0</v>
      </c>
      <c r="BE134" s="26">
        <v>0</v>
      </c>
      <c r="BF134" s="34">
        <f t="shared" si="26"/>
        <v>0</v>
      </c>
      <c r="BG134" s="34">
        <f t="shared" si="27"/>
        <v>0</v>
      </c>
      <c r="BH134" s="26">
        <v>0</v>
      </c>
      <c r="BI134" s="26">
        <v>0</v>
      </c>
      <c r="BJ134" s="27">
        <v>0.70199999999999996</v>
      </c>
      <c r="BK134" s="27">
        <v>0.75156949098924819</v>
      </c>
      <c r="BL134" s="27" t="s">
        <v>1439</v>
      </c>
      <c r="BM134" s="27" t="s">
        <v>1440</v>
      </c>
      <c r="BN134" s="26"/>
      <c r="BO134" s="34"/>
      <c r="BP134" s="34"/>
      <c r="BQ134" s="34"/>
      <c r="BR134" s="34"/>
      <c r="BS134" s="34"/>
      <c r="BT134" s="34"/>
      <c r="BU134" s="34"/>
      <c r="BV134" s="34"/>
      <c r="BW134" s="34"/>
      <c r="BX134" s="34"/>
      <c r="BY134" s="34"/>
      <c r="BZ134" s="34"/>
      <c r="CA134" s="20"/>
      <c r="CB134" s="20"/>
      <c r="CC134" s="29">
        <v>46003</v>
      </c>
      <c r="CD134" s="11" t="s">
        <v>1275</v>
      </c>
    </row>
    <row r="135" spans="1:82" s="18" customFormat="1" ht="66.75" customHeight="1" x14ac:dyDescent="0.25">
      <c r="A135" s="87">
        <v>131</v>
      </c>
      <c r="B135" s="141" t="s">
        <v>1441</v>
      </c>
      <c r="C135" s="6" t="s">
        <v>1442</v>
      </c>
      <c r="D135" s="6" t="s">
        <v>1443</v>
      </c>
      <c r="E135" s="75" t="s">
        <v>174</v>
      </c>
      <c r="F135" s="4" t="s">
        <v>81</v>
      </c>
      <c r="G135" s="33">
        <v>12</v>
      </c>
      <c r="H135" s="49" t="s">
        <v>114</v>
      </c>
      <c r="I135" s="49" t="s">
        <v>1331</v>
      </c>
      <c r="J135" s="6"/>
      <c r="K135" s="49"/>
      <c r="L135" s="49"/>
      <c r="M135" s="49" t="s">
        <v>136</v>
      </c>
      <c r="N135" s="49" t="s">
        <v>89</v>
      </c>
      <c r="O135" s="49" t="s">
        <v>1444</v>
      </c>
      <c r="P135" s="6" t="s">
        <v>1445</v>
      </c>
      <c r="Q135" s="49"/>
      <c r="R135" s="75" t="s">
        <v>91</v>
      </c>
      <c r="S135" s="33" t="s">
        <v>92</v>
      </c>
      <c r="T135" s="33" t="s">
        <v>93</v>
      </c>
      <c r="U135" s="78">
        <v>100</v>
      </c>
      <c r="V135" s="33" t="s">
        <v>94</v>
      </c>
      <c r="W135" s="33" t="s">
        <v>95</v>
      </c>
      <c r="X135" s="33">
        <v>2022</v>
      </c>
      <c r="Y135" s="33" t="s">
        <v>117</v>
      </c>
      <c r="Z135" s="33" t="s">
        <v>95</v>
      </c>
      <c r="AA135" s="33" t="s">
        <v>98</v>
      </c>
      <c r="AB135" s="49" t="s">
        <v>99</v>
      </c>
      <c r="AC135" s="79" t="s">
        <v>1446</v>
      </c>
      <c r="AD135" s="79" t="s">
        <v>1447</v>
      </c>
      <c r="AE135" s="6" t="s">
        <v>1448</v>
      </c>
      <c r="AF135" s="6" t="s">
        <v>121</v>
      </c>
      <c r="AG135" s="6" t="s">
        <v>1449</v>
      </c>
      <c r="AH135" s="49" t="s">
        <v>123</v>
      </c>
      <c r="AI135" s="6" t="s">
        <v>1450</v>
      </c>
      <c r="AJ135" s="6" t="s">
        <v>1447</v>
      </c>
      <c r="AK135" s="33" t="s">
        <v>97</v>
      </c>
      <c r="AL135" s="33" t="s">
        <v>97</v>
      </c>
      <c r="AM135" s="6" t="s">
        <v>1451</v>
      </c>
      <c r="AN135" s="6" t="s">
        <v>1452</v>
      </c>
      <c r="AO135" s="6" t="s">
        <v>1453</v>
      </c>
      <c r="AP135" s="6" t="s">
        <v>1454</v>
      </c>
      <c r="AQ135" s="49" t="s">
        <v>114</v>
      </c>
      <c r="AR135" s="20" t="s">
        <v>95</v>
      </c>
      <c r="AS135" s="20" t="s">
        <v>107</v>
      </c>
      <c r="AT135" s="20"/>
      <c r="AU135" s="24">
        <v>0.5</v>
      </c>
      <c r="AV135" s="24">
        <f t="shared" si="24"/>
        <v>0.4</v>
      </c>
      <c r="AW135" s="24">
        <f t="shared" si="25"/>
        <v>0.3</v>
      </c>
      <c r="AX135" s="25">
        <v>1E-4</v>
      </c>
      <c r="AY135" s="24">
        <v>0</v>
      </c>
      <c r="AZ135" s="24">
        <f t="shared" si="21"/>
        <v>0.45</v>
      </c>
      <c r="BA135" s="24">
        <f t="shared" si="22"/>
        <v>0.36000000000000004</v>
      </c>
      <c r="BB135" s="24">
        <f t="shared" si="23"/>
        <v>0.27</v>
      </c>
      <c r="BC135" s="25">
        <v>1E-4</v>
      </c>
      <c r="BD135" s="24">
        <v>0</v>
      </c>
      <c r="BE135" s="34">
        <v>20</v>
      </c>
      <c r="BF135" s="34">
        <f t="shared" si="26"/>
        <v>16</v>
      </c>
      <c r="BG135" s="34">
        <f t="shared" si="27"/>
        <v>12</v>
      </c>
      <c r="BH135" s="26">
        <v>1</v>
      </c>
      <c r="BI135" s="26">
        <v>0</v>
      </c>
      <c r="BJ135" s="27">
        <v>3.5999999999999997E-2</v>
      </c>
      <c r="BK135" s="27">
        <v>6.065852667078183E-2</v>
      </c>
      <c r="BL135" s="27" t="s">
        <v>1455</v>
      </c>
      <c r="BM135" s="27" t="s">
        <v>1183</v>
      </c>
      <c r="BN135" s="26"/>
      <c r="BO135" s="34">
        <v>1</v>
      </c>
      <c r="BP135" s="34"/>
      <c r="BQ135" s="34"/>
      <c r="BR135" s="34"/>
      <c r="BS135" s="34"/>
      <c r="BT135" s="34"/>
      <c r="BU135" s="34"/>
      <c r="BV135" s="34"/>
      <c r="BW135" s="34"/>
      <c r="BX135" s="34"/>
      <c r="BY135" s="34"/>
      <c r="BZ135" s="34">
        <v>1</v>
      </c>
      <c r="CA135" s="20" t="s">
        <v>240</v>
      </c>
      <c r="CB135" s="20" t="s">
        <v>240</v>
      </c>
      <c r="CC135" s="46">
        <v>46006</v>
      </c>
      <c r="CD135" s="11" t="s">
        <v>1456</v>
      </c>
    </row>
    <row r="136" spans="1:82" s="18" customFormat="1" ht="66.75" customHeight="1" x14ac:dyDescent="0.25">
      <c r="A136" s="121">
        <v>132</v>
      </c>
      <c r="B136" s="141" t="s">
        <v>1457</v>
      </c>
      <c r="C136" s="6" t="s">
        <v>1458</v>
      </c>
      <c r="D136" s="6" t="s">
        <v>1459</v>
      </c>
      <c r="E136" s="75" t="s">
        <v>174</v>
      </c>
      <c r="F136" s="4" t="s">
        <v>81</v>
      </c>
      <c r="G136" s="33">
        <v>15</v>
      </c>
      <c r="H136" s="49" t="s">
        <v>114</v>
      </c>
      <c r="I136" s="49" t="s">
        <v>1331</v>
      </c>
      <c r="J136" s="6"/>
      <c r="K136" s="49"/>
      <c r="L136" s="49"/>
      <c r="M136" s="49" t="s">
        <v>136</v>
      </c>
      <c r="N136" s="49" t="s">
        <v>89</v>
      </c>
      <c r="O136" s="49" t="s">
        <v>1444</v>
      </c>
      <c r="P136" s="6" t="s">
        <v>1445</v>
      </c>
      <c r="Q136" s="49"/>
      <c r="R136" s="75" t="s">
        <v>91</v>
      </c>
      <c r="S136" s="33" t="s">
        <v>92</v>
      </c>
      <c r="T136" s="33" t="s">
        <v>93</v>
      </c>
      <c r="U136" s="78">
        <v>100</v>
      </c>
      <c r="V136" s="33" t="s">
        <v>94</v>
      </c>
      <c r="W136" s="33" t="s">
        <v>95</v>
      </c>
      <c r="X136" s="33">
        <v>2021</v>
      </c>
      <c r="Y136" s="33" t="s">
        <v>117</v>
      </c>
      <c r="Z136" s="33" t="s">
        <v>95</v>
      </c>
      <c r="AA136" s="33" t="s">
        <v>98</v>
      </c>
      <c r="AB136" s="49" t="s">
        <v>99</v>
      </c>
      <c r="AC136" s="79" t="s">
        <v>1460</v>
      </c>
      <c r="AD136" s="79" t="s">
        <v>1461</v>
      </c>
      <c r="AE136" s="6" t="s">
        <v>1462</v>
      </c>
      <c r="AF136" s="6" t="s">
        <v>121</v>
      </c>
      <c r="AG136" s="6" t="s">
        <v>1449</v>
      </c>
      <c r="AH136" s="49" t="s">
        <v>123</v>
      </c>
      <c r="AI136" s="6" t="s">
        <v>1463</v>
      </c>
      <c r="AJ136" s="6" t="s">
        <v>1464</v>
      </c>
      <c r="AK136" s="33" t="s">
        <v>97</v>
      </c>
      <c r="AL136" s="33" t="s">
        <v>97</v>
      </c>
      <c r="AM136" s="6" t="s">
        <v>1465</v>
      </c>
      <c r="AN136" s="6"/>
      <c r="AO136" s="6" t="s">
        <v>1466</v>
      </c>
      <c r="AP136" s="6" t="s">
        <v>1467</v>
      </c>
      <c r="AQ136" s="6" t="s">
        <v>114</v>
      </c>
      <c r="AR136" s="20" t="s">
        <v>95</v>
      </c>
      <c r="AS136" s="20" t="s">
        <v>107</v>
      </c>
      <c r="AT136" s="20"/>
      <c r="AU136" s="24">
        <v>0.5</v>
      </c>
      <c r="AV136" s="24">
        <f t="shared" si="24"/>
        <v>0.4</v>
      </c>
      <c r="AW136" s="24">
        <f t="shared" si="25"/>
        <v>0.3</v>
      </c>
      <c r="AX136" s="25">
        <v>1E-4</v>
      </c>
      <c r="AY136" s="24">
        <v>0</v>
      </c>
      <c r="AZ136" s="24">
        <f t="shared" si="21"/>
        <v>0.45</v>
      </c>
      <c r="BA136" s="24">
        <f t="shared" si="22"/>
        <v>0.36000000000000004</v>
      </c>
      <c r="BB136" s="24">
        <f t="shared" si="23"/>
        <v>0.27</v>
      </c>
      <c r="BC136" s="25">
        <v>1E-4</v>
      </c>
      <c r="BD136" s="24">
        <v>0</v>
      </c>
      <c r="BE136" s="34">
        <v>20</v>
      </c>
      <c r="BF136" s="34">
        <f t="shared" si="26"/>
        <v>16</v>
      </c>
      <c r="BG136" s="34">
        <f t="shared" si="27"/>
        <v>12</v>
      </c>
      <c r="BH136" s="26">
        <v>1</v>
      </c>
      <c r="BI136" s="26">
        <v>0</v>
      </c>
      <c r="BJ136" s="27">
        <v>7.8E-2</v>
      </c>
      <c r="BK136" s="27">
        <v>5.0706523626011177E-2</v>
      </c>
      <c r="BL136" s="27" t="s">
        <v>1468</v>
      </c>
      <c r="BM136" s="27" t="s">
        <v>1469</v>
      </c>
      <c r="BN136" s="26"/>
      <c r="BO136" s="34">
        <v>1</v>
      </c>
      <c r="BP136" s="34"/>
      <c r="BQ136" s="34"/>
      <c r="BR136" s="34"/>
      <c r="BS136" s="34"/>
      <c r="BT136" s="34"/>
      <c r="BU136" s="34"/>
      <c r="BV136" s="34"/>
      <c r="BW136" s="34"/>
      <c r="BX136" s="34"/>
      <c r="BY136" s="34"/>
      <c r="BZ136" s="34">
        <v>1</v>
      </c>
      <c r="CA136" s="20" t="s">
        <v>240</v>
      </c>
      <c r="CB136" s="20" t="s">
        <v>240</v>
      </c>
      <c r="CC136" s="46">
        <v>46006</v>
      </c>
      <c r="CD136" s="36" t="s">
        <v>1470</v>
      </c>
    </row>
    <row r="137" spans="1:82" s="18" customFormat="1" ht="66.75" customHeight="1" x14ac:dyDescent="0.25">
      <c r="A137" s="87">
        <v>133</v>
      </c>
      <c r="B137" s="141" t="s">
        <v>1471</v>
      </c>
      <c r="C137" s="6" t="s">
        <v>1472</v>
      </c>
      <c r="D137" s="6" t="s">
        <v>1473</v>
      </c>
      <c r="E137" s="75" t="s">
        <v>174</v>
      </c>
      <c r="F137" s="4" t="s">
        <v>81</v>
      </c>
      <c r="G137" s="33">
        <v>16</v>
      </c>
      <c r="H137" s="49" t="s">
        <v>114</v>
      </c>
      <c r="I137" s="49" t="s">
        <v>1331</v>
      </c>
      <c r="J137" s="6"/>
      <c r="K137" s="49"/>
      <c r="L137" s="49"/>
      <c r="M137" s="49" t="s">
        <v>136</v>
      </c>
      <c r="N137" s="49" t="s">
        <v>89</v>
      </c>
      <c r="O137" s="49" t="s">
        <v>1444</v>
      </c>
      <c r="P137" s="6" t="s">
        <v>1445</v>
      </c>
      <c r="Q137" s="49"/>
      <c r="R137" s="75" t="s">
        <v>91</v>
      </c>
      <c r="S137" s="33" t="s">
        <v>92</v>
      </c>
      <c r="T137" s="33" t="s">
        <v>93</v>
      </c>
      <c r="U137" s="78">
        <v>100</v>
      </c>
      <c r="V137" s="33" t="s">
        <v>94</v>
      </c>
      <c r="W137" s="33" t="s">
        <v>95</v>
      </c>
      <c r="X137" s="33">
        <v>2021</v>
      </c>
      <c r="Y137" s="33" t="s">
        <v>117</v>
      </c>
      <c r="Z137" s="33" t="s">
        <v>185</v>
      </c>
      <c r="AA137" s="33" t="s">
        <v>98</v>
      </c>
      <c r="AB137" s="49" t="s">
        <v>99</v>
      </c>
      <c r="AC137" s="48" t="s">
        <v>1474</v>
      </c>
      <c r="AD137" s="79" t="s">
        <v>1461</v>
      </c>
      <c r="AE137" s="6" t="s">
        <v>1475</v>
      </c>
      <c r="AF137" s="6" t="s">
        <v>121</v>
      </c>
      <c r="AG137" s="6" t="s">
        <v>1449</v>
      </c>
      <c r="AH137" s="49" t="s">
        <v>123</v>
      </c>
      <c r="AI137" s="6" t="s">
        <v>1476</v>
      </c>
      <c r="AJ137" s="6" t="s">
        <v>1477</v>
      </c>
      <c r="AK137" s="33" t="s">
        <v>97</v>
      </c>
      <c r="AL137" s="33" t="s">
        <v>97</v>
      </c>
      <c r="AM137" s="6" t="s">
        <v>1465</v>
      </c>
      <c r="AN137" s="6"/>
      <c r="AO137" s="6" t="s">
        <v>1478</v>
      </c>
      <c r="AP137" s="6" t="s">
        <v>1467</v>
      </c>
      <c r="AQ137" s="6" t="s">
        <v>114</v>
      </c>
      <c r="AR137" s="20" t="s">
        <v>95</v>
      </c>
      <c r="AS137" s="20" t="s">
        <v>107</v>
      </c>
      <c r="AT137" s="20"/>
      <c r="AU137" s="24">
        <v>0.6</v>
      </c>
      <c r="AV137" s="24">
        <f t="shared" si="24"/>
        <v>0.48</v>
      </c>
      <c r="AW137" s="24">
        <f t="shared" si="25"/>
        <v>0.36</v>
      </c>
      <c r="AX137" s="25">
        <v>1E-4</v>
      </c>
      <c r="AY137" s="24">
        <v>0</v>
      </c>
      <c r="AZ137" s="24">
        <f t="shared" si="21"/>
        <v>0.54</v>
      </c>
      <c r="BA137" s="24">
        <f t="shared" si="22"/>
        <v>0.43200000000000005</v>
      </c>
      <c r="BB137" s="24">
        <f t="shared" si="23"/>
        <v>0.32400000000000001</v>
      </c>
      <c r="BC137" s="25">
        <v>1E-4</v>
      </c>
      <c r="BD137" s="24">
        <v>0</v>
      </c>
      <c r="BE137" s="34">
        <v>20</v>
      </c>
      <c r="BF137" s="34">
        <f t="shared" si="26"/>
        <v>16</v>
      </c>
      <c r="BG137" s="34">
        <f t="shared" si="27"/>
        <v>12</v>
      </c>
      <c r="BH137" s="26">
        <v>1</v>
      </c>
      <c r="BI137" s="26">
        <v>0</v>
      </c>
      <c r="BJ137" s="27">
        <v>0.14000000000000001</v>
      </c>
      <c r="BK137" s="27">
        <v>5.9846196576745475E-2</v>
      </c>
      <c r="BL137" s="27" t="s">
        <v>1479</v>
      </c>
      <c r="BM137" s="27" t="s">
        <v>1480</v>
      </c>
      <c r="BN137" s="26"/>
      <c r="BO137" s="34">
        <v>1</v>
      </c>
      <c r="BP137" s="34"/>
      <c r="BQ137" s="34"/>
      <c r="BR137" s="34"/>
      <c r="BS137" s="34"/>
      <c r="BT137" s="34"/>
      <c r="BU137" s="34"/>
      <c r="BV137" s="34"/>
      <c r="BW137" s="34"/>
      <c r="BX137" s="34"/>
      <c r="BY137" s="34"/>
      <c r="BZ137" s="34">
        <v>1</v>
      </c>
      <c r="CA137" s="20" t="s">
        <v>240</v>
      </c>
      <c r="CB137" s="20" t="s">
        <v>240</v>
      </c>
      <c r="CC137" s="46">
        <v>46006</v>
      </c>
      <c r="CD137" s="36" t="s">
        <v>1481</v>
      </c>
    </row>
    <row r="138" spans="1:82" s="18" customFormat="1" ht="66.75" customHeight="1" x14ac:dyDescent="0.25">
      <c r="A138" s="87">
        <v>134</v>
      </c>
      <c r="B138" s="141" t="s">
        <v>1482</v>
      </c>
      <c r="C138" s="6" t="s">
        <v>1483</v>
      </c>
      <c r="D138" s="6" t="s">
        <v>1484</v>
      </c>
      <c r="E138" s="212" t="s">
        <v>113</v>
      </c>
      <c r="F138" s="4" t="s">
        <v>81</v>
      </c>
      <c r="G138" s="33">
        <v>26</v>
      </c>
      <c r="H138" s="49" t="s">
        <v>114</v>
      </c>
      <c r="I138" s="49" t="s">
        <v>1331</v>
      </c>
      <c r="J138" s="6"/>
      <c r="K138" s="49"/>
      <c r="L138" s="49"/>
      <c r="M138" s="49" t="s">
        <v>136</v>
      </c>
      <c r="N138" s="49" t="s">
        <v>89</v>
      </c>
      <c r="O138" s="49" t="s">
        <v>1444</v>
      </c>
      <c r="P138" s="6" t="s">
        <v>1485</v>
      </c>
      <c r="Q138" s="49"/>
      <c r="R138" s="75" t="s">
        <v>91</v>
      </c>
      <c r="S138" s="33" t="s">
        <v>92</v>
      </c>
      <c r="T138" s="33" t="s">
        <v>93</v>
      </c>
      <c r="U138" s="78">
        <v>100</v>
      </c>
      <c r="V138" s="33" t="s">
        <v>94</v>
      </c>
      <c r="W138" s="33" t="s">
        <v>95</v>
      </c>
      <c r="X138" s="33">
        <v>2022</v>
      </c>
      <c r="Y138" s="33" t="s">
        <v>117</v>
      </c>
      <c r="Z138" s="33" t="s">
        <v>95</v>
      </c>
      <c r="AA138" s="33" t="s">
        <v>98</v>
      </c>
      <c r="AB138" s="49" t="s">
        <v>99</v>
      </c>
      <c r="AC138" s="79" t="s">
        <v>1486</v>
      </c>
      <c r="AD138" s="79" t="s">
        <v>1487</v>
      </c>
      <c r="AE138" s="6" t="s">
        <v>1488</v>
      </c>
      <c r="AF138" s="6" t="s">
        <v>1489</v>
      </c>
      <c r="AG138" s="6" t="s">
        <v>1449</v>
      </c>
      <c r="AH138" s="49" t="s">
        <v>123</v>
      </c>
      <c r="AI138" s="6" t="s">
        <v>1490</v>
      </c>
      <c r="AJ138" s="6" t="s">
        <v>1487</v>
      </c>
      <c r="AK138" s="33" t="s">
        <v>97</v>
      </c>
      <c r="AL138" s="33" t="s">
        <v>97</v>
      </c>
      <c r="AM138" s="6" t="s">
        <v>1465</v>
      </c>
      <c r="AN138" s="6"/>
      <c r="AO138" s="6" t="s">
        <v>1491</v>
      </c>
      <c r="AP138" s="6" t="s">
        <v>1492</v>
      </c>
      <c r="AQ138" s="6" t="s">
        <v>114</v>
      </c>
      <c r="AR138" s="20" t="s">
        <v>95</v>
      </c>
      <c r="AS138" s="20" t="s">
        <v>107</v>
      </c>
      <c r="AT138" s="20"/>
      <c r="AU138" s="24">
        <v>0.4</v>
      </c>
      <c r="AV138" s="24">
        <f t="shared" si="24"/>
        <v>0.32000000000000006</v>
      </c>
      <c r="AW138" s="24">
        <f t="shared" si="25"/>
        <v>0.24</v>
      </c>
      <c r="AX138" s="25">
        <v>1E-4</v>
      </c>
      <c r="AY138" s="24">
        <v>0</v>
      </c>
      <c r="AZ138" s="24">
        <v>0.2</v>
      </c>
      <c r="BA138" s="24">
        <f t="shared" si="22"/>
        <v>0.16000000000000003</v>
      </c>
      <c r="BB138" s="24">
        <f t="shared" si="23"/>
        <v>0.12</v>
      </c>
      <c r="BC138" s="25">
        <v>1E-4</v>
      </c>
      <c r="BD138" s="24">
        <v>0</v>
      </c>
      <c r="BE138" s="26">
        <v>0</v>
      </c>
      <c r="BF138" s="34">
        <f t="shared" si="26"/>
        <v>0</v>
      </c>
      <c r="BG138" s="34">
        <f t="shared" si="27"/>
        <v>0</v>
      </c>
      <c r="BH138" s="26">
        <v>0</v>
      </c>
      <c r="BI138" s="26">
        <v>0</v>
      </c>
      <c r="BJ138" s="27">
        <v>1.7999999999999999E-2</v>
      </c>
      <c r="BK138" s="27">
        <v>3.4323356839102113E-2</v>
      </c>
      <c r="BL138" s="27" t="s">
        <v>1493</v>
      </c>
      <c r="BM138" s="27" t="s">
        <v>1494</v>
      </c>
      <c r="BN138" s="26"/>
      <c r="BO138" s="34">
        <v>1</v>
      </c>
      <c r="BP138" s="34"/>
      <c r="BQ138" s="34"/>
      <c r="BR138" s="34"/>
      <c r="BS138" s="34"/>
      <c r="BT138" s="34"/>
      <c r="BU138" s="34"/>
      <c r="BV138" s="34"/>
      <c r="BW138" s="34"/>
      <c r="BX138" s="34"/>
      <c r="BY138" s="34"/>
      <c r="BZ138" s="34">
        <v>1</v>
      </c>
      <c r="CA138" s="20" t="s">
        <v>240</v>
      </c>
      <c r="CB138" s="20" t="s">
        <v>240</v>
      </c>
      <c r="CC138" s="46">
        <v>46006</v>
      </c>
      <c r="CD138" s="11" t="s">
        <v>1495</v>
      </c>
    </row>
    <row r="139" spans="1:82" s="18" customFormat="1" ht="66.75" customHeight="1" x14ac:dyDescent="0.25">
      <c r="A139" s="121">
        <v>135</v>
      </c>
      <c r="B139" s="144" t="s">
        <v>7363</v>
      </c>
      <c r="C139" s="2" t="s">
        <v>1496</v>
      </c>
      <c r="D139" s="2" t="s">
        <v>1497</v>
      </c>
      <c r="E139" s="19" t="s">
        <v>174</v>
      </c>
      <c r="F139" s="12" t="s">
        <v>81</v>
      </c>
      <c r="G139" s="20">
        <v>26</v>
      </c>
      <c r="H139" s="21" t="s">
        <v>114</v>
      </c>
      <c r="I139" s="21" t="s">
        <v>1331</v>
      </c>
      <c r="J139" s="2"/>
      <c r="K139" s="21"/>
      <c r="L139" s="21"/>
      <c r="M139" s="21" t="s">
        <v>136</v>
      </c>
      <c r="N139" s="21" t="s">
        <v>89</v>
      </c>
      <c r="O139" s="21" t="s">
        <v>1444</v>
      </c>
      <c r="P139" s="2" t="s">
        <v>1485</v>
      </c>
      <c r="Q139" s="21"/>
      <c r="R139" s="19" t="s">
        <v>175</v>
      </c>
      <c r="S139" s="33" t="s">
        <v>92</v>
      </c>
      <c r="T139" s="20" t="s">
        <v>93</v>
      </c>
      <c r="U139" s="22">
        <v>100</v>
      </c>
      <c r="V139" s="20" t="s">
        <v>94</v>
      </c>
      <c r="W139" s="20" t="s">
        <v>95</v>
      </c>
      <c r="X139" s="20">
        <v>2026</v>
      </c>
      <c r="Y139" s="20" t="s">
        <v>1498</v>
      </c>
      <c r="Z139" s="20" t="s">
        <v>95</v>
      </c>
      <c r="AA139" s="20" t="s">
        <v>98</v>
      </c>
      <c r="AB139" s="21" t="s">
        <v>99</v>
      </c>
      <c r="AC139" s="31" t="s">
        <v>7495</v>
      </c>
      <c r="AD139" s="31" t="s">
        <v>1487</v>
      </c>
      <c r="AE139" s="2" t="s">
        <v>1499</v>
      </c>
      <c r="AF139" s="2" t="s">
        <v>1489</v>
      </c>
      <c r="AG139" s="2" t="s">
        <v>178</v>
      </c>
      <c r="AH139" s="21" t="s">
        <v>123</v>
      </c>
      <c r="AI139" s="2" t="s">
        <v>1500</v>
      </c>
      <c r="AJ139" s="2" t="s">
        <v>1487</v>
      </c>
      <c r="AK139" s="20" t="s">
        <v>97</v>
      </c>
      <c r="AL139" s="20" t="s">
        <v>97</v>
      </c>
      <c r="AM139" s="2"/>
      <c r="AN139" s="2" t="s">
        <v>1501</v>
      </c>
      <c r="AO139" s="2" t="s">
        <v>1502</v>
      </c>
      <c r="AP139" s="2" t="s">
        <v>1502</v>
      </c>
      <c r="AQ139" s="2" t="s">
        <v>114</v>
      </c>
      <c r="AR139" s="20" t="s">
        <v>85</v>
      </c>
      <c r="AS139" s="20" t="s">
        <v>107</v>
      </c>
      <c r="AT139" s="20"/>
      <c r="AU139" s="24">
        <v>0.3</v>
      </c>
      <c r="AV139" s="24">
        <f t="shared" si="24"/>
        <v>0.24</v>
      </c>
      <c r="AW139" s="24">
        <f t="shared" si="25"/>
        <v>0.18</v>
      </c>
      <c r="AX139" s="25">
        <v>1E-4</v>
      </c>
      <c r="AY139" s="24">
        <v>0</v>
      </c>
      <c r="AZ139" s="24">
        <f t="shared" ref="AZ139:AZ149" si="28">+AU139*90%</f>
        <v>0.27</v>
      </c>
      <c r="BA139" s="24">
        <f t="shared" si="22"/>
        <v>0.21600000000000003</v>
      </c>
      <c r="BB139" s="24">
        <f t="shared" si="23"/>
        <v>0.16200000000000001</v>
      </c>
      <c r="BC139" s="25">
        <v>1E-4</v>
      </c>
      <c r="BD139" s="24">
        <v>0</v>
      </c>
      <c r="BE139" s="34">
        <v>20</v>
      </c>
      <c r="BF139" s="34">
        <f t="shared" si="26"/>
        <v>16</v>
      </c>
      <c r="BG139" s="34">
        <f t="shared" si="27"/>
        <v>12</v>
      </c>
      <c r="BH139" s="26">
        <v>1</v>
      </c>
      <c r="BI139" s="26">
        <v>0</v>
      </c>
      <c r="BJ139" s="27">
        <v>1.7999999999999999E-2</v>
      </c>
      <c r="BK139" s="27">
        <v>3.4323356839102113E-2</v>
      </c>
      <c r="BL139" s="27" t="s">
        <v>1493</v>
      </c>
      <c r="BM139" s="27" t="s">
        <v>1494</v>
      </c>
      <c r="BN139" s="26"/>
      <c r="BO139" s="34"/>
      <c r="BP139" s="34"/>
      <c r="BQ139" s="34"/>
      <c r="BR139" s="34"/>
      <c r="BS139" s="34"/>
      <c r="BT139" s="34"/>
      <c r="BU139" s="34"/>
      <c r="BV139" s="34"/>
      <c r="BW139" s="34"/>
      <c r="BX139" s="34"/>
      <c r="BY139" s="34"/>
      <c r="BZ139" s="34"/>
      <c r="CA139" s="20"/>
      <c r="CB139" s="20" t="s">
        <v>240</v>
      </c>
      <c r="CC139" s="109">
        <v>46086</v>
      </c>
      <c r="CD139" s="36" t="s">
        <v>7496</v>
      </c>
    </row>
    <row r="140" spans="1:82" s="18" customFormat="1" ht="66.75" customHeight="1" x14ac:dyDescent="0.25">
      <c r="A140" s="87">
        <v>136</v>
      </c>
      <c r="B140" s="141" t="s">
        <v>1503</v>
      </c>
      <c r="C140" s="6" t="s">
        <v>1504</v>
      </c>
      <c r="D140" s="6" t="s">
        <v>1505</v>
      </c>
      <c r="E140" s="111" t="s">
        <v>174</v>
      </c>
      <c r="F140" s="4" t="s">
        <v>81</v>
      </c>
      <c r="G140" s="33" t="s">
        <v>84</v>
      </c>
      <c r="H140" s="49" t="s">
        <v>775</v>
      </c>
      <c r="I140" s="49" t="s">
        <v>1331</v>
      </c>
      <c r="J140" s="6"/>
      <c r="K140" s="49"/>
      <c r="L140" s="49"/>
      <c r="M140" s="49" t="s">
        <v>88</v>
      </c>
      <c r="N140" s="49" t="s">
        <v>89</v>
      </c>
      <c r="O140" s="49" t="s">
        <v>1444</v>
      </c>
      <c r="P140" s="6" t="s">
        <v>1485</v>
      </c>
      <c r="Q140" s="49"/>
      <c r="R140" s="111" t="s">
        <v>175</v>
      </c>
      <c r="S140" s="33" t="s">
        <v>92</v>
      </c>
      <c r="T140" s="33" t="s">
        <v>93</v>
      </c>
      <c r="U140" s="78">
        <v>100</v>
      </c>
      <c r="V140" s="33" t="s">
        <v>94</v>
      </c>
      <c r="W140" s="33" t="s">
        <v>95</v>
      </c>
      <c r="X140" s="33">
        <v>2022</v>
      </c>
      <c r="Y140" s="33" t="s">
        <v>117</v>
      </c>
      <c r="Z140" s="33" t="s">
        <v>95</v>
      </c>
      <c r="AA140" s="33" t="s">
        <v>98</v>
      </c>
      <c r="AB140" s="49" t="s">
        <v>99</v>
      </c>
      <c r="AC140" s="48" t="s">
        <v>1506</v>
      </c>
      <c r="AD140" s="79" t="s">
        <v>1507</v>
      </c>
      <c r="AE140" s="6" t="s">
        <v>1488</v>
      </c>
      <c r="AF140" s="215" t="s">
        <v>1489</v>
      </c>
      <c r="AG140" s="6" t="s">
        <v>1042</v>
      </c>
      <c r="AH140" s="49" t="s">
        <v>123</v>
      </c>
      <c r="AI140" s="6" t="s">
        <v>1508</v>
      </c>
      <c r="AJ140" s="6" t="s">
        <v>1509</v>
      </c>
      <c r="AK140" s="33" t="s">
        <v>97</v>
      </c>
      <c r="AL140" s="33" t="s">
        <v>97</v>
      </c>
      <c r="AM140" s="6" t="s">
        <v>1510</v>
      </c>
      <c r="AN140" s="5"/>
      <c r="AO140" s="6" t="s">
        <v>1511</v>
      </c>
      <c r="AP140" s="6" t="s">
        <v>1512</v>
      </c>
      <c r="AQ140" s="6" t="s">
        <v>1513</v>
      </c>
      <c r="AR140" s="20" t="s">
        <v>97</v>
      </c>
      <c r="AS140" s="20" t="s">
        <v>107</v>
      </c>
      <c r="AT140" s="20"/>
      <c r="AU140" s="24">
        <v>0.3</v>
      </c>
      <c r="AV140" s="24">
        <f t="shared" si="24"/>
        <v>0.24</v>
      </c>
      <c r="AW140" s="24">
        <f t="shared" si="25"/>
        <v>0.18</v>
      </c>
      <c r="AX140" s="25">
        <v>1E-4</v>
      </c>
      <c r="AY140" s="24">
        <v>0</v>
      </c>
      <c r="AZ140" s="24">
        <f t="shared" si="28"/>
        <v>0.27</v>
      </c>
      <c r="BA140" s="24">
        <f t="shared" si="22"/>
        <v>0.21600000000000003</v>
      </c>
      <c r="BB140" s="24">
        <f t="shared" si="23"/>
        <v>0.16200000000000001</v>
      </c>
      <c r="BC140" s="25">
        <v>1E-4</v>
      </c>
      <c r="BD140" s="24">
        <v>0</v>
      </c>
      <c r="BE140" s="112">
        <v>20</v>
      </c>
      <c r="BF140" s="34">
        <f t="shared" si="26"/>
        <v>16</v>
      </c>
      <c r="BG140" s="34">
        <f t="shared" si="27"/>
        <v>12</v>
      </c>
      <c r="BH140" s="26">
        <v>1</v>
      </c>
      <c r="BI140" s="26">
        <v>0</v>
      </c>
      <c r="BJ140" s="27">
        <v>7.6999999999999999E-2</v>
      </c>
      <c r="BK140" s="27">
        <v>0.11309618816402307</v>
      </c>
      <c r="BL140" s="27" t="s">
        <v>1514</v>
      </c>
      <c r="BM140" s="27" t="s">
        <v>1515</v>
      </c>
      <c r="BN140" s="26"/>
      <c r="BO140" s="34"/>
      <c r="BP140" s="34"/>
      <c r="BQ140" s="34"/>
      <c r="BR140" s="34"/>
      <c r="BS140" s="34"/>
      <c r="BT140" s="34"/>
      <c r="BU140" s="34"/>
      <c r="BV140" s="34"/>
      <c r="BW140" s="34"/>
      <c r="BX140" s="34"/>
      <c r="BY140" s="34"/>
      <c r="BZ140" s="34"/>
      <c r="CA140" s="20"/>
      <c r="CB140" s="20"/>
      <c r="CC140" s="46">
        <v>46006</v>
      </c>
      <c r="CD140" s="11" t="s">
        <v>1516</v>
      </c>
    </row>
    <row r="141" spans="1:82" s="18" customFormat="1" ht="66.75" customHeight="1" x14ac:dyDescent="0.25">
      <c r="A141" s="87">
        <v>137</v>
      </c>
      <c r="B141" s="141" t="s">
        <v>1517</v>
      </c>
      <c r="C141" s="6" t="s">
        <v>1518</v>
      </c>
      <c r="D141" s="6" t="s">
        <v>1519</v>
      </c>
      <c r="E141" s="75" t="s">
        <v>113</v>
      </c>
      <c r="F141" s="4" t="s">
        <v>81</v>
      </c>
      <c r="G141" s="33" t="s">
        <v>84</v>
      </c>
      <c r="H141" s="49" t="s">
        <v>364</v>
      </c>
      <c r="I141" s="49" t="s">
        <v>1331</v>
      </c>
      <c r="J141" s="6"/>
      <c r="K141" s="49"/>
      <c r="L141" s="49"/>
      <c r="M141" s="49" t="s">
        <v>88</v>
      </c>
      <c r="N141" s="49" t="s">
        <v>89</v>
      </c>
      <c r="O141" s="49" t="s">
        <v>1520</v>
      </c>
      <c r="P141" s="6" t="s">
        <v>1521</v>
      </c>
      <c r="Q141" s="49"/>
      <c r="R141" s="75" t="s">
        <v>91</v>
      </c>
      <c r="S141" s="33" t="s">
        <v>92</v>
      </c>
      <c r="T141" s="33" t="s">
        <v>93</v>
      </c>
      <c r="U141" s="78">
        <v>100</v>
      </c>
      <c r="V141" s="33" t="s">
        <v>94</v>
      </c>
      <c r="W141" s="33" t="s">
        <v>95</v>
      </c>
      <c r="X141" s="33">
        <v>2021</v>
      </c>
      <c r="Y141" s="33" t="s">
        <v>117</v>
      </c>
      <c r="Z141" s="33" t="s">
        <v>95</v>
      </c>
      <c r="AA141" s="33" t="s">
        <v>973</v>
      </c>
      <c r="AB141" s="49" t="s">
        <v>99</v>
      </c>
      <c r="AC141" s="79" t="s">
        <v>1522</v>
      </c>
      <c r="AD141" s="79" t="s">
        <v>1523</v>
      </c>
      <c r="AE141" s="6" t="s">
        <v>1524</v>
      </c>
      <c r="AF141" s="6" t="s">
        <v>121</v>
      </c>
      <c r="AG141" s="6" t="s">
        <v>122</v>
      </c>
      <c r="AH141" s="49" t="s">
        <v>123</v>
      </c>
      <c r="AI141" s="6" t="s">
        <v>1525</v>
      </c>
      <c r="AJ141" s="6" t="s">
        <v>1526</v>
      </c>
      <c r="AK141" s="33" t="s">
        <v>97</v>
      </c>
      <c r="AL141" s="33" t="s">
        <v>97</v>
      </c>
      <c r="AM141" s="5" t="s">
        <v>221</v>
      </c>
      <c r="AN141" s="5" t="s">
        <v>470</v>
      </c>
      <c r="AO141" s="5"/>
      <c r="AP141" s="5"/>
      <c r="AQ141" s="49" t="s">
        <v>1527</v>
      </c>
      <c r="AR141" s="20" t="s">
        <v>97</v>
      </c>
      <c r="AS141" s="20" t="s">
        <v>107</v>
      </c>
      <c r="AT141" s="20"/>
      <c r="AU141" s="24">
        <v>0.5</v>
      </c>
      <c r="AV141" s="24">
        <f t="shared" si="24"/>
        <v>0.4</v>
      </c>
      <c r="AW141" s="24">
        <f t="shared" si="25"/>
        <v>0.3</v>
      </c>
      <c r="AX141" s="25">
        <v>1E-4</v>
      </c>
      <c r="AY141" s="24">
        <v>0</v>
      </c>
      <c r="AZ141" s="24">
        <f t="shared" si="28"/>
        <v>0.45</v>
      </c>
      <c r="BA141" s="24">
        <f t="shared" si="22"/>
        <v>0.36000000000000004</v>
      </c>
      <c r="BB141" s="24">
        <f t="shared" si="23"/>
        <v>0.27</v>
      </c>
      <c r="BC141" s="25">
        <v>1E-4</v>
      </c>
      <c r="BD141" s="24">
        <v>0</v>
      </c>
      <c r="BE141" s="26">
        <v>0</v>
      </c>
      <c r="BF141" s="34">
        <f t="shared" si="26"/>
        <v>0</v>
      </c>
      <c r="BG141" s="34">
        <f t="shared" si="27"/>
        <v>0</v>
      </c>
      <c r="BH141" s="26">
        <v>0</v>
      </c>
      <c r="BI141" s="26">
        <v>0</v>
      </c>
      <c r="BJ141" s="27">
        <v>0.28899999999999998</v>
      </c>
      <c r="BK141" s="27">
        <v>0.29487251018244715</v>
      </c>
      <c r="BL141" s="27" t="s">
        <v>1528</v>
      </c>
      <c r="BM141" s="27" t="s">
        <v>1529</v>
      </c>
      <c r="BN141" s="26"/>
      <c r="BO141" s="34"/>
      <c r="BP141" s="34"/>
      <c r="BQ141" s="34"/>
      <c r="BR141" s="34"/>
      <c r="BS141" s="34"/>
      <c r="BT141" s="34"/>
      <c r="BU141" s="34"/>
      <c r="BV141" s="34"/>
      <c r="BW141" s="34"/>
      <c r="BX141" s="34"/>
      <c r="BY141" s="34"/>
      <c r="BZ141" s="34"/>
      <c r="CA141" s="20"/>
      <c r="CB141" s="20"/>
      <c r="CC141" s="46">
        <v>46006</v>
      </c>
      <c r="CD141" s="30" t="s">
        <v>1530</v>
      </c>
    </row>
    <row r="142" spans="1:82" s="18" customFormat="1" ht="66.75" customHeight="1" x14ac:dyDescent="0.25">
      <c r="A142" s="121">
        <v>138</v>
      </c>
      <c r="B142" s="141" t="s">
        <v>1531</v>
      </c>
      <c r="C142" s="6" t="s">
        <v>1532</v>
      </c>
      <c r="D142" s="6" t="s">
        <v>1533</v>
      </c>
      <c r="E142" s="75" t="s">
        <v>174</v>
      </c>
      <c r="F142" s="4" t="s">
        <v>81</v>
      </c>
      <c r="G142" s="33" t="s">
        <v>84</v>
      </c>
      <c r="H142" s="49" t="s">
        <v>364</v>
      </c>
      <c r="I142" s="49" t="s">
        <v>1331</v>
      </c>
      <c r="J142" s="6"/>
      <c r="K142" s="49"/>
      <c r="L142" s="49"/>
      <c r="M142" s="49" t="s">
        <v>88</v>
      </c>
      <c r="N142" s="49" t="s">
        <v>89</v>
      </c>
      <c r="O142" s="49" t="s">
        <v>1520</v>
      </c>
      <c r="P142" s="6" t="s">
        <v>1521</v>
      </c>
      <c r="Q142" s="49"/>
      <c r="R142" s="75" t="s">
        <v>175</v>
      </c>
      <c r="S142" s="33" t="s">
        <v>92</v>
      </c>
      <c r="T142" s="33" t="s">
        <v>93</v>
      </c>
      <c r="U142" s="78">
        <v>100</v>
      </c>
      <c r="V142" s="33" t="s">
        <v>94</v>
      </c>
      <c r="W142" s="33" t="s">
        <v>95</v>
      </c>
      <c r="X142" s="33">
        <v>2023</v>
      </c>
      <c r="Y142" s="33" t="s">
        <v>117</v>
      </c>
      <c r="Z142" s="33" t="s">
        <v>95</v>
      </c>
      <c r="AA142" s="33" t="s">
        <v>973</v>
      </c>
      <c r="AB142" s="49" t="s">
        <v>99</v>
      </c>
      <c r="AC142" s="79" t="s">
        <v>1534</v>
      </c>
      <c r="AD142" s="79" t="s">
        <v>1535</v>
      </c>
      <c r="AE142" s="6" t="s">
        <v>1524</v>
      </c>
      <c r="AF142" s="6" t="s">
        <v>121</v>
      </c>
      <c r="AG142" s="6" t="s">
        <v>178</v>
      </c>
      <c r="AH142" s="49" t="s">
        <v>123</v>
      </c>
      <c r="AI142" s="6" t="s">
        <v>1536</v>
      </c>
      <c r="AJ142" s="6" t="s">
        <v>1537</v>
      </c>
      <c r="AK142" s="33" t="s">
        <v>97</v>
      </c>
      <c r="AL142" s="33" t="s">
        <v>97</v>
      </c>
      <c r="AM142" s="5"/>
      <c r="AN142" s="5"/>
      <c r="AO142" s="5"/>
      <c r="AP142" s="5"/>
      <c r="AQ142" s="6" t="s">
        <v>1527</v>
      </c>
      <c r="AR142" s="20" t="s">
        <v>95</v>
      </c>
      <c r="AS142" s="20" t="s">
        <v>185</v>
      </c>
      <c r="AT142" s="7">
        <v>902213</v>
      </c>
      <c r="AU142" s="24">
        <v>0.3</v>
      </c>
      <c r="AV142" s="24">
        <f t="shared" si="24"/>
        <v>0.24</v>
      </c>
      <c r="AW142" s="24">
        <f t="shared" si="25"/>
        <v>0.18</v>
      </c>
      <c r="AX142" s="25">
        <v>1E-4</v>
      </c>
      <c r="AY142" s="24">
        <v>0</v>
      </c>
      <c r="AZ142" s="24">
        <f t="shared" si="28"/>
        <v>0.27</v>
      </c>
      <c r="BA142" s="24">
        <f t="shared" si="22"/>
        <v>0.21600000000000003</v>
      </c>
      <c r="BB142" s="24">
        <f t="shared" si="23"/>
        <v>0.16200000000000001</v>
      </c>
      <c r="BC142" s="25">
        <v>1E-4</v>
      </c>
      <c r="BD142" s="24">
        <v>0</v>
      </c>
      <c r="BE142" s="34">
        <v>20</v>
      </c>
      <c r="BF142" s="34">
        <f t="shared" si="26"/>
        <v>16</v>
      </c>
      <c r="BG142" s="34">
        <f t="shared" si="27"/>
        <v>12</v>
      </c>
      <c r="BH142" s="26">
        <v>1</v>
      </c>
      <c r="BI142" s="26">
        <v>0</v>
      </c>
      <c r="BJ142" s="20" t="s">
        <v>496</v>
      </c>
      <c r="BK142" s="27">
        <v>0.23502201771764386</v>
      </c>
      <c r="BL142" s="27" t="s">
        <v>1538</v>
      </c>
      <c r="BM142" s="27" t="s">
        <v>1539</v>
      </c>
      <c r="BN142" s="26"/>
      <c r="BO142" s="34"/>
      <c r="BP142" s="34"/>
      <c r="BQ142" s="34"/>
      <c r="BR142" s="34"/>
      <c r="BS142" s="34"/>
      <c r="BT142" s="34"/>
      <c r="BU142" s="34"/>
      <c r="BV142" s="34"/>
      <c r="BW142" s="34"/>
      <c r="BX142" s="34"/>
      <c r="BY142" s="34"/>
      <c r="BZ142" s="34">
        <v>1</v>
      </c>
      <c r="CA142" s="20" t="s">
        <v>240</v>
      </c>
      <c r="CB142" s="20" t="s">
        <v>240</v>
      </c>
      <c r="CC142" s="46">
        <v>46006</v>
      </c>
      <c r="CD142" s="36" t="s">
        <v>1540</v>
      </c>
    </row>
    <row r="143" spans="1:82" s="18" customFormat="1" ht="66.75" customHeight="1" x14ac:dyDescent="0.25">
      <c r="A143" s="87">
        <v>139</v>
      </c>
      <c r="B143" s="141" t="s">
        <v>1541</v>
      </c>
      <c r="C143" s="6" t="s">
        <v>1542</v>
      </c>
      <c r="D143" s="6" t="s">
        <v>1543</v>
      </c>
      <c r="E143" s="75" t="s">
        <v>113</v>
      </c>
      <c r="F143" s="4" t="s">
        <v>81</v>
      </c>
      <c r="G143" s="33" t="s">
        <v>84</v>
      </c>
      <c r="H143" s="49" t="s">
        <v>364</v>
      </c>
      <c r="I143" s="49" t="s">
        <v>1331</v>
      </c>
      <c r="J143" s="6"/>
      <c r="K143" s="49"/>
      <c r="L143" s="49"/>
      <c r="M143" s="49" t="s">
        <v>88</v>
      </c>
      <c r="N143" s="49" t="s">
        <v>89</v>
      </c>
      <c r="O143" s="49" t="s">
        <v>1520</v>
      </c>
      <c r="P143" s="6" t="s">
        <v>1521</v>
      </c>
      <c r="Q143" s="49"/>
      <c r="R143" s="75" t="s">
        <v>91</v>
      </c>
      <c r="S143" s="33" t="s">
        <v>92</v>
      </c>
      <c r="T143" s="33" t="s">
        <v>93</v>
      </c>
      <c r="U143" s="78">
        <v>100</v>
      </c>
      <c r="V143" s="33" t="s">
        <v>94</v>
      </c>
      <c r="W143" s="33" t="s">
        <v>95</v>
      </c>
      <c r="X143" s="33">
        <v>2021</v>
      </c>
      <c r="Y143" s="33" t="s">
        <v>117</v>
      </c>
      <c r="Z143" s="33" t="s">
        <v>95</v>
      </c>
      <c r="AA143" s="33" t="s">
        <v>973</v>
      </c>
      <c r="AB143" s="49" t="s">
        <v>99</v>
      </c>
      <c r="AC143" s="79" t="s">
        <v>1544</v>
      </c>
      <c r="AD143" s="79" t="s">
        <v>1545</v>
      </c>
      <c r="AE143" s="6" t="s">
        <v>1546</v>
      </c>
      <c r="AF143" s="6" t="s">
        <v>121</v>
      </c>
      <c r="AG143" s="6" t="s">
        <v>122</v>
      </c>
      <c r="AH143" s="49" t="s">
        <v>123</v>
      </c>
      <c r="AI143" s="6" t="s">
        <v>1547</v>
      </c>
      <c r="AJ143" s="6" t="s">
        <v>1548</v>
      </c>
      <c r="AK143" s="33" t="s">
        <v>97</v>
      </c>
      <c r="AL143" s="33" t="s">
        <v>97</v>
      </c>
      <c r="AM143" s="5" t="s">
        <v>221</v>
      </c>
      <c r="AN143" s="5" t="s">
        <v>470</v>
      </c>
      <c r="AO143" s="96" t="s">
        <v>1549</v>
      </c>
      <c r="AP143" s="47" t="s">
        <v>1550</v>
      </c>
      <c r="AQ143" s="49" t="s">
        <v>364</v>
      </c>
      <c r="AR143" s="20" t="s">
        <v>97</v>
      </c>
      <c r="AS143" s="20" t="s">
        <v>107</v>
      </c>
      <c r="AT143" s="20"/>
      <c r="AU143" s="24">
        <v>0.6</v>
      </c>
      <c r="AV143" s="24">
        <f t="shared" si="24"/>
        <v>0.48</v>
      </c>
      <c r="AW143" s="24">
        <f t="shared" si="25"/>
        <v>0.36</v>
      </c>
      <c r="AX143" s="25">
        <v>1E-4</v>
      </c>
      <c r="AY143" s="24">
        <v>0</v>
      </c>
      <c r="AZ143" s="24">
        <f t="shared" si="28"/>
        <v>0.54</v>
      </c>
      <c r="BA143" s="24">
        <f t="shared" si="22"/>
        <v>0.43200000000000005</v>
      </c>
      <c r="BB143" s="24">
        <f t="shared" si="23"/>
        <v>0.32400000000000001</v>
      </c>
      <c r="BC143" s="25">
        <v>1E-4</v>
      </c>
      <c r="BD143" s="24">
        <v>0</v>
      </c>
      <c r="BE143" s="26">
        <v>0</v>
      </c>
      <c r="BF143" s="34">
        <f t="shared" si="26"/>
        <v>0</v>
      </c>
      <c r="BG143" s="34">
        <f t="shared" si="27"/>
        <v>0</v>
      </c>
      <c r="BH143" s="26">
        <v>0</v>
      </c>
      <c r="BI143" s="26">
        <v>0</v>
      </c>
      <c r="BJ143" s="27">
        <v>0.33</v>
      </c>
      <c r="BK143" s="27">
        <v>0.35772587219872543</v>
      </c>
      <c r="BL143" s="27" t="s">
        <v>1551</v>
      </c>
      <c r="BM143" s="27" t="s">
        <v>1552</v>
      </c>
      <c r="BN143" s="26"/>
      <c r="BO143" s="34"/>
      <c r="BP143" s="34"/>
      <c r="BQ143" s="34"/>
      <c r="BR143" s="34"/>
      <c r="BS143" s="34"/>
      <c r="BT143" s="34"/>
      <c r="BU143" s="34"/>
      <c r="BV143" s="34"/>
      <c r="BW143" s="34"/>
      <c r="BX143" s="34"/>
      <c r="BY143" s="34"/>
      <c r="BZ143" s="34"/>
      <c r="CA143" s="20"/>
      <c r="CB143" s="20"/>
      <c r="CC143" s="46">
        <v>46006</v>
      </c>
      <c r="CD143" s="30" t="s">
        <v>1553</v>
      </c>
    </row>
    <row r="144" spans="1:82" s="18" customFormat="1" ht="123" customHeight="1" x14ac:dyDescent="0.25">
      <c r="A144" s="87">
        <v>140</v>
      </c>
      <c r="B144" s="141" t="s">
        <v>1554</v>
      </c>
      <c r="C144" s="6" t="s">
        <v>1555</v>
      </c>
      <c r="D144" s="6" t="s">
        <v>7257</v>
      </c>
      <c r="E144" s="75" t="s">
        <v>174</v>
      </c>
      <c r="F144" s="4" t="s">
        <v>81</v>
      </c>
      <c r="G144" s="33" t="s">
        <v>84</v>
      </c>
      <c r="H144" s="49" t="s">
        <v>364</v>
      </c>
      <c r="I144" s="49" t="s">
        <v>1331</v>
      </c>
      <c r="J144" s="6"/>
      <c r="K144" s="49"/>
      <c r="L144" s="49"/>
      <c r="M144" s="49" t="s">
        <v>88</v>
      </c>
      <c r="N144" s="49" t="s">
        <v>89</v>
      </c>
      <c r="O144" s="49" t="s">
        <v>1520</v>
      </c>
      <c r="P144" s="6" t="s">
        <v>1521</v>
      </c>
      <c r="Q144" s="49"/>
      <c r="R144" s="75" t="s">
        <v>175</v>
      </c>
      <c r="S144" s="33" t="s">
        <v>92</v>
      </c>
      <c r="T144" s="33" t="s">
        <v>93</v>
      </c>
      <c r="U144" s="78">
        <v>100</v>
      </c>
      <c r="V144" s="33" t="s">
        <v>94</v>
      </c>
      <c r="W144" s="33" t="s">
        <v>95</v>
      </c>
      <c r="X144" s="33">
        <v>2023</v>
      </c>
      <c r="Y144" s="33" t="s">
        <v>117</v>
      </c>
      <c r="Z144" s="33" t="s">
        <v>95</v>
      </c>
      <c r="AA144" s="33" t="s">
        <v>973</v>
      </c>
      <c r="AB144" s="49" t="s">
        <v>99</v>
      </c>
      <c r="AC144" s="79" t="s">
        <v>1556</v>
      </c>
      <c r="AD144" s="79" t="s">
        <v>1557</v>
      </c>
      <c r="AE144" s="6" t="s">
        <v>1546</v>
      </c>
      <c r="AF144" s="6" t="s">
        <v>121</v>
      </c>
      <c r="AG144" s="6" t="s">
        <v>178</v>
      </c>
      <c r="AH144" s="49" t="s">
        <v>123</v>
      </c>
      <c r="AI144" s="6" t="s">
        <v>1558</v>
      </c>
      <c r="AJ144" s="6" t="s">
        <v>1559</v>
      </c>
      <c r="AK144" s="33" t="s">
        <v>97</v>
      </c>
      <c r="AL144" s="33" t="s">
        <v>97</v>
      </c>
      <c r="AM144" s="5"/>
      <c r="AN144" s="5" t="s">
        <v>1560</v>
      </c>
      <c r="AO144" s="5" t="s">
        <v>1561</v>
      </c>
      <c r="AP144" s="6" t="s">
        <v>1562</v>
      </c>
      <c r="AQ144" s="49" t="s">
        <v>364</v>
      </c>
      <c r="AR144" s="20" t="s">
        <v>95</v>
      </c>
      <c r="AS144" s="20" t="s">
        <v>185</v>
      </c>
      <c r="AT144" s="7">
        <v>902213</v>
      </c>
      <c r="AU144" s="24">
        <v>0.3</v>
      </c>
      <c r="AV144" s="24">
        <f t="shared" si="24"/>
        <v>0.24</v>
      </c>
      <c r="AW144" s="24">
        <f t="shared" si="25"/>
        <v>0.18</v>
      </c>
      <c r="AX144" s="25">
        <v>1E-4</v>
      </c>
      <c r="AY144" s="24">
        <v>0</v>
      </c>
      <c r="AZ144" s="24">
        <f t="shared" si="28"/>
        <v>0.27</v>
      </c>
      <c r="BA144" s="24">
        <f t="shared" si="22"/>
        <v>0.21600000000000003</v>
      </c>
      <c r="BB144" s="24">
        <f t="shared" si="23"/>
        <v>0.16200000000000001</v>
      </c>
      <c r="BC144" s="25">
        <v>1E-4</v>
      </c>
      <c r="BD144" s="24">
        <v>0</v>
      </c>
      <c r="BE144" s="34">
        <v>20</v>
      </c>
      <c r="BF144" s="34">
        <f t="shared" si="26"/>
        <v>16</v>
      </c>
      <c r="BG144" s="34">
        <f t="shared" si="27"/>
        <v>12</v>
      </c>
      <c r="BH144" s="26">
        <v>1</v>
      </c>
      <c r="BI144" s="26">
        <v>0</v>
      </c>
      <c r="BJ144" s="27">
        <v>0.255</v>
      </c>
      <c r="BK144" s="27">
        <v>0.26531398323794403</v>
      </c>
      <c r="BL144" s="27" t="s">
        <v>1563</v>
      </c>
      <c r="BM144" s="27" t="s">
        <v>1564</v>
      </c>
      <c r="BN144" s="26"/>
      <c r="BO144" s="34"/>
      <c r="BP144" s="34"/>
      <c r="BQ144" s="34"/>
      <c r="BR144" s="34"/>
      <c r="BS144" s="34"/>
      <c r="BT144" s="34"/>
      <c r="BU144" s="34"/>
      <c r="BV144" s="34"/>
      <c r="BW144" s="34"/>
      <c r="BX144" s="34"/>
      <c r="BY144" s="34"/>
      <c r="BZ144" s="34">
        <v>1</v>
      </c>
      <c r="CA144" s="20" t="s">
        <v>240</v>
      </c>
      <c r="CB144" s="20" t="s">
        <v>240</v>
      </c>
      <c r="CC144" s="46">
        <v>46006</v>
      </c>
      <c r="CD144" s="36" t="s">
        <v>1565</v>
      </c>
    </row>
    <row r="145" spans="1:82" s="18" customFormat="1" ht="66.75" customHeight="1" x14ac:dyDescent="0.25">
      <c r="A145" s="121">
        <v>141</v>
      </c>
      <c r="B145" s="141" t="s">
        <v>1566</v>
      </c>
      <c r="C145" s="6" t="s">
        <v>1567</v>
      </c>
      <c r="D145" s="6" t="s">
        <v>1568</v>
      </c>
      <c r="E145" s="75" t="s">
        <v>113</v>
      </c>
      <c r="F145" s="4" t="s">
        <v>81</v>
      </c>
      <c r="G145" s="33">
        <v>7</v>
      </c>
      <c r="H145" s="49" t="s">
        <v>114</v>
      </c>
      <c r="I145" s="49" t="s">
        <v>1331</v>
      </c>
      <c r="J145" s="6"/>
      <c r="K145" s="49"/>
      <c r="L145" s="49"/>
      <c r="M145" s="49" t="s">
        <v>136</v>
      </c>
      <c r="N145" s="49" t="s">
        <v>245</v>
      </c>
      <c r="O145" s="49" t="s">
        <v>246</v>
      </c>
      <c r="P145" s="6" t="s">
        <v>1332</v>
      </c>
      <c r="Q145" s="49"/>
      <c r="R145" s="75" t="s">
        <v>91</v>
      </c>
      <c r="S145" s="33" t="s">
        <v>92</v>
      </c>
      <c r="T145" s="33" t="s">
        <v>93</v>
      </c>
      <c r="U145" s="78">
        <v>100</v>
      </c>
      <c r="V145" s="33" t="s">
        <v>94</v>
      </c>
      <c r="W145" s="33" t="s">
        <v>95</v>
      </c>
      <c r="X145" s="33">
        <v>2023</v>
      </c>
      <c r="Y145" s="33" t="s">
        <v>117</v>
      </c>
      <c r="Z145" s="33" t="s">
        <v>97</v>
      </c>
      <c r="AA145" s="33" t="s">
        <v>98</v>
      </c>
      <c r="AB145" s="49" t="s">
        <v>99</v>
      </c>
      <c r="AC145" s="48" t="s">
        <v>1569</v>
      </c>
      <c r="AD145" s="48" t="s">
        <v>1570</v>
      </c>
      <c r="AE145" s="6" t="s">
        <v>1571</v>
      </c>
      <c r="AF145" s="6" t="s">
        <v>1572</v>
      </c>
      <c r="AG145" s="6" t="s">
        <v>218</v>
      </c>
      <c r="AH145" s="49" t="s">
        <v>218</v>
      </c>
      <c r="AI145" s="6" t="s">
        <v>1573</v>
      </c>
      <c r="AJ145" s="6" t="s">
        <v>1574</v>
      </c>
      <c r="AK145" s="33" t="s">
        <v>97</v>
      </c>
      <c r="AL145" s="33" t="s">
        <v>97</v>
      </c>
      <c r="AM145" s="5" t="s">
        <v>1575</v>
      </c>
      <c r="AN145" s="5" t="s">
        <v>1576</v>
      </c>
      <c r="AO145" s="5"/>
      <c r="AP145" s="5"/>
      <c r="AQ145" s="49" t="s">
        <v>1577</v>
      </c>
      <c r="AR145" s="20" t="s">
        <v>97</v>
      </c>
      <c r="AS145" s="20" t="s">
        <v>107</v>
      </c>
      <c r="AT145" s="20"/>
      <c r="AU145" s="24">
        <v>0.95</v>
      </c>
      <c r="AV145" s="24">
        <f t="shared" si="24"/>
        <v>0.76</v>
      </c>
      <c r="AW145" s="24">
        <f t="shared" si="25"/>
        <v>0.56999999999999995</v>
      </c>
      <c r="AX145" s="25">
        <v>1E-4</v>
      </c>
      <c r="AY145" s="24">
        <v>0</v>
      </c>
      <c r="AZ145" s="24">
        <f t="shared" si="28"/>
        <v>0.85499999999999998</v>
      </c>
      <c r="BA145" s="24">
        <f t="shared" ref="BA145:BA149" si="29">AZ145*80%</f>
        <v>0.68400000000000005</v>
      </c>
      <c r="BB145" s="24">
        <f t="shared" si="23"/>
        <v>0.51300000000000001</v>
      </c>
      <c r="BC145" s="25">
        <v>1E-4</v>
      </c>
      <c r="BD145" s="24">
        <v>0</v>
      </c>
      <c r="BE145" s="26">
        <v>0</v>
      </c>
      <c r="BF145" s="34">
        <f t="shared" si="26"/>
        <v>0</v>
      </c>
      <c r="BG145" s="34">
        <f t="shared" si="27"/>
        <v>0</v>
      </c>
      <c r="BH145" s="26">
        <v>0</v>
      </c>
      <c r="BI145" s="26">
        <v>0</v>
      </c>
      <c r="BJ145" s="20" t="s">
        <v>496</v>
      </c>
      <c r="BK145" s="27">
        <v>0.59942674997674872</v>
      </c>
      <c r="BL145" s="27" t="s">
        <v>1578</v>
      </c>
      <c r="BM145" s="27" t="s">
        <v>1579</v>
      </c>
      <c r="BN145" s="26"/>
      <c r="BO145" s="34">
        <v>1</v>
      </c>
      <c r="BP145" s="34"/>
      <c r="BQ145" s="34"/>
      <c r="BR145" s="34"/>
      <c r="BS145" s="34"/>
      <c r="BT145" s="34"/>
      <c r="BU145" s="34"/>
      <c r="BV145" s="34"/>
      <c r="BW145" s="34"/>
      <c r="BX145" s="34"/>
      <c r="BY145" s="34"/>
      <c r="BZ145" s="34"/>
      <c r="CA145" s="20"/>
      <c r="CB145" s="20"/>
      <c r="CC145" s="29">
        <v>46003</v>
      </c>
      <c r="CD145" s="35" t="s">
        <v>254</v>
      </c>
    </row>
    <row r="146" spans="1:82" s="18" customFormat="1" ht="66.75" customHeight="1" x14ac:dyDescent="0.25">
      <c r="A146" s="87">
        <v>142</v>
      </c>
      <c r="B146" s="141" t="s">
        <v>1580</v>
      </c>
      <c r="C146" s="6" t="s">
        <v>1581</v>
      </c>
      <c r="D146" s="6" t="s">
        <v>1582</v>
      </c>
      <c r="E146" s="75" t="s">
        <v>113</v>
      </c>
      <c r="F146" s="4" t="s">
        <v>81</v>
      </c>
      <c r="G146" s="33">
        <v>8</v>
      </c>
      <c r="H146" s="49" t="s">
        <v>114</v>
      </c>
      <c r="I146" s="49" t="s">
        <v>1331</v>
      </c>
      <c r="J146" s="6"/>
      <c r="K146" s="49"/>
      <c r="L146" s="49"/>
      <c r="M146" s="49" t="s">
        <v>136</v>
      </c>
      <c r="N146" s="49" t="s">
        <v>245</v>
      </c>
      <c r="O146" s="49" t="s">
        <v>246</v>
      </c>
      <c r="P146" s="6" t="s">
        <v>1583</v>
      </c>
      <c r="Q146" s="49"/>
      <c r="R146" s="75" t="s">
        <v>91</v>
      </c>
      <c r="S146" s="33" t="s">
        <v>92</v>
      </c>
      <c r="T146" s="33" t="s">
        <v>93</v>
      </c>
      <c r="U146" s="78">
        <v>100</v>
      </c>
      <c r="V146" s="33" t="s">
        <v>94</v>
      </c>
      <c r="W146" s="33" t="s">
        <v>95</v>
      </c>
      <c r="X146" s="33">
        <v>2023</v>
      </c>
      <c r="Y146" s="33" t="s">
        <v>117</v>
      </c>
      <c r="Z146" s="33" t="s">
        <v>97</v>
      </c>
      <c r="AA146" s="33" t="s">
        <v>98</v>
      </c>
      <c r="AB146" s="49" t="s">
        <v>99</v>
      </c>
      <c r="AC146" s="48" t="s">
        <v>1584</v>
      </c>
      <c r="AD146" s="48" t="s">
        <v>1585</v>
      </c>
      <c r="AE146" s="6" t="s">
        <v>1586</v>
      </c>
      <c r="AF146" s="6" t="s">
        <v>1587</v>
      </c>
      <c r="AG146" s="6" t="s">
        <v>218</v>
      </c>
      <c r="AH146" s="49" t="s">
        <v>218</v>
      </c>
      <c r="AI146" s="6" t="s">
        <v>1588</v>
      </c>
      <c r="AJ146" s="6" t="s">
        <v>1589</v>
      </c>
      <c r="AK146" s="33" t="s">
        <v>97</v>
      </c>
      <c r="AL146" s="33" t="s">
        <v>97</v>
      </c>
      <c r="AM146" s="5" t="s">
        <v>1575</v>
      </c>
      <c r="AN146" s="5" t="s">
        <v>1590</v>
      </c>
      <c r="AO146" s="5"/>
      <c r="AP146" s="5"/>
      <c r="AQ146" s="49" t="s">
        <v>1577</v>
      </c>
      <c r="AR146" s="20" t="s">
        <v>97</v>
      </c>
      <c r="AS146" s="20" t="s">
        <v>107</v>
      </c>
      <c r="AT146" s="20"/>
      <c r="AU146" s="24">
        <v>0.8</v>
      </c>
      <c r="AV146" s="24">
        <f t="shared" si="24"/>
        <v>0.64000000000000012</v>
      </c>
      <c r="AW146" s="24">
        <f t="shared" si="25"/>
        <v>0.48</v>
      </c>
      <c r="AX146" s="25">
        <v>1E-4</v>
      </c>
      <c r="AY146" s="24">
        <v>0</v>
      </c>
      <c r="AZ146" s="24">
        <f t="shared" si="28"/>
        <v>0.72000000000000008</v>
      </c>
      <c r="BA146" s="24">
        <f t="shared" si="29"/>
        <v>0.57600000000000007</v>
      </c>
      <c r="BB146" s="24">
        <f t="shared" si="23"/>
        <v>0.43200000000000005</v>
      </c>
      <c r="BC146" s="25">
        <v>1E-4</v>
      </c>
      <c r="BD146" s="24">
        <v>0</v>
      </c>
      <c r="BE146" s="26">
        <v>0</v>
      </c>
      <c r="BF146" s="34">
        <f t="shared" si="26"/>
        <v>0</v>
      </c>
      <c r="BG146" s="34">
        <f t="shared" si="27"/>
        <v>0</v>
      </c>
      <c r="BH146" s="26">
        <v>0</v>
      </c>
      <c r="BI146" s="26">
        <v>0</v>
      </c>
      <c r="BJ146" s="20" t="s">
        <v>496</v>
      </c>
      <c r="BK146" s="27">
        <v>0.66049170036335347</v>
      </c>
      <c r="BL146" s="27" t="s">
        <v>1591</v>
      </c>
      <c r="BM146" s="27" t="s">
        <v>1592</v>
      </c>
      <c r="BN146" s="26"/>
      <c r="BO146" s="34">
        <v>1</v>
      </c>
      <c r="BP146" s="34"/>
      <c r="BQ146" s="34"/>
      <c r="BR146" s="34"/>
      <c r="BS146" s="34"/>
      <c r="BT146" s="34"/>
      <c r="BU146" s="34"/>
      <c r="BV146" s="34"/>
      <c r="BW146" s="34"/>
      <c r="BX146" s="34"/>
      <c r="BY146" s="34"/>
      <c r="BZ146" s="34"/>
      <c r="CA146" s="20"/>
      <c r="CB146" s="20"/>
      <c r="CC146" s="29">
        <v>46003</v>
      </c>
      <c r="CD146" s="35" t="s">
        <v>254</v>
      </c>
    </row>
    <row r="147" spans="1:82" s="18" customFormat="1" ht="66.75" customHeight="1" x14ac:dyDescent="0.25">
      <c r="A147" s="87">
        <v>143</v>
      </c>
      <c r="B147" s="141" t="s">
        <v>1593</v>
      </c>
      <c r="C147" s="6" t="s">
        <v>1594</v>
      </c>
      <c r="D147" s="6" t="s">
        <v>1595</v>
      </c>
      <c r="E147" s="75" t="s">
        <v>113</v>
      </c>
      <c r="F147" s="4" t="s">
        <v>81</v>
      </c>
      <c r="G147" s="33">
        <v>20</v>
      </c>
      <c r="H147" s="49" t="s">
        <v>775</v>
      </c>
      <c r="I147" s="49" t="s">
        <v>1331</v>
      </c>
      <c r="J147" s="6"/>
      <c r="K147" s="49"/>
      <c r="L147" s="49"/>
      <c r="M147" s="49" t="s">
        <v>136</v>
      </c>
      <c r="N147" s="49" t="s">
        <v>245</v>
      </c>
      <c r="O147" s="49" t="s">
        <v>246</v>
      </c>
      <c r="P147" s="6" t="s">
        <v>1596</v>
      </c>
      <c r="Q147" s="49"/>
      <c r="R147" s="75" t="s">
        <v>91</v>
      </c>
      <c r="S147" s="33" t="s">
        <v>92</v>
      </c>
      <c r="T147" s="33" t="s">
        <v>93</v>
      </c>
      <c r="U147" s="78">
        <v>100</v>
      </c>
      <c r="V147" s="33" t="s">
        <v>94</v>
      </c>
      <c r="W147" s="33" t="s">
        <v>95</v>
      </c>
      <c r="X147" s="33">
        <v>2023</v>
      </c>
      <c r="Y147" s="33" t="s">
        <v>117</v>
      </c>
      <c r="Z147" s="33" t="s">
        <v>97</v>
      </c>
      <c r="AA147" s="33" t="s">
        <v>98</v>
      </c>
      <c r="AB147" s="49" t="s">
        <v>99</v>
      </c>
      <c r="AC147" s="48" t="s">
        <v>1597</v>
      </c>
      <c r="AD147" s="48" t="s">
        <v>1598</v>
      </c>
      <c r="AE147" s="6" t="s">
        <v>1599</v>
      </c>
      <c r="AF147" s="6" t="s">
        <v>1572</v>
      </c>
      <c r="AG147" s="6" t="s">
        <v>1600</v>
      </c>
      <c r="AH147" s="49" t="s">
        <v>1600</v>
      </c>
      <c r="AI147" s="6" t="s">
        <v>1601</v>
      </c>
      <c r="AJ147" s="6" t="s">
        <v>1602</v>
      </c>
      <c r="AK147" s="33" t="s">
        <v>97</v>
      </c>
      <c r="AL147" s="33" t="s">
        <v>97</v>
      </c>
      <c r="AM147" s="5" t="s">
        <v>1603</v>
      </c>
      <c r="AN147" s="5" t="s">
        <v>1604</v>
      </c>
      <c r="AO147" s="5"/>
      <c r="AP147" s="5"/>
      <c r="AQ147" s="49" t="s">
        <v>1605</v>
      </c>
      <c r="AR147" s="20" t="s">
        <v>97</v>
      </c>
      <c r="AS147" s="20" t="s">
        <v>107</v>
      </c>
      <c r="AT147" s="20"/>
      <c r="AU147" s="24">
        <v>0.8</v>
      </c>
      <c r="AV147" s="24">
        <f t="shared" si="24"/>
        <v>0.64000000000000012</v>
      </c>
      <c r="AW147" s="24">
        <f t="shared" si="25"/>
        <v>0.48</v>
      </c>
      <c r="AX147" s="25">
        <v>1E-4</v>
      </c>
      <c r="AY147" s="24">
        <v>0</v>
      </c>
      <c r="AZ147" s="24">
        <f t="shared" si="28"/>
        <v>0.72000000000000008</v>
      </c>
      <c r="BA147" s="24">
        <f t="shared" si="29"/>
        <v>0.57600000000000007</v>
      </c>
      <c r="BB147" s="24">
        <f t="shared" si="23"/>
        <v>0.43200000000000005</v>
      </c>
      <c r="BC147" s="25">
        <v>1E-4</v>
      </c>
      <c r="BD147" s="24">
        <v>0</v>
      </c>
      <c r="BE147" s="26">
        <v>0</v>
      </c>
      <c r="BF147" s="34">
        <f t="shared" si="26"/>
        <v>0</v>
      </c>
      <c r="BG147" s="34">
        <f t="shared" si="27"/>
        <v>0</v>
      </c>
      <c r="BH147" s="26">
        <v>0</v>
      </c>
      <c r="BI147" s="26">
        <v>0</v>
      </c>
      <c r="BJ147" s="20" t="s">
        <v>496</v>
      </c>
      <c r="BK147" s="27">
        <v>0.56759364752606656</v>
      </c>
      <c r="BL147" s="27" t="s">
        <v>1606</v>
      </c>
      <c r="BM147" s="27" t="s">
        <v>1607</v>
      </c>
      <c r="BN147" s="26"/>
      <c r="BO147" s="34">
        <v>1</v>
      </c>
      <c r="BP147" s="34"/>
      <c r="BQ147" s="34"/>
      <c r="BR147" s="34"/>
      <c r="BS147" s="34"/>
      <c r="BT147" s="34"/>
      <c r="BU147" s="34"/>
      <c r="BV147" s="34"/>
      <c r="BW147" s="34"/>
      <c r="BX147" s="34"/>
      <c r="BY147" s="34"/>
      <c r="BZ147" s="34"/>
      <c r="CA147" s="20"/>
      <c r="CB147" s="20"/>
      <c r="CC147" s="29">
        <v>46003</v>
      </c>
      <c r="CD147" s="35" t="s">
        <v>254</v>
      </c>
    </row>
    <row r="148" spans="1:82" s="18" customFormat="1" ht="66.75" customHeight="1" x14ac:dyDescent="0.25">
      <c r="A148" s="121">
        <v>144</v>
      </c>
      <c r="B148" s="141" t="s">
        <v>1608</v>
      </c>
      <c r="C148" s="6" t="s">
        <v>1609</v>
      </c>
      <c r="D148" s="6" t="s">
        <v>1610</v>
      </c>
      <c r="E148" s="75" t="s">
        <v>113</v>
      </c>
      <c r="F148" s="4" t="s">
        <v>81</v>
      </c>
      <c r="G148" s="33">
        <v>18</v>
      </c>
      <c r="H148" s="49" t="s">
        <v>775</v>
      </c>
      <c r="I148" s="49" t="s">
        <v>1331</v>
      </c>
      <c r="J148" s="6"/>
      <c r="K148" s="49"/>
      <c r="L148" s="49"/>
      <c r="M148" s="49" t="s">
        <v>136</v>
      </c>
      <c r="N148" s="49" t="s">
        <v>245</v>
      </c>
      <c r="O148" s="49" t="s">
        <v>246</v>
      </c>
      <c r="P148" s="6" t="s">
        <v>1596</v>
      </c>
      <c r="Q148" s="49"/>
      <c r="R148" s="75" t="s">
        <v>91</v>
      </c>
      <c r="S148" s="33" t="s">
        <v>92</v>
      </c>
      <c r="T148" s="33" t="s">
        <v>93</v>
      </c>
      <c r="U148" s="78">
        <v>100</v>
      </c>
      <c r="V148" s="33" t="s">
        <v>94</v>
      </c>
      <c r="W148" s="33" t="s">
        <v>95</v>
      </c>
      <c r="X148" s="33">
        <v>2023</v>
      </c>
      <c r="Y148" s="33" t="s">
        <v>117</v>
      </c>
      <c r="Z148" s="33" t="s">
        <v>97</v>
      </c>
      <c r="AA148" s="33" t="s">
        <v>98</v>
      </c>
      <c r="AB148" s="49" t="s">
        <v>99</v>
      </c>
      <c r="AC148" s="48" t="s">
        <v>1611</v>
      </c>
      <c r="AD148" s="48" t="s">
        <v>1612</v>
      </c>
      <c r="AE148" s="6" t="s">
        <v>1599</v>
      </c>
      <c r="AF148" s="6" t="s">
        <v>1572</v>
      </c>
      <c r="AG148" s="6" t="s">
        <v>1600</v>
      </c>
      <c r="AH148" s="49" t="s">
        <v>1600</v>
      </c>
      <c r="AI148" s="6" t="s">
        <v>1601</v>
      </c>
      <c r="AJ148" s="6" t="s">
        <v>1613</v>
      </c>
      <c r="AK148" s="33" t="s">
        <v>97</v>
      </c>
      <c r="AL148" s="33" t="s">
        <v>97</v>
      </c>
      <c r="AM148" s="5" t="s">
        <v>1603</v>
      </c>
      <c r="AN148" s="5" t="s">
        <v>1614</v>
      </c>
      <c r="AO148" s="5"/>
      <c r="AP148" s="5"/>
      <c r="AQ148" s="49" t="s">
        <v>1615</v>
      </c>
      <c r="AR148" s="20" t="s">
        <v>97</v>
      </c>
      <c r="AS148" s="20" t="s">
        <v>107</v>
      </c>
      <c r="AT148" s="20"/>
      <c r="AU148" s="24">
        <v>0.6</v>
      </c>
      <c r="AV148" s="24">
        <f t="shared" si="24"/>
        <v>0.48</v>
      </c>
      <c r="AW148" s="24">
        <f t="shared" si="25"/>
        <v>0.36</v>
      </c>
      <c r="AX148" s="25">
        <v>1E-4</v>
      </c>
      <c r="AY148" s="24">
        <v>0</v>
      </c>
      <c r="AZ148" s="24">
        <f t="shared" si="28"/>
        <v>0.54</v>
      </c>
      <c r="BA148" s="24">
        <f t="shared" si="29"/>
        <v>0.43200000000000005</v>
      </c>
      <c r="BB148" s="24">
        <f t="shared" si="23"/>
        <v>0.32400000000000001</v>
      </c>
      <c r="BC148" s="25">
        <v>1E-4</v>
      </c>
      <c r="BD148" s="24">
        <v>0</v>
      </c>
      <c r="BE148" s="26">
        <v>0</v>
      </c>
      <c r="BF148" s="34">
        <f t="shared" si="26"/>
        <v>0</v>
      </c>
      <c r="BG148" s="34">
        <f t="shared" si="27"/>
        <v>0</v>
      </c>
      <c r="BH148" s="26">
        <v>0</v>
      </c>
      <c r="BI148" s="26">
        <v>0</v>
      </c>
      <c r="BJ148" s="27">
        <v>0.59399999999999997</v>
      </c>
      <c r="BK148" s="27">
        <v>0.40903257331284865</v>
      </c>
      <c r="BL148" s="27" t="s">
        <v>1616</v>
      </c>
      <c r="BM148" s="27" t="s">
        <v>1617</v>
      </c>
      <c r="BN148" s="26"/>
      <c r="BO148" s="34">
        <v>1</v>
      </c>
      <c r="BP148" s="34"/>
      <c r="BQ148" s="34"/>
      <c r="BR148" s="34"/>
      <c r="BS148" s="34"/>
      <c r="BT148" s="34"/>
      <c r="BU148" s="34"/>
      <c r="BV148" s="34"/>
      <c r="BW148" s="34"/>
      <c r="BX148" s="34"/>
      <c r="BY148" s="34"/>
      <c r="BZ148" s="34"/>
      <c r="CA148" s="20"/>
      <c r="CB148" s="20"/>
      <c r="CC148" s="29">
        <v>46003</v>
      </c>
      <c r="CD148" s="35" t="s">
        <v>254</v>
      </c>
    </row>
    <row r="149" spans="1:82" s="18" customFormat="1" ht="66.75" customHeight="1" x14ac:dyDescent="0.25">
      <c r="A149" s="87">
        <v>145</v>
      </c>
      <c r="B149" s="141" t="s">
        <v>1618</v>
      </c>
      <c r="C149" s="6" t="s">
        <v>1619</v>
      </c>
      <c r="D149" s="6" t="s">
        <v>1620</v>
      </c>
      <c r="E149" s="75" t="s">
        <v>113</v>
      </c>
      <c r="F149" s="4" t="s">
        <v>81</v>
      </c>
      <c r="G149" s="33">
        <v>19</v>
      </c>
      <c r="H149" s="49" t="s">
        <v>463</v>
      </c>
      <c r="I149" s="49" t="s">
        <v>1331</v>
      </c>
      <c r="J149" s="6"/>
      <c r="K149" s="49"/>
      <c r="L149" s="49"/>
      <c r="M149" s="49" t="s">
        <v>136</v>
      </c>
      <c r="N149" s="49" t="s">
        <v>245</v>
      </c>
      <c r="O149" s="49" t="s">
        <v>246</v>
      </c>
      <c r="P149" s="6" t="s">
        <v>1596</v>
      </c>
      <c r="Q149" s="49"/>
      <c r="R149" s="75" t="s">
        <v>91</v>
      </c>
      <c r="S149" s="33" t="s">
        <v>92</v>
      </c>
      <c r="T149" s="33" t="s">
        <v>93</v>
      </c>
      <c r="U149" s="78">
        <v>100</v>
      </c>
      <c r="V149" s="33" t="s">
        <v>94</v>
      </c>
      <c r="W149" s="33" t="s">
        <v>95</v>
      </c>
      <c r="X149" s="33">
        <v>2023</v>
      </c>
      <c r="Y149" s="33" t="s">
        <v>117</v>
      </c>
      <c r="Z149" s="33" t="s">
        <v>97</v>
      </c>
      <c r="AA149" s="33" t="s">
        <v>98</v>
      </c>
      <c r="AB149" s="49" t="s">
        <v>99</v>
      </c>
      <c r="AC149" s="48" t="s">
        <v>1621</v>
      </c>
      <c r="AD149" s="48" t="s">
        <v>1622</v>
      </c>
      <c r="AE149" s="6" t="s">
        <v>1599</v>
      </c>
      <c r="AF149" s="6" t="s">
        <v>1572</v>
      </c>
      <c r="AG149" s="6" t="s">
        <v>1600</v>
      </c>
      <c r="AH149" s="49" t="s">
        <v>1600</v>
      </c>
      <c r="AI149" s="6" t="s">
        <v>1601</v>
      </c>
      <c r="AJ149" s="6" t="s">
        <v>1613</v>
      </c>
      <c r="AK149" s="33" t="s">
        <v>97</v>
      </c>
      <c r="AL149" s="33" t="s">
        <v>97</v>
      </c>
      <c r="AM149" s="5" t="s">
        <v>1603</v>
      </c>
      <c r="AN149" s="5" t="s">
        <v>1614</v>
      </c>
      <c r="AO149" s="5"/>
      <c r="AP149" s="5"/>
      <c r="AQ149" s="49" t="s">
        <v>463</v>
      </c>
      <c r="AR149" s="20" t="s">
        <v>97</v>
      </c>
      <c r="AS149" s="20" t="s">
        <v>107</v>
      </c>
      <c r="AT149" s="20"/>
      <c r="AU149" s="24">
        <v>0.65</v>
      </c>
      <c r="AV149" s="24">
        <f t="shared" si="24"/>
        <v>0.52</v>
      </c>
      <c r="AW149" s="24">
        <f t="shared" si="25"/>
        <v>0.39</v>
      </c>
      <c r="AX149" s="25">
        <v>1E-4</v>
      </c>
      <c r="AY149" s="24">
        <v>0</v>
      </c>
      <c r="AZ149" s="24">
        <f t="shared" si="28"/>
        <v>0.58500000000000008</v>
      </c>
      <c r="BA149" s="24">
        <f t="shared" si="29"/>
        <v>0.46800000000000008</v>
      </c>
      <c r="BB149" s="24">
        <f t="shared" si="23"/>
        <v>0.35100000000000003</v>
      </c>
      <c r="BC149" s="25">
        <v>1E-4</v>
      </c>
      <c r="BD149" s="24">
        <v>0</v>
      </c>
      <c r="BE149" s="26">
        <v>0</v>
      </c>
      <c r="BF149" s="34">
        <f t="shared" si="26"/>
        <v>0</v>
      </c>
      <c r="BG149" s="34">
        <f t="shared" si="27"/>
        <v>0</v>
      </c>
      <c r="BH149" s="26">
        <v>0</v>
      </c>
      <c r="BI149" s="26">
        <v>0</v>
      </c>
      <c r="BJ149" s="27">
        <v>0.64100000000000001</v>
      </c>
      <c r="BK149" s="27">
        <v>0.39256496376412808</v>
      </c>
      <c r="BL149" s="27" t="s">
        <v>1623</v>
      </c>
      <c r="BM149" s="27" t="s">
        <v>1624</v>
      </c>
      <c r="BN149" s="26"/>
      <c r="BO149" s="34">
        <v>1</v>
      </c>
      <c r="BP149" s="34"/>
      <c r="BQ149" s="34"/>
      <c r="BR149" s="34"/>
      <c r="BS149" s="34"/>
      <c r="BT149" s="34"/>
      <c r="BU149" s="34"/>
      <c r="BV149" s="34"/>
      <c r="BW149" s="34"/>
      <c r="BX149" s="34"/>
      <c r="BY149" s="34"/>
      <c r="BZ149" s="34"/>
      <c r="CA149" s="20"/>
      <c r="CB149" s="20"/>
      <c r="CC149" s="29">
        <v>46003</v>
      </c>
      <c r="CD149" s="35" t="s">
        <v>254</v>
      </c>
    </row>
    <row r="150" spans="1:82" s="18" customFormat="1" ht="66.75" customHeight="1" x14ac:dyDescent="0.25">
      <c r="A150" s="87">
        <v>146</v>
      </c>
      <c r="B150" s="141" t="s">
        <v>1625</v>
      </c>
      <c r="C150" s="6" t="s">
        <v>1626</v>
      </c>
      <c r="D150" s="6" t="s">
        <v>1627</v>
      </c>
      <c r="E150" s="75" t="s">
        <v>113</v>
      </c>
      <c r="F150" s="75" t="s">
        <v>1628</v>
      </c>
      <c r="G150" s="33">
        <v>28</v>
      </c>
      <c r="H150" s="49" t="s">
        <v>114</v>
      </c>
      <c r="I150" s="49" t="s">
        <v>1331</v>
      </c>
      <c r="J150" s="6"/>
      <c r="K150" s="49"/>
      <c r="L150" s="49"/>
      <c r="M150" s="49" t="s">
        <v>136</v>
      </c>
      <c r="N150" s="49" t="s">
        <v>245</v>
      </c>
      <c r="O150" s="49" t="s">
        <v>246</v>
      </c>
      <c r="P150" s="6" t="s">
        <v>1629</v>
      </c>
      <c r="Q150" s="49"/>
      <c r="R150" s="75" t="s">
        <v>91</v>
      </c>
      <c r="S150" s="33" t="s">
        <v>92</v>
      </c>
      <c r="T150" s="33" t="s">
        <v>93</v>
      </c>
      <c r="U150" s="78">
        <v>100</v>
      </c>
      <c r="V150" s="33" t="s">
        <v>94</v>
      </c>
      <c r="W150" s="33" t="s">
        <v>95</v>
      </c>
      <c r="X150" s="33">
        <v>2023</v>
      </c>
      <c r="Y150" s="33" t="s">
        <v>117</v>
      </c>
      <c r="Z150" s="33" t="s">
        <v>97</v>
      </c>
      <c r="AA150" s="33" t="s">
        <v>98</v>
      </c>
      <c r="AB150" s="49" t="s">
        <v>99</v>
      </c>
      <c r="AC150" s="79" t="s">
        <v>1630</v>
      </c>
      <c r="AD150" s="48" t="s">
        <v>1631</v>
      </c>
      <c r="AE150" s="6" t="s">
        <v>1632</v>
      </c>
      <c r="AF150" s="6" t="s">
        <v>121</v>
      </c>
      <c r="AG150" s="6" t="s">
        <v>178</v>
      </c>
      <c r="AH150" s="49" t="s">
        <v>123</v>
      </c>
      <c r="AI150" s="6" t="s">
        <v>1633</v>
      </c>
      <c r="AJ150" s="6" t="s">
        <v>1634</v>
      </c>
      <c r="AK150" s="33" t="s">
        <v>1635</v>
      </c>
      <c r="AL150" s="33" t="s">
        <v>97</v>
      </c>
      <c r="AM150" s="5"/>
      <c r="AN150" s="5"/>
      <c r="AO150" s="5"/>
      <c r="AP150" s="5"/>
      <c r="AQ150" s="49" t="s">
        <v>1636</v>
      </c>
      <c r="AR150" s="20" t="s">
        <v>97</v>
      </c>
      <c r="AS150" s="20" t="s">
        <v>107</v>
      </c>
      <c r="AT150" s="20"/>
      <c r="AU150" s="24" t="s">
        <v>1637</v>
      </c>
      <c r="AV150" s="24"/>
      <c r="AW150" s="24"/>
      <c r="AX150" s="25"/>
      <c r="AY150" s="24">
        <v>0</v>
      </c>
      <c r="AZ150" s="24" t="s">
        <v>1637</v>
      </c>
      <c r="BA150" s="24"/>
      <c r="BB150" s="24"/>
      <c r="BC150" s="25" t="s">
        <v>1638</v>
      </c>
      <c r="BD150" s="24"/>
      <c r="BE150" s="26">
        <v>0</v>
      </c>
      <c r="BF150" s="34">
        <f t="shared" si="26"/>
        <v>0</v>
      </c>
      <c r="BG150" s="34">
        <f t="shared" si="27"/>
        <v>0</v>
      </c>
      <c r="BH150" s="26">
        <v>0</v>
      </c>
      <c r="BI150" s="26">
        <v>0</v>
      </c>
      <c r="BJ150" s="20" t="s">
        <v>496</v>
      </c>
      <c r="BK150" s="27">
        <v>5.8358539574736041E-3</v>
      </c>
      <c r="BL150" s="27" t="s">
        <v>1639</v>
      </c>
      <c r="BM150" s="27" t="s">
        <v>1640</v>
      </c>
      <c r="BN150" s="26"/>
      <c r="BO150" s="34">
        <v>1</v>
      </c>
      <c r="BP150" s="34"/>
      <c r="BQ150" s="34"/>
      <c r="BR150" s="34"/>
      <c r="BS150" s="34"/>
      <c r="BT150" s="34"/>
      <c r="BU150" s="34"/>
      <c r="BV150" s="34"/>
      <c r="BW150" s="34"/>
      <c r="BX150" s="34"/>
      <c r="BY150" s="34"/>
      <c r="BZ150" s="34"/>
      <c r="CA150" s="20"/>
      <c r="CB150" s="20"/>
      <c r="CC150" s="29">
        <v>46003</v>
      </c>
      <c r="CD150" s="35" t="s">
        <v>1641</v>
      </c>
    </row>
    <row r="151" spans="1:82" s="18" customFormat="1" ht="66.75" customHeight="1" x14ac:dyDescent="0.25">
      <c r="A151" s="121">
        <v>147</v>
      </c>
      <c r="B151" s="141" t="s">
        <v>1642</v>
      </c>
      <c r="C151" s="6" t="s">
        <v>1643</v>
      </c>
      <c r="D151" s="6" t="s">
        <v>1644</v>
      </c>
      <c r="E151" s="75" t="s">
        <v>113</v>
      </c>
      <c r="F151" s="75" t="s">
        <v>1628</v>
      </c>
      <c r="G151" s="33">
        <v>29</v>
      </c>
      <c r="H151" s="49" t="s">
        <v>114</v>
      </c>
      <c r="I151" s="49" t="s">
        <v>1331</v>
      </c>
      <c r="J151" s="6"/>
      <c r="K151" s="49"/>
      <c r="L151" s="49"/>
      <c r="M151" s="49" t="s">
        <v>136</v>
      </c>
      <c r="N151" s="49" t="s">
        <v>245</v>
      </c>
      <c r="O151" s="49" t="s">
        <v>246</v>
      </c>
      <c r="P151" s="6" t="s">
        <v>1645</v>
      </c>
      <c r="Q151" s="49"/>
      <c r="R151" s="75" t="s">
        <v>91</v>
      </c>
      <c r="S151" s="33" t="s">
        <v>92</v>
      </c>
      <c r="T151" s="33" t="s">
        <v>93</v>
      </c>
      <c r="U151" s="78">
        <v>100</v>
      </c>
      <c r="V151" s="33" t="s">
        <v>94</v>
      </c>
      <c r="W151" s="33" t="s">
        <v>95</v>
      </c>
      <c r="X151" s="33">
        <v>2023</v>
      </c>
      <c r="Y151" s="33" t="s">
        <v>117</v>
      </c>
      <c r="Z151" s="33" t="s">
        <v>97</v>
      </c>
      <c r="AA151" s="33" t="s">
        <v>98</v>
      </c>
      <c r="AB151" s="49" t="s">
        <v>99</v>
      </c>
      <c r="AC151" s="79" t="s">
        <v>1646</v>
      </c>
      <c r="AD151" s="48" t="s">
        <v>1631</v>
      </c>
      <c r="AE151" s="6" t="s">
        <v>1647</v>
      </c>
      <c r="AF151" s="6" t="s">
        <v>121</v>
      </c>
      <c r="AG151" s="6" t="s">
        <v>218</v>
      </c>
      <c r="AH151" s="49" t="s">
        <v>123</v>
      </c>
      <c r="AI151" s="6" t="s">
        <v>1633</v>
      </c>
      <c r="AJ151" s="6" t="s">
        <v>1634</v>
      </c>
      <c r="AK151" s="33" t="s">
        <v>97</v>
      </c>
      <c r="AL151" s="33" t="s">
        <v>97</v>
      </c>
      <c r="AM151" s="5" t="s">
        <v>1648</v>
      </c>
      <c r="AN151" s="5"/>
      <c r="AO151" s="5"/>
      <c r="AP151" s="5"/>
      <c r="AQ151" s="49" t="s">
        <v>1636</v>
      </c>
      <c r="AR151" s="20" t="s">
        <v>97</v>
      </c>
      <c r="AS151" s="20" t="s">
        <v>107</v>
      </c>
      <c r="AT151" s="20"/>
      <c r="AU151" s="24" t="s">
        <v>1637</v>
      </c>
      <c r="AV151" s="24"/>
      <c r="AW151" s="24"/>
      <c r="AX151" s="25"/>
      <c r="AY151" s="24">
        <v>0</v>
      </c>
      <c r="AZ151" s="24" t="s">
        <v>1637</v>
      </c>
      <c r="BA151" s="24"/>
      <c r="BB151" s="24"/>
      <c r="BC151" s="25" t="s">
        <v>1638</v>
      </c>
      <c r="BD151" s="24"/>
      <c r="BE151" s="26">
        <v>0</v>
      </c>
      <c r="BF151" s="34">
        <f t="shared" si="26"/>
        <v>0</v>
      </c>
      <c r="BG151" s="34">
        <f t="shared" si="27"/>
        <v>0</v>
      </c>
      <c r="BH151" s="26">
        <v>0</v>
      </c>
      <c r="BI151" s="26">
        <v>0</v>
      </c>
      <c r="BJ151" s="20" t="s">
        <v>496</v>
      </c>
      <c r="BK151" s="27">
        <v>0.10833099074584238</v>
      </c>
      <c r="BL151" s="27" t="s">
        <v>1649</v>
      </c>
      <c r="BM151" s="27" t="s">
        <v>1650</v>
      </c>
      <c r="BN151" s="26"/>
      <c r="BO151" s="34">
        <v>1</v>
      </c>
      <c r="BP151" s="34"/>
      <c r="BQ151" s="34"/>
      <c r="BR151" s="34"/>
      <c r="BS151" s="34"/>
      <c r="BT151" s="34"/>
      <c r="BU151" s="34"/>
      <c r="BV151" s="34"/>
      <c r="BW151" s="34"/>
      <c r="BX151" s="34"/>
      <c r="BY151" s="34"/>
      <c r="BZ151" s="34"/>
      <c r="CA151" s="20"/>
      <c r="CB151" s="20"/>
      <c r="CC151" s="29">
        <v>46003</v>
      </c>
      <c r="CD151" s="35" t="s">
        <v>1641</v>
      </c>
    </row>
    <row r="152" spans="1:82" s="18" customFormat="1" ht="66.75" customHeight="1" x14ac:dyDescent="0.25">
      <c r="A152" s="87">
        <v>148</v>
      </c>
      <c r="B152" s="141" t="s">
        <v>1651</v>
      </c>
      <c r="C152" s="6" t="s">
        <v>1652</v>
      </c>
      <c r="D152" s="6" t="s">
        <v>1653</v>
      </c>
      <c r="E152" s="75" t="s">
        <v>174</v>
      </c>
      <c r="F152" s="4" t="s">
        <v>81</v>
      </c>
      <c r="G152" s="33" t="s">
        <v>84</v>
      </c>
      <c r="H152" s="49" t="s">
        <v>775</v>
      </c>
      <c r="I152" s="49" t="s">
        <v>1331</v>
      </c>
      <c r="J152" s="6" t="s">
        <v>115</v>
      </c>
      <c r="K152" s="49"/>
      <c r="L152" s="49"/>
      <c r="M152" s="49" t="s">
        <v>88</v>
      </c>
      <c r="N152" s="49" t="s">
        <v>89</v>
      </c>
      <c r="O152" s="49" t="s">
        <v>116</v>
      </c>
      <c r="P152" s="6" t="s">
        <v>1654</v>
      </c>
      <c r="Q152" s="49"/>
      <c r="R152" s="75" t="s">
        <v>91</v>
      </c>
      <c r="S152" s="33" t="s">
        <v>92</v>
      </c>
      <c r="T152" s="33" t="s">
        <v>93</v>
      </c>
      <c r="U152" s="78">
        <v>100</v>
      </c>
      <c r="V152" s="33" t="s">
        <v>94</v>
      </c>
      <c r="W152" s="33" t="s">
        <v>95</v>
      </c>
      <c r="X152" s="33">
        <v>2023</v>
      </c>
      <c r="Y152" s="33" t="s">
        <v>117</v>
      </c>
      <c r="Z152" s="33" t="s">
        <v>97</v>
      </c>
      <c r="AA152" s="33" t="s">
        <v>98</v>
      </c>
      <c r="AB152" s="49" t="s">
        <v>99</v>
      </c>
      <c r="AC152" s="79" t="s">
        <v>1655</v>
      </c>
      <c r="AD152" s="79" t="s">
        <v>1656</v>
      </c>
      <c r="AE152" s="6" t="s">
        <v>1657</v>
      </c>
      <c r="AF152" s="6" t="s">
        <v>1658</v>
      </c>
      <c r="AG152" s="6" t="s">
        <v>1042</v>
      </c>
      <c r="AH152" s="6" t="s">
        <v>1659</v>
      </c>
      <c r="AI152" s="6" t="s">
        <v>1660</v>
      </c>
      <c r="AJ152" s="6" t="s">
        <v>1661</v>
      </c>
      <c r="AK152" s="33" t="s">
        <v>97</v>
      </c>
      <c r="AL152" s="33" t="s">
        <v>97</v>
      </c>
      <c r="AM152" s="5" t="s">
        <v>1603</v>
      </c>
      <c r="AN152" s="5"/>
      <c r="AO152" s="5" t="s">
        <v>1662</v>
      </c>
      <c r="AP152" s="5" t="s">
        <v>1663</v>
      </c>
      <c r="AQ152" s="6" t="s">
        <v>1664</v>
      </c>
      <c r="AR152" s="20" t="s">
        <v>97</v>
      </c>
      <c r="AS152" s="20" t="s">
        <v>107</v>
      </c>
      <c r="AT152" s="20"/>
      <c r="AU152" s="24">
        <v>0.4</v>
      </c>
      <c r="AV152" s="24">
        <f>+AU152*80%</f>
        <v>0.32000000000000006</v>
      </c>
      <c r="AW152" s="24">
        <f>+AU152*60%</f>
        <v>0.24</v>
      </c>
      <c r="AX152" s="25">
        <v>1E-4</v>
      </c>
      <c r="AY152" s="24">
        <v>0</v>
      </c>
      <c r="AZ152" s="24">
        <f>+AU152*90%</f>
        <v>0.36000000000000004</v>
      </c>
      <c r="BA152" s="24">
        <f>AZ152*80%</f>
        <v>0.28800000000000003</v>
      </c>
      <c r="BB152" s="24">
        <f>AZ152*60%</f>
        <v>0.21600000000000003</v>
      </c>
      <c r="BC152" s="25">
        <v>1E-4</v>
      </c>
      <c r="BD152" s="24">
        <v>0</v>
      </c>
      <c r="BE152" s="34">
        <v>20</v>
      </c>
      <c r="BF152" s="34">
        <f t="shared" si="26"/>
        <v>16</v>
      </c>
      <c r="BG152" s="34">
        <f t="shared" si="27"/>
        <v>12</v>
      </c>
      <c r="BH152" s="26">
        <v>1</v>
      </c>
      <c r="BI152" s="26">
        <v>0</v>
      </c>
      <c r="BJ152" s="20" t="s">
        <v>496</v>
      </c>
      <c r="BK152" s="27" t="s">
        <v>84</v>
      </c>
      <c r="BL152" s="27" t="s">
        <v>1176</v>
      </c>
      <c r="BM152" s="27" t="s">
        <v>1665</v>
      </c>
      <c r="BN152" s="26"/>
      <c r="BO152" s="34"/>
      <c r="BP152" s="34"/>
      <c r="BQ152" s="34"/>
      <c r="BR152" s="34"/>
      <c r="BS152" s="34"/>
      <c r="BT152" s="34"/>
      <c r="BU152" s="34"/>
      <c r="BV152" s="34"/>
      <c r="BW152" s="34"/>
      <c r="BX152" s="34"/>
      <c r="BY152" s="34"/>
      <c r="BZ152" s="34">
        <v>1</v>
      </c>
      <c r="CA152" s="20" t="s">
        <v>240</v>
      </c>
      <c r="CB152" s="20" t="s">
        <v>240</v>
      </c>
      <c r="CC152" s="46">
        <v>46006</v>
      </c>
      <c r="CD152" s="35" t="s">
        <v>1666</v>
      </c>
    </row>
    <row r="153" spans="1:82" s="18" customFormat="1" ht="66.75" customHeight="1" x14ac:dyDescent="0.25">
      <c r="A153" s="87">
        <v>149</v>
      </c>
      <c r="B153" s="141" t="s">
        <v>1667</v>
      </c>
      <c r="C153" s="6" t="s">
        <v>1668</v>
      </c>
      <c r="D153" s="6" t="s">
        <v>1669</v>
      </c>
      <c r="E153" s="75" t="s">
        <v>113</v>
      </c>
      <c r="F153" s="4" t="s">
        <v>81</v>
      </c>
      <c r="G153" s="33">
        <v>11</v>
      </c>
      <c r="H153" s="49" t="s">
        <v>114</v>
      </c>
      <c r="I153" s="49" t="s">
        <v>1331</v>
      </c>
      <c r="J153" s="6"/>
      <c r="K153" s="49"/>
      <c r="L153" s="49"/>
      <c r="M153" s="49" t="s">
        <v>136</v>
      </c>
      <c r="N153" s="49" t="s">
        <v>245</v>
      </c>
      <c r="O153" s="49" t="s">
        <v>246</v>
      </c>
      <c r="P153" s="6" t="s">
        <v>1670</v>
      </c>
      <c r="Q153" s="49"/>
      <c r="R153" s="75" t="s">
        <v>91</v>
      </c>
      <c r="S153" s="33" t="s">
        <v>92</v>
      </c>
      <c r="T153" s="33" t="s">
        <v>93</v>
      </c>
      <c r="U153" s="78">
        <v>100</v>
      </c>
      <c r="V153" s="33" t="s">
        <v>94</v>
      </c>
      <c r="W153" s="33" t="s">
        <v>95</v>
      </c>
      <c r="X153" s="33">
        <v>2023</v>
      </c>
      <c r="Y153" s="33" t="s">
        <v>117</v>
      </c>
      <c r="Z153" s="33" t="s">
        <v>97</v>
      </c>
      <c r="AA153" s="33" t="s">
        <v>98</v>
      </c>
      <c r="AB153" s="49" t="s">
        <v>99</v>
      </c>
      <c r="AC153" s="48" t="s">
        <v>1671</v>
      </c>
      <c r="AD153" s="48" t="s">
        <v>1672</v>
      </c>
      <c r="AE153" s="6" t="s">
        <v>1673</v>
      </c>
      <c r="AF153" s="6" t="s">
        <v>1674</v>
      </c>
      <c r="AG153" s="6" t="s">
        <v>178</v>
      </c>
      <c r="AH153" s="49" t="s">
        <v>178</v>
      </c>
      <c r="AI153" s="6" t="s">
        <v>1675</v>
      </c>
      <c r="AJ153" s="6" t="s">
        <v>1676</v>
      </c>
      <c r="AK153" s="33" t="s">
        <v>97</v>
      </c>
      <c r="AL153" s="33" t="s">
        <v>97</v>
      </c>
      <c r="AM153" s="5"/>
      <c r="AN153" s="5" t="s">
        <v>1677</v>
      </c>
      <c r="AO153" s="5"/>
      <c r="AP153" s="5"/>
      <c r="AQ153" s="49" t="s">
        <v>1577</v>
      </c>
      <c r="AR153" s="20" t="s">
        <v>97</v>
      </c>
      <c r="AS153" s="20" t="s">
        <v>107</v>
      </c>
      <c r="AT153" s="20"/>
      <c r="AU153" s="24" t="s">
        <v>1678</v>
      </c>
      <c r="AV153" s="24"/>
      <c r="AW153" s="24"/>
      <c r="AX153" s="25"/>
      <c r="AY153" s="24">
        <v>0</v>
      </c>
      <c r="AZ153" s="24" t="s">
        <v>1678</v>
      </c>
      <c r="BA153" s="24"/>
      <c r="BB153" s="24"/>
      <c r="BC153" s="25" t="s">
        <v>1679</v>
      </c>
      <c r="BD153" s="24"/>
      <c r="BE153" s="26">
        <v>0</v>
      </c>
      <c r="BF153" s="34">
        <f t="shared" si="26"/>
        <v>0</v>
      </c>
      <c r="BG153" s="34">
        <f t="shared" si="27"/>
        <v>0</v>
      </c>
      <c r="BH153" s="26">
        <v>0</v>
      </c>
      <c r="BI153" s="26">
        <v>0</v>
      </c>
      <c r="BJ153" s="20" t="s">
        <v>496</v>
      </c>
      <c r="BK153" s="27">
        <v>9.5700429230638033E-3</v>
      </c>
      <c r="BL153" s="27" t="s">
        <v>1680</v>
      </c>
      <c r="BM153" s="27" t="s">
        <v>1681</v>
      </c>
      <c r="BN153" s="26"/>
      <c r="BO153" s="34">
        <v>1</v>
      </c>
      <c r="BP153" s="34"/>
      <c r="BQ153" s="34"/>
      <c r="BR153" s="34"/>
      <c r="BS153" s="34"/>
      <c r="BT153" s="34"/>
      <c r="BU153" s="34"/>
      <c r="BV153" s="34"/>
      <c r="BW153" s="34"/>
      <c r="BX153" s="34"/>
      <c r="BY153" s="34"/>
      <c r="BZ153" s="34"/>
      <c r="CA153" s="20"/>
      <c r="CB153" s="20"/>
      <c r="CC153" s="29">
        <v>46003</v>
      </c>
      <c r="CD153" s="35" t="s">
        <v>254</v>
      </c>
    </row>
    <row r="154" spans="1:82" s="18" customFormat="1" ht="66.75" customHeight="1" x14ac:dyDescent="0.25">
      <c r="A154" s="121">
        <v>150</v>
      </c>
      <c r="B154" s="141" t="s">
        <v>1682</v>
      </c>
      <c r="C154" s="6" t="s">
        <v>1683</v>
      </c>
      <c r="D154" s="6" t="s">
        <v>1684</v>
      </c>
      <c r="E154" s="75" t="s">
        <v>113</v>
      </c>
      <c r="F154" s="4" t="s">
        <v>81</v>
      </c>
      <c r="G154" s="33">
        <v>27</v>
      </c>
      <c r="H154" s="49" t="s">
        <v>364</v>
      </c>
      <c r="I154" s="6" t="s">
        <v>1331</v>
      </c>
      <c r="J154" s="6"/>
      <c r="K154" s="6"/>
      <c r="L154" s="6"/>
      <c r="M154" s="49" t="s">
        <v>136</v>
      </c>
      <c r="N154" s="49" t="s">
        <v>245</v>
      </c>
      <c r="O154" s="49" t="s">
        <v>246</v>
      </c>
      <c r="P154" s="6" t="s">
        <v>1670</v>
      </c>
      <c r="Q154" s="49"/>
      <c r="R154" s="75" t="s">
        <v>91</v>
      </c>
      <c r="S154" s="33" t="s">
        <v>92</v>
      </c>
      <c r="T154" s="33" t="s">
        <v>93</v>
      </c>
      <c r="U154" s="78">
        <v>100</v>
      </c>
      <c r="V154" s="33" t="s">
        <v>94</v>
      </c>
      <c r="W154" s="33" t="s">
        <v>95</v>
      </c>
      <c r="X154" s="33">
        <v>2023</v>
      </c>
      <c r="Y154" s="33" t="s">
        <v>117</v>
      </c>
      <c r="Z154" s="33" t="s">
        <v>97</v>
      </c>
      <c r="AA154" s="33" t="s">
        <v>973</v>
      </c>
      <c r="AB154" s="49" t="s">
        <v>99</v>
      </c>
      <c r="AC154" s="48" t="s">
        <v>1685</v>
      </c>
      <c r="AD154" s="48" t="s">
        <v>1686</v>
      </c>
      <c r="AE154" s="6" t="s">
        <v>1687</v>
      </c>
      <c r="AF154" s="6" t="s">
        <v>1687</v>
      </c>
      <c r="AG154" s="6" t="s">
        <v>178</v>
      </c>
      <c r="AH154" s="49" t="s">
        <v>178</v>
      </c>
      <c r="AI154" s="6" t="s">
        <v>1688</v>
      </c>
      <c r="AJ154" s="6" t="s">
        <v>1689</v>
      </c>
      <c r="AK154" s="33" t="s">
        <v>97</v>
      </c>
      <c r="AL154" s="33" t="s">
        <v>97</v>
      </c>
      <c r="AM154" s="5" t="s">
        <v>1690</v>
      </c>
      <c r="AN154" s="5"/>
      <c r="AO154" s="5"/>
      <c r="AP154" s="5"/>
      <c r="AQ154" s="49" t="s">
        <v>364</v>
      </c>
      <c r="AR154" s="20" t="s">
        <v>97</v>
      </c>
      <c r="AS154" s="20" t="s">
        <v>107</v>
      </c>
      <c r="AT154" s="20"/>
      <c r="AU154" s="24" t="s">
        <v>1692</v>
      </c>
      <c r="AV154" s="24"/>
      <c r="AW154" s="24"/>
      <c r="AX154" s="25"/>
      <c r="AY154" s="24">
        <v>0</v>
      </c>
      <c r="AZ154" s="24" t="s">
        <v>1692</v>
      </c>
      <c r="BA154" s="24"/>
      <c r="BB154" s="24"/>
      <c r="BC154" s="25" t="s">
        <v>1693</v>
      </c>
      <c r="BD154" s="24"/>
      <c r="BE154" s="26">
        <v>0</v>
      </c>
      <c r="BF154" s="34">
        <f t="shared" si="26"/>
        <v>0</v>
      </c>
      <c r="BG154" s="34">
        <f t="shared" si="27"/>
        <v>0</v>
      </c>
      <c r="BH154" s="26">
        <v>0</v>
      </c>
      <c r="BI154" s="26">
        <v>0</v>
      </c>
      <c r="BJ154" s="20" t="s">
        <v>496</v>
      </c>
      <c r="BK154" s="27">
        <v>0.24395460890710136</v>
      </c>
      <c r="BL154" s="27" t="s">
        <v>1694</v>
      </c>
      <c r="BM154" s="27" t="s">
        <v>1695</v>
      </c>
      <c r="BN154" s="26"/>
      <c r="BO154" s="34">
        <v>1</v>
      </c>
      <c r="BP154" s="34"/>
      <c r="BQ154" s="34"/>
      <c r="BR154" s="34"/>
      <c r="BS154" s="34"/>
      <c r="BT154" s="34"/>
      <c r="BU154" s="34"/>
      <c r="BV154" s="34"/>
      <c r="BW154" s="34"/>
      <c r="BX154" s="34"/>
      <c r="BY154" s="34"/>
      <c r="BZ154" s="34"/>
      <c r="CA154" s="20"/>
      <c r="CB154" s="20"/>
      <c r="CC154" s="46">
        <v>46006</v>
      </c>
      <c r="CD154" s="35" t="s">
        <v>1696</v>
      </c>
    </row>
    <row r="155" spans="1:82" s="18" customFormat="1" ht="66.75" customHeight="1" x14ac:dyDescent="0.25">
      <c r="A155" s="87">
        <v>151</v>
      </c>
      <c r="B155" s="141" t="s">
        <v>1697</v>
      </c>
      <c r="C155" s="6" t="s">
        <v>1698</v>
      </c>
      <c r="D155" s="6" t="s">
        <v>1699</v>
      </c>
      <c r="E155" s="75" t="s">
        <v>113</v>
      </c>
      <c r="F155" s="4" t="s">
        <v>81</v>
      </c>
      <c r="G155" s="33" t="s">
        <v>84</v>
      </c>
      <c r="H155" s="49" t="s">
        <v>775</v>
      </c>
      <c r="I155" s="49" t="s">
        <v>1700</v>
      </c>
      <c r="J155" s="6"/>
      <c r="K155" s="49"/>
      <c r="L155" s="49"/>
      <c r="M155" s="49" t="s">
        <v>88</v>
      </c>
      <c r="N155" s="49" t="s">
        <v>89</v>
      </c>
      <c r="O155" s="49" t="s">
        <v>1520</v>
      </c>
      <c r="P155" s="6" t="s">
        <v>1701</v>
      </c>
      <c r="Q155" s="49"/>
      <c r="R155" s="75" t="s">
        <v>91</v>
      </c>
      <c r="S155" s="33" t="s">
        <v>92</v>
      </c>
      <c r="T155" s="33" t="s">
        <v>93</v>
      </c>
      <c r="U155" s="78">
        <v>100</v>
      </c>
      <c r="V155" s="33" t="s">
        <v>94</v>
      </c>
      <c r="W155" s="33" t="s">
        <v>95</v>
      </c>
      <c r="X155" s="33">
        <v>2021</v>
      </c>
      <c r="Y155" s="33" t="s">
        <v>117</v>
      </c>
      <c r="Z155" s="33" t="s">
        <v>95</v>
      </c>
      <c r="AA155" s="33" t="s">
        <v>98</v>
      </c>
      <c r="AB155" s="49" t="s">
        <v>99</v>
      </c>
      <c r="AC155" s="79" t="s">
        <v>1702</v>
      </c>
      <c r="AD155" s="79" t="s">
        <v>1703</v>
      </c>
      <c r="AE155" s="6" t="s">
        <v>1704</v>
      </c>
      <c r="AF155" s="6" t="s">
        <v>121</v>
      </c>
      <c r="AG155" s="6" t="s">
        <v>1705</v>
      </c>
      <c r="AH155" s="49" t="s">
        <v>123</v>
      </c>
      <c r="AI155" s="6" t="s">
        <v>1706</v>
      </c>
      <c r="AJ155" s="6" t="s">
        <v>7437</v>
      </c>
      <c r="AK155" s="33" t="s">
        <v>1707</v>
      </c>
      <c r="AL155" s="33" t="s">
        <v>1708</v>
      </c>
      <c r="AM155" s="5" t="s">
        <v>221</v>
      </c>
      <c r="AN155" s="5" t="s">
        <v>470</v>
      </c>
      <c r="AO155" s="5" t="s">
        <v>1709</v>
      </c>
      <c r="AP155" s="5" t="s">
        <v>1710</v>
      </c>
      <c r="AQ155" s="49" t="s">
        <v>1700</v>
      </c>
      <c r="AR155" s="20" t="s">
        <v>97</v>
      </c>
      <c r="AS155" s="20" t="s">
        <v>107</v>
      </c>
      <c r="AT155" s="20"/>
      <c r="AU155" s="24">
        <v>0.3</v>
      </c>
      <c r="AV155" s="24">
        <f t="shared" ref="AV155:AV170" si="30">+AU155*80%</f>
        <v>0.24</v>
      </c>
      <c r="AW155" s="24">
        <f t="shared" ref="AW155:AW170" si="31">+AU155*60%</f>
        <v>0.18</v>
      </c>
      <c r="AX155" s="25">
        <v>1E-4</v>
      </c>
      <c r="AY155" s="24">
        <v>0</v>
      </c>
      <c r="AZ155" s="24">
        <f t="shared" ref="AZ155:AZ170" si="32">+AU155*90%</f>
        <v>0.27</v>
      </c>
      <c r="BA155" s="24">
        <f t="shared" ref="BA155:BA170" si="33">AZ155*80%</f>
        <v>0.21600000000000003</v>
      </c>
      <c r="BB155" s="24">
        <f t="shared" ref="BB155:BB170" si="34">AZ155*60%</f>
        <v>0.16200000000000001</v>
      </c>
      <c r="BC155" s="25">
        <v>1E-4</v>
      </c>
      <c r="BD155" s="24">
        <v>0</v>
      </c>
      <c r="BE155" s="26">
        <v>0</v>
      </c>
      <c r="BF155" s="34">
        <f t="shared" si="26"/>
        <v>0</v>
      </c>
      <c r="BG155" s="34">
        <f t="shared" si="27"/>
        <v>0</v>
      </c>
      <c r="BH155" s="26">
        <v>0</v>
      </c>
      <c r="BI155" s="26">
        <v>0</v>
      </c>
      <c r="BJ155" s="27">
        <v>0.214</v>
      </c>
      <c r="BK155" s="27">
        <v>0.27311120940015687</v>
      </c>
      <c r="BL155" s="27" t="s">
        <v>1711</v>
      </c>
      <c r="BM155" s="27" t="s">
        <v>1712</v>
      </c>
      <c r="BN155" s="26"/>
      <c r="BO155" s="34"/>
      <c r="BP155" s="34"/>
      <c r="BQ155" s="34"/>
      <c r="BR155" s="34"/>
      <c r="BS155" s="34"/>
      <c r="BT155" s="34"/>
      <c r="BU155" s="34"/>
      <c r="BV155" s="34"/>
      <c r="BW155" s="34"/>
      <c r="BX155" s="34"/>
      <c r="BY155" s="34"/>
      <c r="BZ155" s="34"/>
      <c r="CA155" s="20"/>
      <c r="CB155" s="20"/>
      <c r="CC155" s="29">
        <v>45699</v>
      </c>
      <c r="CD155" s="11" t="s">
        <v>1713</v>
      </c>
    </row>
    <row r="156" spans="1:82" s="18" customFormat="1" ht="66.75" customHeight="1" x14ac:dyDescent="0.25">
      <c r="A156" s="87">
        <v>152</v>
      </c>
      <c r="B156" s="141" t="s">
        <v>1714</v>
      </c>
      <c r="C156" s="6" t="s">
        <v>1715</v>
      </c>
      <c r="D156" s="6" t="s">
        <v>1716</v>
      </c>
      <c r="E156" s="75" t="s">
        <v>113</v>
      </c>
      <c r="F156" s="4" t="s">
        <v>81</v>
      </c>
      <c r="G156" s="33">
        <v>33</v>
      </c>
      <c r="H156" s="49" t="s">
        <v>423</v>
      </c>
      <c r="I156" s="49" t="s">
        <v>1700</v>
      </c>
      <c r="J156" s="6"/>
      <c r="K156" s="49"/>
      <c r="L156" s="49"/>
      <c r="M156" s="49" t="s">
        <v>136</v>
      </c>
      <c r="N156" s="49" t="s">
        <v>89</v>
      </c>
      <c r="O156" s="49" t="s">
        <v>1520</v>
      </c>
      <c r="P156" s="6" t="s">
        <v>1701</v>
      </c>
      <c r="Q156" s="49"/>
      <c r="R156" s="75" t="s">
        <v>91</v>
      </c>
      <c r="S156" s="33" t="s">
        <v>92</v>
      </c>
      <c r="T156" s="33" t="s">
        <v>93</v>
      </c>
      <c r="U156" s="78">
        <v>100</v>
      </c>
      <c r="V156" s="33" t="s">
        <v>94</v>
      </c>
      <c r="W156" s="33" t="s">
        <v>95</v>
      </c>
      <c r="X156" s="33">
        <v>2021</v>
      </c>
      <c r="Y156" s="33" t="s">
        <v>117</v>
      </c>
      <c r="Z156" s="33" t="s">
        <v>95</v>
      </c>
      <c r="AA156" s="33" t="s">
        <v>98</v>
      </c>
      <c r="AB156" s="49" t="s">
        <v>99</v>
      </c>
      <c r="AC156" s="48" t="s">
        <v>1717</v>
      </c>
      <c r="AD156" s="79" t="s">
        <v>1718</v>
      </c>
      <c r="AE156" s="6" t="s">
        <v>1719</v>
      </c>
      <c r="AF156" s="6" t="s">
        <v>121</v>
      </c>
      <c r="AG156" s="6" t="s">
        <v>1705</v>
      </c>
      <c r="AH156" s="49" t="s">
        <v>123</v>
      </c>
      <c r="AI156" s="6" t="s">
        <v>1720</v>
      </c>
      <c r="AJ156" s="6" t="s">
        <v>7436</v>
      </c>
      <c r="AK156" s="33" t="s">
        <v>1707</v>
      </c>
      <c r="AL156" s="33" t="s">
        <v>1708</v>
      </c>
      <c r="AM156" s="5" t="s">
        <v>221</v>
      </c>
      <c r="AN156" s="5" t="s">
        <v>470</v>
      </c>
      <c r="AO156" s="5" t="s">
        <v>1721</v>
      </c>
      <c r="AP156" s="5" t="s">
        <v>1722</v>
      </c>
      <c r="AQ156" s="6" t="s">
        <v>1723</v>
      </c>
      <c r="AR156" s="20" t="s">
        <v>97</v>
      </c>
      <c r="AS156" s="20" t="s">
        <v>107</v>
      </c>
      <c r="AT156" s="20"/>
      <c r="AU156" s="24">
        <v>0.2</v>
      </c>
      <c r="AV156" s="24">
        <f t="shared" si="30"/>
        <v>0.16000000000000003</v>
      </c>
      <c r="AW156" s="24">
        <f t="shared" si="31"/>
        <v>0.12</v>
      </c>
      <c r="AX156" s="25">
        <v>1E-4</v>
      </c>
      <c r="AY156" s="24">
        <v>0</v>
      </c>
      <c r="AZ156" s="24">
        <f t="shared" si="32"/>
        <v>0.18000000000000002</v>
      </c>
      <c r="BA156" s="24">
        <f t="shared" si="33"/>
        <v>0.14400000000000002</v>
      </c>
      <c r="BB156" s="24">
        <f t="shared" si="34"/>
        <v>0.10800000000000001</v>
      </c>
      <c r="BC156" s="25">
        <v>1E-4</v>
      </c>
      <c r="BD156" s="24">
        <v>0</v>
      </c>
      <c r="BE156" s="26">
        <v>0</v>
      </c>
      <c r="BF156" s="34">
        <f t="shared" si="26"/>
        <v>0</v>
      </c>
      <c r="BG156" s="34">
        <f t="shared" si="27"/>
        <v>0</v>
      </c>
      <c r="BH156" s="26">
        <v>0</v>
      </c>
      <c r="BI156" s="26">
        <v>0</v>
      </c>
      <c r="BJ156" s="27">
        <v>0.122</v>
      </c>
      <c r="BK156" s="27">
        <v>0.15033474100573782</v>
      </c>
      <c r="BL156" s="27" t="s">
        <v>1724</v>
      </c>
      <c r="BM156" s="27" t="s">
        <v>1725</v>
      </c>
      <c r="BN156" s="26"/>
      <c r="BO156" s="34">
        <v>1</v>
      </c>
      <c r="BP156" s="34"/>
      <c r="BQ156" s="34"/>
      <c r="BR156" s="34"/>
      <c r="BS156" s="34"/>
      <c r="BT156" s="34"/>
      <c r="BU156" s="34"/>
      <c r="BV156" s="34"/>
      <c r="BW156" s="34"/>
      <c r="BX156" s="34"/>
      <c r="BY156" s="34"/>
      <c r="BZ156" s="34"/>
      <c r="CA156" s="20"/>
      <c r="CB156" s="20"/>
      <c r="CC156" s="29">
        <v>45699</v>
      </c>
      <c r="CD156" s="11" t="s">
        <v>1713</v>
      </c>
    </row>
    <row r="157" spans="1:82" s="18" customFormat="1" ht="139.5" customHeight="1" x14ac:dyDescent="0.25">
      <c r="A157" s="121">
        <v>153</v>
      </c>
      <c r="B157" s="141" t="s">
        <v>1726</v>
      </c>
      <c r="C157" s="6" t="s">
        <v>1727</v>
      </c>
      <c r="D157" s="6" t="s">
        <v>1728</v>
      </c>
      <c r="E157" s="75" t="s">
        <v>113</v>
      </c>
      <c r="F157" s="4" t="s">
        <v>81</v>
      </c>
      <c r="G157" s="33" t="s">
        <v>84</v>
      </c>
      <c r="H157" s="49" t="s">
        <v>423</v>
      </c>
      <c r="I157" s="49" t="s">
        <v>1700</v>
      </c>
      <c r="J157" s="6"/>
      <c r="K157" s="49"/>
      <c r="L157" s="49"/>
      <c r="M157" s="49" t="s">
        <v>88</v>
      </c>
      <c r="N157" s="49" t="s">
        <v>89</v>
      </c>
      <c r="O157" s="49" t="s">
        <v>1520</v>
      </c>
      <c r="P157" s="6" t="s">
        <v>1701</v>
      </c>
      <c r="Q157" s="49"/>
      <c r="R157" s="75" t="s">
        <v>175</v>
      </c>
      <c r="S157" s="33" t="s">
        <v>92</v>
      </c>
      <c r="T157" s="33" t="s">
        <v>93</v>
      </c>
      <c r="U157" s="78">
        <v>100</v>
      </c>
      <c r="V157" s="33" t="s">
        <v>94</v>
      </c>
      <c r="W157" s="33" t="s">
        <v>95</v>
      </c>
      <c r="X157" s="33">
        <v>2023</v>
      </c>
      <c r="Y157" s="33" t="s">
        <v>117</v>
      </c>
      <c r="Z157" s="33" t="s">
        <v>95</v>
      </c>
      <c r="AA157" s="33" t="s">
        <v>98</v>
      </c>
      <c r="AB157" s="49" t="s">
        <v>99</v>
      </c>
      <c r="AC157" s="79" t="s">
        <v>1729</v>
      </c>
      <c r="AD157" s="79" t="s">
        <v>1730</v>
      </c>
      <c r="AE157" s="6" t="s">
        <v>1719</v>
      </c>
      <c r="AF157" s="6" t="s">
        <v>121</v>
      </c>
      <c r="AG157" s="6" t="s">
        <v>178</v>
      </c>
      <c r="AH157" s="6" t="s">
        <v>123</v>
      </c>
      <c r="AI157" s="6" t="s">
        <v>1731</v>
      </c>
      <c r="AJ157" s="6" t="s">
        <v>1732</v>
      </c>
      <c r="AK157" s="5" t="s">
        <v>1707</v>
      </c>
      <c r="AL157" s="5" t="s">
        <v>1708</v>
      </c>
      <c r="AM157" s="5" t="s">
        <v>221</v>
      </c>
      <c r="AN157" s="5" t="s">
        <v>470</v>
      </c>
      <c r="AO157" s="5" t="s">
        <v>1733</v>
      </c>
      <c r="AP157" s="5" t="s">
        <v>1734</v>
      </c>
      <c r="AQ157" s="6" t="s">
        <v>1723</v>
      </c>
      <c r="AR157" s="20" t="s">
        <v>97</v>
      </c>
      <c r="AS157" s="20" t="s">
        <v>107</v>
      </c>
      <c r="AT157" s="20"/>
      <c r="AU157" s="24">
        <v>0.15</v>
      </c>
      <c r="AV157" s="24">
        <f t="shared" si="30"/>
        <v>0.12</v>
      </c>
      <c r="AW157" s="24">
        <f t="shared" si="31"/>
        <v>0.09</v>
      </c>
      <c r="AX157" s="25">
        <v>1E-4</v>
      </c>
      <c r="AY157" s="24">
        <v>0</v>
      </c>
      <c r="AZ157" s="24">
        <f t="shared" si="32"/>
        <v>0.13500000000000001</v>
      </c>
      <c r="BA157" s="24">
        <f t="shared" si="33"/>
        <v>0.10800000000000001</v>
      </c>
      <c r="BB157" s="24">
        <f t="shared" si="34"/>
        <v>8.1000000000000003E-2</v>
      </c>
      <c r="BC157" s="25">
        <v>1E-4</v>
      </c>
      <c r="BD157" s="24">
        <v>0</v>
      </c>
      <c r="BE157" s="26">
        <v>0</v>
      </c>
      <c r="BF157" s="34">
        <f t="shared" si="26"/>
        <v>0</v>
      </c>
      <c r="BG157" s="34">
        <f t="shared" si="27"/>
        <v>0</v>
      </c>
      <c r="BH157" s="26">
        <v>0</v>
      </c>
      <c r="BI157" s="26">
        <v>0</v>
      </c>
      <c r="BJ157" s="20" t="s">
        <v>496</v>
      </c>
      <c r="BK157" s="27">
        <v>9.6207639854935287E-2</v>
      </c>
      <c r="BL157" s="27" t="s">
        <v>1735</v>
      </c>
      <c r="BM157" s="27" t="s">
        <v>1736</v>
      </c>
      <c r="BN157" s="26"/>
      <c r="BO157" s="34"/>
      <c r="BP157" s="34"/>
      <c r="BQ157" s="34"/>
      <c r="BR157" s="34"/>
      <c r="BS157" s="34"/>
      <c r="BT157" s="34"/>
      <c r="BU157" s="34"/>
      <c r="BV157" s="34"/>
      <c r="BW157" s="34"/>
      <c r="BX157" s="34"/>
      <c r="BY157" s="34"/>
      <c r="BZ157" s="34">
        <v>1</v>
      </c>
      <c r="CA157" s="20" t="s">
        <v>1700</v>
      </c>
      <c r="CB157" s="2" t="s">
        <v>1700</v>
      </c>
      <c r="CC157" s="46">
        <v>46006</v>
      </c>
      <c r="CD157" s="36" t="s">
        <v>1737</v>
      </c>
    </row>
    <row r="158" spans="1:82" s="18" customFormat="1" ht="66.75" customHeight="1" x14ac:dyDescent="0.25">
      <c r="A158" s="87">
        <v>154</v>
      </c>
      <c r="B158" s="141" t="s">
        <v>1738</v>
      </c>
      <c r="C158" s="6" t="s">
        <v>1739</v>
      </c>
      <c r="D158" s="6" t="s">
        <v>1740</v>
      </c>
      <c r="E158" s="75" t="s">
        <v>174</v>
      </c>
      <c r="F158" s="4" t="s">
        <v>81</v>
      </c>
      <c r="G158" s="33">
        <v>34</v>
      </c>
      <c r="H158" s="49" t="s">
        <v>436</v>
      </c>
      <c r="I158" s="49" t="s">
        <v>1700</v>
      </c>
      <c r="J158" s="6"/>
      <c r="K158" s="49"/>
      <c r="L158" s="49"/>
      <c r="M158" s="49" t="s">
        <v>136</v>
      </c>
      <c r="N158" s="49" t="s">
        <v>89</v>
      </c>
      <c r="O158" s="49" t="s">
        <v>1520</v>
      </c>
      <c r="P158" s="6" t="s">
        <v>1701</v>
      </c>
      <c r="Q158" s="49"/>
      <c r="R158" s="75" t="s">
        <v>91</v>
      </c>
      <c r="S158" s="33" t="s">
        <v>92</v>
      </c>
      <c r="T158" s="33" t="s">
        <v>93</v>
      </c>
      <c r="U158" s="78">
        <v>100</v>
      </c>
      <c r="V158" s="33" t="s">
        <v>94</v>
      </c>
      <c r="W158" s="33" t="s">
        <v>95</v>
      </c>
      <c r="X158" s="33">
        <v>2021</v>
      </c>
      <c r="Y158" s="33" t="s">
        <v>117</v>
      </c>
      <c r="Z158" s="33" t="s">
        <v>95</v>
      </c>
      <c r="AA158" s="33" t="s">
        <v>98</v>
      </c>
      <c r="AB158" s="49" t="s">
        <v>99</v>
      </c>
      <c r="AC158" s="48" t="s">
        <v>1741</v>
      </c>
      <c r="AD158" s="79" t="s">
        <v>1742</v>
      </c>
      <c r="AE158" s="6" t="s">
        <v>1719</v>
      </c>
      <c r="AF158" s="6" t="s">
        <v>121</v>
      </c>
      <c r="AG158" s="6" t="s">
        <v>1705</v>
      </c>
      <c r="AH158" s="49" t="s">
        <v>123</v>
      </c>
      <c r="AI158" s="6" t="s">
        <v>1743</v>
      </c>
      <c r="AJ158" s="6" t="s">
        <v>7438</v>
      </c>
      <c r="AK158" s="33" t="s">
        <v>1707</v>
      </c>
      <c r="AL158" s="33" t="s">
        <v>1708</v>
      </c>
      <c r="AM158" s="5" t="s">
        <v>221</v>
      </c>
      <c r="AN158" s="5" t="s">
        <v>470</v>
      </c>
      <c r="AO158" s="5" t="s">
        <v>1744</v>
      </c>
      <c r="AP158" s="5" t="s">
        <v>1745</v>
      </c>
      <c r="AQ158" s="6" t="s">
        <v>1723</v>
      </c>
      <c r="AR158" s="20" t="s">
        <v>97</v>
      </c>
      <c r="AS158" s="20" t="s">
        <v>107</v>
      </c>
      <c r="AT158" s="20"/>
      <c r="AU158" s="24">
        <v>0.45</v>
      </c>
      <c r="AV158" s="24">
        <f t="shared" si="30"/>
        <v>0.36000000000000004</v>
      </c>
      <c r="AW158" s="24">
        <f t="shared" si="31"/>
        <v>0.27</v>
      </c>
      <c r="AX158" s="25">
        <v>1E-4</v>
      </c>
      <c r="AY158" s="24">
        <v>0</v>
      </c>
      <c r="AZ158" s="24">
        <f t="shared" si="32"/>
        <v>0.40500000000000003</v>
      </c>
      <c r="BA158" s="24">
        <f t="shared" si="33"/>
        <v>0.32400000000000007</v>
      </c>
      <c r="BB158" s="24">
        <f t="shared" si="34"/>
        <v>0.24299999999999999</v>
      </c>
      <c r="BC158" s="25">
        <v>1E-4</v>
      </c>
      <c r="BD158" s="24">
        <v>0</v>
      </c>
      <c r="BE158" s="26">
        <v>10</v>
      </c>
      <c r="BF158" s="34">
        <f t="shared" si="26"/>
        <v>8</v>
      </c>
      <c r="BG158" s="34">
        <f t="shared" si="27"/>
        <v>6</v>
      </c>
      <c r="BH158" s="26">
        <v>1</v>
      </c>
      <c r="BI158" s="26">
        <v>0</v>
      </c>
      <c r="BJ158" s="27">
        <v>0.215</v>
      </c>
      <c r="BK158" s="27">
        <v>0.25674699692068953</v>
      </c>
      <c r="BL158" s="27" t="s">
        <v>1746</v>
      </c>
      <c r="BM158" s="27" t="s">
        <v>1747</v>
      </c>
      <c r="BN158" s="26"/>
      <c r="BO158" s="34">
        <v>1</v>
      </c>
      <c r="BP158" s="34"/>
      <c r="BQ158" s="34"/>
      <c r="BR158" s="34"/>
      <c r="BS158" s="34"/>
      <c r="BT158" s="34"/>
      <c r="BU158" s="34"/>
      <c r="BV158" s="34"/>
      <c r="BW158" s="34"/>
      <c r="BX158" s="34"/>
      <c r="BY158" s="34"/>
      <c r="BZ158" s="34"/>
      <c r="CA158" s="20"/>
      <c r="CB158" s="20"/>
      <c r="CC158" s="46">
        <v>46006</v>
      </c>
      <c r="CD158" s="19" t="s">
        <v>1748</v>
      </c>
    </row>
    <row r="159" spans="1:82" s="18" customFormat="1" ht="98.25" customHeight="1" x14ac:dyDescent="0.25">
      <c r="A159" s="87">
        <v>155</v>
      </c>
      <c r="B159" s="141" t="s">
        <v>1749</v>
      </c>
      <c r="C159" s="6" t="s">
        <v>1750</v>
      </c>
      <c r="D159" s="6" t="s">
        <v>1751</v>
      </c>
      <c r="E159" s="75" t="s">
        <v>174</v>
      </c>
      <c r="F159" s="4" t="s">
        <v>81</v>
      </c>
      <c r="G159" s="33" t="s">
        <v>84</v>
      </c>
      <c r="H159" s="49" t="s">
        <v>436</v>
      </c>
      <c r="I159" s="49" t="s">
        <v>1700</v>
      </c>
      <c r="J159" s="6"/>
      <c r="K159" s="49"/>
      <c r="L159" s="49"/>
      <c r="M159" s="49" t="s">
        <v>88</v>
      </c>
      <c r="N159" s="49" t="s">
        <v>89</v>
      </c>
      <c r="O159" s="49" t="s">
        <v>1520</v>
      </c>
      <c r="P159" s="6" t="s">
        <v>1701</v>
      </c>
      <c r="Q159" s="49"/>
      <c r="R159" s="75" t="s">
        <v>175</v>
      </c>
      <c r="S159" s="33" t="s">
        <v>92</v>
      </c>
      <c r="T159" s="33" t="s">
        <v>93</v>
      </c>
      <c r="U159" s="78">
        <v>100</v>
      </c>
      <c r="V159" s="33" t="s">
        <v>94</v>
      </c>
      <c r="W159" s="33" t="s">
        <v>95</v>
      </c>
      <c r="X159" s="33">
        <v>2023</v>
      </c>
      <c r="Y159" s="33" t="s">
        <v>117</v>
      </c>
      <c r="Z159" s="33" t="s">
        <v>95</v>
      </c>
      <c r="AA159" s="33" t="s">
        <v>98</v>
      </c>
      <c r="AB159" s="49" t="s">
        <v>99</v>
      </c>
      <c r="AC159" s="79" t="s">
        <v>1752</v>
      </c>
      <c r="AD159" s="79" t="s">
        <v>453</v>
      </c>
      <c r="AE159" s="6" t="s">
        <v>1719</v>
      </c>
      <c r="AF159" s="6" t="s">
        <v>121</v>
      </c>
      <c r="AG159" s="6" t="s">
        <v>178</v>
      </c>
      <c r="AH159" s="6" t="s">
        <v>123</v>
      </c>
      <c r="AI159" s="6" t="s">
        <v>390</v>
      </c>
      <c r="AJ159" s="6" t="s">
        <v>1753</v>
      </c>
      <c r="AK159" s="5" t="s">
        <v>1707</v>
      </c>
      <c r="AL159" s="5" t="s">
        <v>1708</v>
      </c>
      <c r="AM159" s="5" t="s">
        <v>221</v>
      </c>
      <c r="AN159" s="98"/>
      <c r="AO159" s="5" t="s">
        <v>1754</v>
      </c>
      <c r="AP159" s="5" t="s">
        <v>1755</v>
      </c>
      <c r="AQ159" s="6" t="s">
        <v>1723</v>
      </c>
      <c r="AR159" s="20" t="s">
        <v>95</v>
      </c>
      <c r="AS159" s="20" t="s">
        <v>185</v>
      </c>
      <c r="AT159" s="7" t="s">
        <v>1756</v>
      </c>
      <c r="AU159" s="24">
        <v>0.25</v>
      </c>
      <c r="AV159" s="24">
        <f t="shared" si="30"/>
        <v>0.2</v>
      </c>
      <c r="AW159" s="24">
        <f t="shared" si="31"/>
        <v>0.15</v>
      </c>
      <c r="AX159" s="25">
        <v>1E-4</v>
      </c>
      <c r="AY159" s="24">
        <v>0</v>
      </c>
      <c r="AZ159" s="24">
        <f t="shared" si="32"/>
        <v>0.22500000000000001</v>
      </c>
      <c r="BA159" s="24">
        <f t="shared" si="33"/>
        <v>0.18000000000000002</v>
      </c>
      <c r="BB159" s="24">
        <f t="shared" si="34"/>
        <v>0.13500000000000001</v>
      </c>
      <c r="BC159" s="25">
        <v>1E-4</v>
      </c>
      <c r="BD159" s="24">
        <v>0</v>
      </c>
      <c r="BE159" s="34">
        <v>30</v>
      </c>
      <c r="BF159" s="34">
        <f t="shared" si="26"/>
        <v>24</v>
      </c>
      <c r="BG159" s="34">
        <f t="shared" si="27"/>
        <v>18</v>
      </c>
      <c r="BH159" s="26">
        <v>1</v>
      </c>
      <c r="BI159" s="26">
        <v>0</v>
      </c>
      <c r="BJ159" s="20" t="s">
        <v>496</v>
      </c>
      <c r="BK159" s="27">
        <v>0.1504988511086558</v>
      </c>
      <c r="BL159" s="27" t="s">
        <v>1757</v>
      </c>
      <c r="BM159" s="27" t="s">
        <v>1758</v>
      </c>
      <c r="BN159" s="26"/>
      <c r="BO159" s="34"/>
      <c r="BP159" s="34"/>
      <c r="BQ159" s="34"/>
      <c r="BR159" s="34"/>
      <c r="BS159" s="34"/>
      <c r="BT159" s="34"/>
      <c r="BU159" s="34"/>
      <c r="BV159" s="34"/>
      <c r="BW159" s="34"/>
      <c r="BX159" s="34"/>
      <c r="BY159" s="34"/>
      <c r="BZ159" s="34">
        <v>1</v>
      </c>
      <c r="CA159" s="20" t="s">
        <v>1700</v>
      </c>
      <c r="CB159" s="21" t="s">
        <v>1700</v>
      </c>
      <c r="CC159" s="46">
        <v>46006</v>
      </c>
      <c r="CD159" s="36" t="s">
        <v>1759</v>
      </c>
    </row>
    <row r="160" spans="1:82" s="18" customFormat="1" ht="66.75" customHeight="1" x14ac:dyDescent="0.25">
      <c r="A160" s="121">
        <v>156</v>
      </c>
      <c r="B160" s="141" t="s">
        <v>1760</v>
      </c>
      <c r="C160" s="6" t="s">
        <v>1761</v>
      </c>
      <c r="D160" s="6" t="s">
        <v>1762</v>
      </c>
      <c r="E160" s="75" t="s">
        <v>174</v>
      </c>
      <c r="F160" s="4" t="s">
        <v>81</v>
      </c>
      <c r="G160" s="33">
        <v>34</v>
      </c>
      <c r="H160" s="49" t="s">
        <v>463</v>
      </c>
      <c r="I160" s="49" t="s">
        <v>1700</v>
      </c>
      <c r="J160" s="6"/>
      <c r="K160" s="49"/>
      <c r="L160" s="49"/>
      <c r="M160" s="49" t="s">
        <v>136</v>
      </c>
      <c r="N160" s="49" t="s">
        <v>89</v>
      </c>
      <c r="O160" s="49" t="s">
        <v>1520</v>
      </c>
      <c r="P160" s="6" t="s">
        <v>1701</v>
      </c>
      <c r="Q160" s="49"/>
      <c r="R160" s="75" t="s">
        <v>91</v>
      </c>
      <c r="S160" s="33" t="s">
        <v>92</v>
      </c>
      <c r="T160" s="33" t="s">
        <v>93</v>
      </c>
      <c r="U160" s="78">
        <v>100</v>
      </c>
      <c r="V160" s="33" t="s">
        <v>94</v>
      </c>
      <c r="W160" s="33" t="s">
        <v>95</v>
      </c>
      <c r="X160" s="33">
        <v>2021</v>
      </c>
      <c r="Y160" s="33" t="s">
        <v>117</v>
      </c>
      <c r="Z160" s="33" t="s">
        <v>95</v>
      </c>
      <c r="AA160" s="33" t="s">
        <v>98</v>
      </c>
      <c r="AB160" s="49" t="s">
        <v>99</v>
      </c>
      <c r="AC160" s="48" t="s">
        <v>1763</v>
      </c>
      <c r="AD160" s="79" t="s">
        <v>491</v>
      </c>
      <c r="AE160" s="6" t="s">
        <v>1719</v>
      </c>
      <c r="AF160" s="6" t="s">
        <v>121</v>
      </c>
      <c r="AG160" s="6" t="s">
        <v>1705</v>
      </c>
      <c r="AH160" s="49" t="s">
        <v>123</v>
      </c>
      <c r="AI160" s="6" t="s">
        <v>1764</v>
      </c>
      <c r="AJ160" s="6" t="s">
        <v>7439</v>
      </c>
      <c r="AK160" s="33" t="s">
        <v>1707</v>
      </c>
      <c r="AL160" s="33" t="s">
        <v>1708</v>
      </c>
      <c r="AM160" s="5" t="s">
        <v>221</v>
      </c>
      <c r="AN160" s="5" t="s">
        <v>470</v>
      </c>
      <c r="AO160" s="5" t="s">
        <v>1765</v>
      </c>
      <c r="AP160" s="5" t="s">
        <v>1766</v>
      </c>
      <c r="AQ160" s="6" t="s">
        <v>1723</v>
      </c>
      <c r="AR160" s="20" t="s">
        <v>97</v>
      </c>
      <c r="AS160" s="20" t="s">
        <v>107</v>
      </c>
      <c r="AT160" s="20"/>
      <c r="AU160" s="24">
        <v>0.4</v>
      </c>
      <c r="AV160" s="24">
        <f t="shared" si="30"/>
        <v>0.32000000000000006</v>
      </c>
      <c r="AW160" s="24">
        <f t="shared" si="31"/>
        <v>0.24</v>
      </c>
      <c r="AX160" s="25">
        <v>1E-4</v>
      </c>
      <c r="AY160" s="24">
        <v>0</v>
      </c>
      <c r="AZ160" s="24">
        <f t="shared" si="32"/>
        <v>0.36000000000000004</v>
      </c>
      <c r="BA160" s="24">
        <f t="shared" si="33"/>
        <v>0.28800000000000003</v>
      </c>
      <c r="BB160" s="24">
        <f t="shared" si="34"/>
        <v>0.21600000000000003</v>
      </c>
      <c r="BC160" s="25">
        <v>1E-4</v>
      </c>
      <c r="BD160" s="24">
        <v>0</v>
      </c>
      <c r="BE160" s="26">
        <v>10</v>
      </c>
      <c r="BF160" s="34">
        <f t="shared" si="26"/>
        <v>8</v>
      </c>
      <c r="BG160" s="34">
        <f t="shared" si="27"/>
        <v>6</v>
      </c>
      <c r="BH160" s="26">
        <v>1</v>
      </c>
      <c r="BI160" s="26">
        <v>0</v>
      </c>
      <c r="BJ160" s="27">
        <v>0.30499999999999999</v>
      </c>
      <c r="BK160" s="27">
        <v>0.33860005635823981</v>
      </c>
      <c r="BL160" s="27" t="s">
        <v>1767</v>
      </c>
      <c r="BM160" s="27" t="s">
        <v>1768</v>
      </c>
      <c r="BN160" s="26"/>
      <c r="BO160" s="34">
        <v>1</v>
      </c>
      <c r="BP160" s="34"/>
      <c r="BQ160" s="34"/>
      <c r="BR160" s="34"/>
      <c r="BS160" s="34"/>
      <c r="BT160" s="34"/>
      <c r="BU160" s="34"/>
      <c r="BV160" s="34"/>
      <c r="BW160" s="34"/>
      <c r="BX160" s="34"/>
      <c r="BY160" s="34"/>
      <c r="BZ160" s="34"/>
      <c r="CA160" s="20"/>
      <c r="CB160" s="20"/>
      <c r="CC160" s="46">
        <v>46006</v>
      </c>
      <c r="CD160" s="19" t="s">
        <v>1769</v>
      </c>
    </row>
    <row r="161" spans="1:82" s="18" customFormat="1" ht="107.25" customHeight="1" x14ac:dyDescent="0.25">
      <c r="A161" s="87">
        <v>157</v>
      </c>
      <c r="B161" s="141" t="s">
        <v>1770</v>
      </c>
      <c r="C161" s="6" t="s">
        <v>1771</v>
      </c>
      <c r="D161" s="6" t="s">
        <v>1772</v>
      </c>
      <c r="E161" s="75" t="s">
        <v>174</v>
      </c>
      <c r="F161" s="4" t="s">
        <v>81</v>
      </c>
      <c r="G161" s="33" t="s">
        <v>84</v>
      </c>
      <c r="H161" s="49" t="s">
        <v>463</v>
      </c>
      <c r="I161" s="49" t="s">
        <v>1700</v>
      </c>
      <c r="J161" s="6"/>
      <c r="K161" s="49"/>
      <c r="L161" s="49"/>
      <c r="M161" s="49" t="s">
        <v>88</v>
      </c>
      <c r="N161" s="49" t="s">
        <v>89</v>
      </c>
      <c r="O161" s="49" t="s">
        <v>1520</v>
      </c>
      <c r="P161" s="6" t="s">
        <v>1701</v>
      </c>
      <c r="Q161" s="49"/>
      <c r="R161" s="75" t="s">
        <v>175</v>
      </c>
      <c r="S161" s="33" t="s">
        <v>92</v>
      </c>
      <c r="T161" s="33" t="s">
        <v>93</v>
      </c>
      <c r="U161" s="78">
        <v>100</v>
      </c>
      <c r="V161" s="33" t="s">
        <v>94</v>
      </c>
      <c r="W161" s="33" t="s">
        <v>95</v>
      </c>
      <c r="X161" s="33">
        <v>2023</v>
      </c>
      <c r="Y161" s="33" t="s">
        <v>117</v>
      </c>
      <c r="Z161" s="33" t="s">
        <v>95</v>
      </c>
      <c r="AA161" s="33" t="s">
        <v>98</v>
      </c>
      <c r="AB161" s="49" t="s">
        <v>99</v>
      </c>
      <c r="AC161" s="79" t="s">
        <v>1773</v>
      </c>
      <c r="AD161" s="79" t="s">
        <v>1774</v>
      </c>
      <c r="AE161" s="6" t="s">
        <v>1719</v>
      </c>
      <c r="AF161" s="6" t="s">
        <v>121</v>
      </c>
      <c r="AG161" s="6" t="s">
        <v>178</v>
      </c>
      <c r="AH161" s="6" t="s">
        <v>123</v>
      </c>
      <c r="AI161" s="6" t="s">
        <v>1731</v>
      </c>
      <c r="AJ161" s="6" t="s">
        <v>1775</v>
      </c>
      <c r="AK161" s="5" t="s">
        <v>1707</v>
      </c>
      <c r="AL161" s="5" t="s">
        <v>1708</v>
      </c>
      <c r="AM161" s="5" t="s">
        <v>221</v>
      </c>
      <c r="AN161" s="5"/>
      <c r="AO161" s="5" t="s">
        <v>1776</v>
      </c>
      <c r="AP161" s="5" t="s">
        <v>1777</v>
      </c>
      <c r="AQ161" s="6" t="s">
        <v>1723</v>
      </c>
      <c r="AR161" s="20" t="s">
        <v>95</v>
      </c>
      <c r="AS161" s="20" t="s">
        <v>185</v>
      </c>
      <c r="AT161" s="7" t="s">
        <v>1756</v>
      </c>
      <c r="AU161" s="24">
        <v>0.25</v>
      </c>
      <c r="AV161" s="24">
        <f t="shared" si="30"/>
        <v>0.2</v>
      </c>
      <c r="AW161" s="24">
        <f t="shared" si="31"/>
        <v>0.15</v>
      </c>
      <c r="AX161" s="25">
        <v>1E-4</v>
      </c>
      <c r="AY161" s="24">
        <v>0</v>
      </c>
      <c r="AZ161" s="24">
        <f t="shared" si="32"/>
        <v>0.22500000000000001</v>
      </c>
      <c r="BA161" s="24">
        <f t="shared" si="33"/>
        <v>0.18000000000000002</v>
      </c>
      <c r="BB161" s="24">
        <f t="shared" si="34"/>
        <v>0.13500000000000001</v>
      </c>
      <c r="BC161" s="25">
        <v>1E-4</v>
      </c>
      <c r="BD161" s="24">
        <v>0</v>
      </c>
      <c r="BE161" s="34">
        <v>30</v>
      </c>
      <c r="BF161" s="34">
        <f t="shared" si="26"/>
        <v>24</v>
      </c>
      <c r="BG161" s="34">
        <f t="shared" si="27"/>
        <v>18</v>
      </c>
      <c r="BH161" s="26">
        <v>1</v>
      </c>
      <c r="BI161" s="26">
        <v>0</v>
      </c>
      <c r="BJ161" s="20" t="s">
        <v>496</v>
      </c>
      <c r="BK161" s="27">
        <v>0.19399251688400229</v>
      </c>
      <c r="BL161" s="27" t="s">
        <v>1778</v>
      </c>
      <c r="BM161" s="27" t="s">
        <v>1779</v>
      </c>
      <c r="BN161" s="26"/>
      <c r="BO161" s="34"/>
      <c r="BP161" s="34"/>
      <c r="BQ161" s="34"/>
      <c r="BR161" s="34"/>
      <c r="BS161" s="34"/>
      <c r="BT161" s="34"/>
      <c r="BU161" s="34"/>
      <c r="BV161" s="34"/>
      <c r="BW161" s="34"/>
      <c r="BX161" s="34"/>
      <c r="BY161" s="34"/>
      <c r="BZ161" s="34">
        <v>1</v>
      </c>
      <c r="CA161" s="20" t="s">
        <v>1700</v>
      </c>
      <c r="CB161" s="21" t="s">
        <v>1700</v>
      </c>
      <c r="CC161" s="46">
        <v>46006</v>
      </c>
      <c r="CD161" s="36" t="s">
        <v>1780</v>
      </c>
    </row>
    <row r="162" spans="1:82" s="18" customFormat="1" ht="66.75" customHeight="1" x14ac:dyDescent="0.25">
      <c r="A162" s="87">
        <v>158</v>
      </c>
      <c r="B162" s="141" t="s">
        <v>1781</v>
      </c>
      <c r="C162" s="6" t="s">
        <v>1782</v>
      </c>
      <c r="D162" s="6" t="s">
        <v>1783</v>
      </c>
      <c r="E162" s="75" t="s">
        <v>113</v>
      </c>
      <c r="F162" s="4" t="s">
        <v>81</v>
      </c>
      <c r="G162" s="33" t="s">
        <v>84</v>
      </c>
      <c r="H162" s="49" t="s">
        <v>775</v>
      </c>
      <c r="I162" s="49" t="s">
        <v>1700</v>
      </c>
      <c r="J162" s="6"/>
      <c r="K162" s="49"/>
      <c r="L162" s="49"/>
      <c r="M162" s="49" t="s">
        <v>88</v>
      </c>
      <c r="N162" s="49" t="s">
        <v>89</v>
      </c>
      <c r="O162" s="49" t="s">
        <v>213</v>
      </c>
      <c r="P162" s="6" t="s">
        <v>1784</v>
      </c>
      <c r="Q162" s="49"/>
      <c r="R162" s="75" t="s">
        <v>91</v>
      </c>
      <c r="S162" s="33" t="s">
        <v>92</v>
      </c>
      <c r="T162" s="33" t="s">
        <v>93</v>
      </c>
      <c r="U162" s="78">
        <v>100</v>
      </c>
      <c r="V162" s="33" t="s">
        <v>94</v>
      </c>
      <c r="W162" s="33" t="s">
        <v>95</v>
      </c>
      <c r="X162" s="33">
        <v>2022</v>
      </c>
      <c r="Y162" s="33" t="s">
        <v>117</v>
      </c>
      <c r="Z162" s="33" t="s">
        <v>95</v>
      </c>
      <c r="AA162" s="33" t="s">
        <v>98</v>
      </c>
      <c r="AB162" s="49" t="s">
        <v>99</v>
      </c>
      <c r="AC162" s="48" t="s">
        <v>1785</v>
      </c>
      <c r="AD162" s="79" t="s">
        <v>1703</v>
      </c>
      <c r="AE162" s="6" t="s">
        <v>1786</v>
      </c>
      <c r="AF162" s="6" t="s">
        <v>121</v>
      </c>
      <c r="AG162" s="6" t="s">
        <v>1600</v>
      </c>
      <c r="AH162" s="49" t="s">
        <v>123</v>
      </c>
      <c r="AI162" s="6" t="s">
        <v>1787</v>
      </c>
      <c r="AJ162" s="6" t="s">
        <v>7440</v>
      </c>
      <c r="AK162" s="33" t="s">
        <v>1707</v>
      </c>
      <c r="AL162" s="33" t="s">
        <v>1708</v>
      </c>
      <c r="AM162" s="5" t="s">
        <v>221</v>
      </c>
      <c r="AN162" s="5" t="s">
        <v>470</v>
      </c>
      <c r="AO162" s="5" t="s">
        <v>1788</v>
      </c>
      <c r="AP162" s="5" t="s">
        <v>1789</v>
      </c>
      <c r="AQ162" s="6" t="s">
        <v>1723</v>
      </c>
      <c r="AR162" s="20" t="s">
        <v>97</v>
      </c>
      <c r="AS162" s="20" t="s">
        <v>107</v>
      </c>
      <c r="AT162" s="20"/>
      <c r="AU162" s="24">
        <v>0.5</v>
      </c>
      <c r="AV162" s="24">
        <f t="shared" si="30"/>
        <v>0.4</v>
      </c>
      <c r="AW162" s="24">
        <f t="shared" si="31"/>
        <v>0.3</v>
      </c>
      <c r="AX162" s="25">
        <v>1E-4</v>
      </c>
      <c r="AY162" s="24">
        <v>0</v>
      </c>
      <c r="AZ162" s="24">
        <f t="shared" si="32"/>
        <v>0.45</v>
      </c>
      <c r="BA162" s="24">
        <f t="shared" si="33"/>
        <v>0.36000000000000004</v>
      </c>
      <c r="BB162" s="24">
        <f t="shared" si="34"/>
        <v>0.27</v>
      </c>
      <c r="BC162" s="25">
        <v>1E-4</v>
      </c>
      <c r="BD162" s="24">
        <v>0</v>
      </c>
      <c r="BE162" s="26">
        <v>0</v>
      </c>
      <c r="BF162" s="34">
        <f t="shared" si="26"/>
        <v>0</v>
      </c>
      <c r="BG162" s="34">
        <f t="shared" si="27"/>
        <v>0</v>
      </c>
      <c r="BH162" s="26">
        <v>0</v>
      </c>
      <c r="BI162" s="26">
        <v>0</v>
      </c>
      <c r="BJ162" s="27">
        <v>0.39800000000000002</v>
      </c>
      <c r="BK162" s="27">
        <v>0.2733405846428118</v>
      </c>
      <c r="BL162" s="27" t="s">
        <v>1790</v>
      </c>
      <c r="BM162" s="27" t="s">
        <v>1791</v>
      </c>
      <c r="BN162" s="26"/>
      <c r="BO162" s="34"/>
      <c r="BP162" s="34"/>
      <c r="BQ162" s="34"/>
      <c r="BR162" s="34"/>
      <c r="BS162" s="34"/>
      <c r="BT162" s="34"/>
      <c r="BU162" s="34"/>
      <c r="BV162" s="34"/>
      <c r="BW162" s="34"/>
      <c r="BX162" s="34"/>
      <c r="BY162" s="34"/>
      <c r="BZ162" s="34"/>
      <c r="CA162" s="20"/>
      <c r="CB162" s="20"/>
      <c r="CC162" s="29">
        <v>45699</v>
      </c>
      <c r="CD162" s="11" t="s">
        <v>360</v>
      </c>
    </row>
    <row r="163" spans="1:82" s="18" customFormat="1" ht="66.75" customHeight="1" x14ac:dyDescent="0.25">
      <c r="A163" s="121">
        <v>159</v>
      </c>
      <c r="B163" s="141" t="s">
        <v>1792</v>
      </c>
      <c r="C163" s="6" t="s">
        <v>1793</v>
      </c>
      <c r="D163" s="6" t="s">
        <v>1794</v>
      </c>
      <c r="E163" s="75" t="s">
        <v>174</v>
      </c>
      <c r="F163" s="4" t="s">
        <v>81</v>
      </c>
      <c r="G163" s="33" t="s">
        <v>84</v>
      </c>
      <c r="H163" s="49" t="s">
        <v>775</v>
      </c>
      <c r="I163" s="49" t="s">
        <v>1700</v>
      </c>
      <c r="J163" s="6"/>
      <c r="K163" s="49"/>
      <c r="L163" s="49"/>
      <c r="M163" s="49" t="s">
        <v>88</v>
      </c>
      <c r="N163" s="49" t="s">
        <v>89</v>
      </c>
      <c r="O163" s="49" t="s">
        <v>213</v>
      </c>
      <c r="P163" s="6" t="s">
        <v>1784</v>
      </c>
      <c r="Q163" s="49"/>
      <c r="R163" s="75" t="s">
        <v>175</v>
      </c>
      <c r="S163" s="33" t="s">
        <v>92</v>
      </c>
      <c r="T163" s="33" t="s">
        <v>93</v>
      </c>
      <c r="U163" s="78">
        <v>100</v>
      </c>
      <c r="V163" s="33" t="s">
        <v>94</v>
      </c>
      <c r="W163" s="33" t="s">
        <v>95</v>
      </c>
      <c r="X163" s="33">
        <v>2023</v>
      </c>
      <c r="Y163" s="33" t="s">
        <v>117</v>
      </c>
      <c r="Z163" s="33" t="s">
        <v>95</v>
      </c>
      <c r="AA163" s="33" t="s">
        <v>98</v>
      </c>
      <c r="AB163" s="49" t="s">
        <v>99</v>
      </c>
      <c r="AC163" s="79" t="s">
        <v>1795</v>
      </c>
      <c r="AD163" s="79" t="s">
        <v>1796</v>
      </c>
      <c r="AE163" s="6" t="s">
        <v>1797</v>
      </c>
      <c r="AF163" s="6" t="s">
        <v>121</v>
      </c>
      <c r="AG163" s="6" t="s">
        <v>178</v>
      </c>
      <c r="AH163" s="6" t="s">
        <v>123</v>
      </c>
      <c r="AI163" s="6" t="s">
        <v>1798</v>
      </c>
      <c r="AJ163" s="6" t="s">
        <v>1799</v>
      </c>
      <c r="AK163" s="5" t="s">
        <v>1707</v>
      </c>
      <c r="AL163" s="5" t="s">
        <v>1708</v>
      </c>
      <c r="AM163" s="5" t="s">
        <v>221</v>
      </c>
      <c r="AN163" s="5" t="s">
        <v>470</v>
      </c>
      <c r="AO163" s="5" t="s">
        <v>1800</v>
      </c>
      <c r="AP163" s="5" t="s">
        <v>1801</v>
      </c>
      <c r="AQ163" s="6" t="s">
        <v>1802</v>
      </c>
      <c r="AR163" s="20" t="s">
        <v>97</v>
      </c>
      <c r="AS163" s="20" t="s">
        <v>107</v>
      </c>
      <c r="AT163" s="20"/>
      <c r="AU163" s="24">
        <v>0.3</v>
      </c>
      <c r="AV163" s="24">
        <f t="shared" si="30"/>
        <v>0.24</v>
      </c>
      <c r="AW163" s="24">
        <f t="shared" si="31"/>
        <v>0.18</v>
      </c>
      <c r="AX163" s="25">
        <v>1E-4</v>
      </c>
      <c r="AY163" s="24">
        <v>0</v>
      </c>
      <c r="AZ163" s="24">
        <f t="shared" si="32"/>
        <v>0.27</v>
      </c>
      <c r="BA163" s="24">
        <f t="shared" si="33"/>
        <v>0.21600000000000003</v>
      </c>
      <c r="BB163" s="24">
        <f t="shared" si="34"/>
        <v>0.16200000000000001</v>
      </c>
      <c r="BC163" s="25">
        <v>1E-4</v>
      </c>
      <c r="BD163" s="24">
        <v>0</v>
      </c>
      <c r="BE163" s="34">
        <v>20</v>
      </c>
      <c r="BF163" s="34">
        <f t="shared" si="26"/>
        <v>16</v>
      </c>
      <c r="BG163" s="34">
        <f t="shared" si="27"/>
        <v>12</v>
      </c>
      <c r="BH163" s="26">
        <v>1</v>
      </c>
      <c r="BI163" s="26">
        <v>0</v>
      </c>
      <c r="BJ163" s="20" t="s">
        <v>496</v>
      </c>
      <c r="BK163" s="27">
        <v>0.20923442880687265</v>
      </c>
      <c r="BL163" s="27" t="s">
        <v>1803</v>
      </c>
      <c r="BM163" s="27" t="s">
        <v>1804</v>
      </c>
      <c r="BN163" s="26"/>
      <c r="BO163" s="34"/>
      <c r="BP163" s="34"/>
      <c r="BQ163" s="34"/>
      <c r="BR163" s="34"/>
      <c r="BS163" s="34"/>
      <c r="BT163" s="34"/>
      <c r="BU163" s="34"/>
      <c r="BV163" s="34"/>
      <c r="BW163" s="34"/>
      <c r="BX163" s="34"/>
      <c r="BY163" s="34"/>
      <c r="BZ163" s="34">
        <v>1</v>
      </c>
      <c r="CA163" s="20" t="s">
        <v>1700</v>
      </c>
      <c r="CB163" s="21" t="s">
        <v>1700</v>
      </c>
      <c r="CC163" s="29">
        <v>45721</v>
      </c>
      <c r="CD163" s="11" t="s">
        <v>1805</v>
      </c>
    </row>
    <row r="164" spans="1:82" s="18" customFormat="1" ht="66.75" customHeight="1" x14ac:dyDescent="0.25">
      <c r="A164" s="87">
        <v>160</v>
      </c>
      <c r="B164" s="141" t="s">
        <v>1806</v>
      </c>
      <c r="C164" s="6" t="s">
        <v>1807</v>
      </c>
      <c r="D164" s="6" t="s">
        <v>1808</v>
      </c>
      <c r="E164" s="75" t="s">
        <v>113</v>
      </c>
      <c r="F164" s="4" t="s">
        <v>81</v>
      </c>
      <c r="G164" s="33">
        <v>35</v>
      </c>
      <c r="H164" s="49" t="s">
        <v>775</v>
      </c>
      <c r="I164" s="49" t="s">
        <v>1700</v>
      </c>
      <c r="J164" s="6"/>
      <c r="K164" s="49"/>
      <c r="L164" s="49"/>
      <c r="M164" s="49" t="s">
        <v>136</v>
      </c>
      <c r="N164" s="49" t="s">
        <v>245</v>
      </c>
      <c r="O164" s="49" t="s">
        <v>246</v>
      </c>
      <c r="P164" s="6" t="s">
        <v>1809</v>
      </c>
      <c r="Q164" s="49"/>
      <c r="R164" s="75" t="s">
        <v>91</v>
      </c>
      <c r="S164" s="33" t="s">
        <v>92</v>
      </c>
      <c r="T164" s="33" t="s">
        <v>93</v>
      </c>
      <c r="U164" s="78">
        <v>100</v>
      </c>
      <c r="V164" s="33" t="s">
        <v>94</v>
      </c>
      <c r="W164" s="33" t="s">
        <v>95</v>
      </c>
      <c r="X164" s="33">
        <v>2023</v>
      </c>
      <c r="Y164" s="33" t="s">
        <v>117</v>
      </c>
      <c r="Z164" s="33" t="s">
        <v>97</v>
      </c>
      <c r="AA164" s="33" t="s">
        <v>98</v>
      </c>
      <c r="AB164" s="49" t="s">
        <v>99</v>
      </c>
      <c r="AC164" s="48" t="s">
        <v>1810</v>
      </c>
      <c r="AD164" s="48" t="s">
        <v>1811</v>
      </c>
      <c r="AE164" s="6" t="s">
        <v>1812</v>
      </c>
      <c r="AF164" s="6" t="s">
        <v>1813</v>
      </c>
      <c r="AG164" s="6" t="s">
        <v>1600</v>
      </c>
      <c r="AH164" s="49" t="s">
        <v>1600</v>
      </c>
      <c r="AI164" s="6" t="s">
        <v>1814</v>
      </c>
      <c r="AJ164" s="6" t="s">
        <v>1815</v>
      </c>
      <c r="AK164" s="33" t="s">
        <v>97</v>
      </c>
      <c r="AL164" s="33" t="s">
        <v>97</v>
      </c>
      <c r="AM164" s="5"/>
      <c r="AN164" s="5"/>
      <c r="AO164" s="5" t="s">
        <v>1816</v>
      </c>
      <c r="AP164" s="5" t="s">
        <v>1817</v>
      </c>
      <c r="AQ164" s="6" t="s">
        <v>1818</v>
      </c>
      <c r="AR164" s="20" t="s">
        <v>97</v>
      </c>
      <c r="AS164" s="20" t="s">
        <v>107</v>
      </c>
      <c r="AT164" s="20"/>
      <c r="AU164" s="24">
        <v>0.5</v>
      </c>
      <c r="AV164" s="24">
        <f t="shared" si="30"/>
        <v>0.4</v>
      </c>
      <c r="AW164" s="24">
        <f t="shared" si="31"/>
        <v>0.3</v>
      </c>
      <c r="AX164" s="25">
        <v>1E-4</v>
      </c>
      <c r="AY164" s="24">
        <v>0</v>
      </c>
      <c r="AZ164" s="24">
        <f t="shared" si="32"/>
        <v>0.45</v>
      </c>
      <c r="BA164" s="24">
        <f t="shared" si="33"/>
        <v>0.36000000000000004</v>
      </c>
      <c r="BB164" s="24">
        <f t="shared" si="34"/>
        <v>0.27</v>
      </c>
      <c r="BC164" s="25">
        <v>1E-4</v>
      </c>
      <c r="BD164" s="24">
        <v>0</v>
      </c>
      <c r="BE164" s="26">
        <v>0</v>
      </c>
      <c r="BF164" s="34">
        <f t="shared" si="26"/>
        <v>0</v>
      </c>
      <c r="BG164" s="34">
        <f t="shared" si="27"/>
        <v>0</v>
      </c>
      <c r="BH164" s="26">
        <v>0</v>
      </c>
      <c r="BI164" s="26">
        <v>0</v>
      </c>
      <c r="BJ164" s="27">
        <v>0.38400000000000001</v>
      </c>
      <c r="BK164" s="27">
        <v>0.49536543616574619</v>
      </c>
      <c r="BL164" s="27" t="s">
        <v>1819</v>
      </c>
      <c r="BM164" s="27" t="s">
        <v>1820</v>
      </c>
      <c r="BN164" s="26"/>
      <c r="BO164" s="34">
        <v>1</v>
      </c>
      <c r="BP164" s="34"/>
      <c r="BQ164" s="34"/>
      <c r="BR164" s="34"/>
      <c r="BS164" s="34"/>
      <c r="BT164" s="34"/>
      <c r="BU164" s="34"/>
      <c r="BV164" s="34"/>
      <c r="BW164" s="34"/>
      <c r="BX164" s="34"/>
      <c r="BY164" s="34"/>
      <c r="BZ164" s="34"/>
      <c r="CA164" s="20"/>
      <c r="CB164" s="20"/>
      <c r="CC164" s="29">
        <v>45912</v>
      </c>
      <c r="CD164" s="35" t="s">
        <v>1821</v>
      </c>
    </row>
    <row r="165" spans="1:82" s="18" customFormat="1" ht="66.75" customHeight="1" x14ac:dyDescent="0.25">
      <c r="A165" s="87">
        <v>161</v>
      </c>
      <c r="B165" s="141" t="s">
        <v>1822</v>
      </c>
      <c r="C165" s="6" t="s">
        <v>1823</v>
      </c>
      <c r="D165" s="6" t="s">
        <v>1824</v>
      </c>
      <c r="E165" s="75" t="s">
        <v>113</v>
      </c>
      <c r="F165" s="4" t="s">
        <v>81</v>
      </c>
      <c r="G165" s="33">
        <v>36</v>
      </c>
      <c r="H165" s="49" t="s">
        <v>775</v>
      </c>
      <c r="I165" s="49" t="s">
        <v>1700</v>
      </c>
      <c r="J165" s="6"/>
      <c r="K165" s="49"/>
      <c r="L165" s="49"/>
      <c r="M165" s="49" t="s">
        <v>136</v>
      </c>
      <c r="N165" s="49" t="s">
        <v>245</v>
      </c>
      <c r="O165" s="49" t="s">
        <v>246</v>
      </c>
      <c r="P165" s="6" t="s">
        <v>1809</v>
      </c>
      <c r="Q165" s="49"/>
      <c r="R165" s="75" t="s">
        <v>91</v>
      </c>
      <c r="S165" s="33" t="s">
        <v>92</v>
      </c>
      <c r="T165" s="33" t="s">
        <v>93</v>
      </c>
      <c r="U165" s="78">
        <v>100</v>
      </c>
      <c r="V165" s="33" t="s">
        <v>94</v>
      </c>
      <c r="W165" s="33" t="s">
        <v>95</v>
      </c>
      <c r="X165" s="33">
        <v>2023</v>
      </c>
      <c r="Y165" s="33" t="s">
        <v>117</v>
      </c>
      <c r="Z165" s="33" t="s">
        <v>97</v>
      </c>
      <c r="AA165" s="33" t="s">
        <v>98</v>
      </c>
      <c r="AB165" s="49" t="s">
        <v>99</v>
      </c>
      <c r="AC165" s="48" t="s">
        <v>1825</v>
      </c>
      <c r="AD165" s="48" t="s">
        <v>1811</v>
      </c>
      <c r="AE165" s="6" t="s">
        <v>1826</v>
      </c>
      <c r="AF165" s="6" t="s">
        <v>1813</v>
      </c>
      <c r="AG165" s="6" t="s">
        <v>1600</v>
      </c>
      <c r="AH165" s="49" t="s">
        <v>1600</v>
      </c>
      <c r="AI165" s="6" t="s">
        <v>1814</v>
      </c>
      <c r="AJ165" s="6" t="s">
        <v>1815</v>
      </c>
      <c r="AK165" s="33" t="s">
        <v>97</v>
      </c>
      <c r="AL165" s="33" t="s">
        <v>97</v>
      </c>
      <c r="AM165" s="5"/>
      <c r="AN165" s="5"/>
      <c r="AO165" s="5" t="s">
        <v>1827</v>
      </c>
      <c r="AP165" s="5" t="s">
        <v>1817</v>
      </c>
      <c r="AQ165" s="6" t="s">
        <v>1818</v>
      </c>
      <c r="AR165" s="20" t="s">
        <v>97</v>
      </c>
      <c r="AS165" s="20" t="s">
        <v>107</v>
      </c>
      <c r="AT165" s="20"/>
      <c r="AU165" s="24">
        <v>0.36</v>
      </c>
      <c r="AV165" s="24">
        <f t="shared" si="30"/>
        <v>0.28799999999999998</v>
      </c>
      <c r="AW165" s="24">
        <f t="shared" si="31"/>
        <v>0.216</v>
      </c>
      <c r="AX165" s="25">
        <v>1E-4</v>
      </c>
      <c r="AY165" s="24">
        <v>0</v>
      </c>
      <c r="AZ165" s="24">
        <f t="shared" si="32"/>
        <v>0.32400000000000001</v>
      </c>
      <c r="BA165" s="24">
        <f t="shared" si="33"/>
        <v>0.25920000000000004</v>
      </c>
      <c r="BB165" s="24">
        <f t="shared" si="34"/>
        <v>0.19439999999999999</v>
      </c>
      <c r="BC165" s="25">
        <v>1E-4</v>
      </c>
      <c r="BD165" s="24">
        <v>0</v>
      </c>
      <c r="BE165" s="26">
        <v>0</v>
      </c>
      <c r="BF165" s="34">
        <f t="shared" si="26"/>
        <v>0</v>
      </c>
      <c r="BG165" s="34">
        <f t="shared" si="27"/>
        <v>0</v>
      </c>
      <c r="BH165" s="26">
        <v>0</v>
      </c>
      <c r="BI165" s="26">
        <v>0</v>
      </c>
      <c r="BJ165" s="27">
        <v>0.17499999999999999</v>
      </c>
      <c r="BK165" s="27">
        <v>0.15998126796499046</v>
      </c>
      <c r="BL165" s="27" t="s">
        <v>1828</v>
      </c>
      <c r="BM165" s="27" t="s">
        <v>1829</v>
      </c>
      <c r="BN165" s="26"/>
      <c r="BO165" s="34">
        <v>1</v>
      </c>
      <c r="BP165" s="34"/>
      <c r="BQ165" s="34"/>
      <c r="BR165" s="34"/>
      <c r="BS165" s="34"/>
      <c r="BT165" s="34"/>
      <c r="BU165" s="34"/>
      <c r="BV165" s="34"/>
      <c r="BW165" s="34"/>
      <c r="BX165" s="34"/>
      <c r="BY165" s="34"/>
      <c r="BZ165" s="34"/>
      <c r="CA165" s="20"/>
      <c r="CB165" s="20"/>
      <c r="CC165" s="29">
        <v>45912</v>
      </c>
      <c r="CD165" s="35" t="s">
        <v>1821</v>
      </c>
    </row>
    <row r="166" spans="1:82" s="18" customFormat="1" ht="66.75" customHeight="1" x14ac:dyDescent="0.25">
      <c r="A166" s="121">
        <v>162</v>
      </c>
      <c r="B166" s="141" t="s">
        <v>1830</v>
      </c>
      <c r="C166" s="6" t="s">
        <v>1831</v>
      </c>
      <c r="D166" s="6" t="s">
        <v>1832</v>
      </c>
      <c r="E166" s="75" t="s">
        <v>113</v>
      </c>
      <c r="F166" s="4" t="s">
        <v>81</v>
      </c>
      <c r="G166" s="33">
        <v>37</v>
      </c>
      <c r="H166" s="49" t="s">
        <v>775</v>
      </c>
      <c r="I166" s="49" t="s">
        <v>1700</v>
      </c>
      <c r="J166" s="6"/>
      <c r="K166" s="49"/>
      <c r="L166" s="49"/>
      <c r="M166" s="49" t="s">
        <v>136</v>
      </c>
      <c r="N166" s="49" t="s">
        <v>245</v>
      </c>
      <c r="O166" s="49" t="s">
        <v>246</v>
      </c>
      <c r="P166" s="6" t="s">
        <v>1809</v>
      </c>
      <c r="Q166" s="49"/>
      <c r="R166" s="75" t="s">
        <v>91</v>
      </c>
      <c r="S166" s="33" t="s">
        <v>92</v>
      </c>
      <c r="T166" s="33" t="s">
        <v>93</v>
      </c>
      <c r="U166" s="78">
        <v>100</v>
      </c>
      <c r="V166" s="33" t="s">
        <v>94</v>
      </c>
      <c r="W166" s="33" t="s">
        <v>95</v>
      </c>
      <c r="X166" s="33">
        <v>2023</v>
      </c>
      <c r="Y166" s="33" t="s">
        <v>117</v>
      </c>
      <c r="Z166" s="33" t="s">
        <v>97</v>
      </c>
      <c r="AA166" s="33" t="s">
        <v>98</v>
      </c>
      <c r="AB166" s="49" t="s">
        <v>99</v>
      </c>
      <c r="AC166" s="48" t="s">
        <v>1833</v>
      </c>
      <c r="AD166" s="48" t="s">
        <v>1811</v>
      </c>
      <c r="AE166" s="6" t="s">
        <v>1834</v>
      </c>
      <c r="AF166" s="6" t="s">
        <v>1813</v>
      </c>
      <c r="AG166" s="6" t="s">
        <v>1600</v>
      </c>
      <c r="AH166" s="49" t="s">
        <v>1600</v>
      </c>
      <c r="AI166" s="6" t="s">
        <v>1814</v>
      </c>
      <c r="AJ166" s="6" t="s">
        <v>1815</v>
      </c>
      <c r="AK166" s="33" t="s">
        <v>97</v>
      </c>
      <c r="AL166" s="33" t="s">
        <v>97</v>
      </c>
      <c r="AM166" s="5"/>
      <c r="AN166" s="5"/>
      <c r="AO166" s="5" t="s">
        <v>1835</v>
      </c>
      <c r="AP166" s="5" t="s">
        <v>1817</v>
      </c>
      <c r="AQ166" s="6" t="s">
        <v>1818</v>
      </c>
      <c r="AR166" s="20" t="s">
        <v>97</v>
      </c>
      <c r="AS166" s="20" t="s">
        <v>107</v>
      </c>
      <c r="AT166" s="20"/>
      <c r="AU166" s="24">
        <v>0.14000000000000001</v>
      </c>
      <c r="AV166" s="24">
        <f t="shared" si="30"/>
        <v>0.11200000000000002</v>
      </c>
      <c r="AW166" s="24">
        <f t="shared" si="31"/>
        <v>8.4000000000000005E-2</v>
      </c>
      <c r="AX166" s="25">
        <v>1E-4</v>
      </c>
      <c r="AY166" s="24">
        <v>0</v>
      </c>
      <c r="AZ166" s="24">
        <f t="shared" si="32"/>
        <v>0.12600000000000003</v>
      </c>
      <c r="BA166" s="24">
        <f t="shared" si="33"/>
        <v>0.10080000000000003</v>
      </c>
      <c r="BB166" s="24">
        <f t="shared" si="34"/>
        <v>7.5600000000000014E-2</v>
      </c>
      <c r="BC166" s="25">
        <v>1E-4</v>
      </c>
      <c r="BD166" s="24">
        <v>0</v>
      </c>
      <c r="BE166" s="26">
        <v>0</v>
      </c>
      <c r="BF166" s="34">
        <f t="shared" si="26"/>
        <v>0</v>
      </c>
      <c r="BG166" s="34">
        <f t="shared" si="27"/>
        <v>0</v>
      </c>
      <c r="BH166" s="26">
        <v>0</v>
      </c>
      <c r="BI166" s="26">
        <v>0</v>
      </c>
      <c r="BJ166" s="27">
        <v>0.439</v>
      </c>
      <c r="BK166" s="27">
        <v>0.3446532958692633</v>
      </c>
      <c r="BL166" s="27" t="s">
        <v>1836</v>
      </c>
      <c r="BM166" s="27" t="s">
        <v>1837</v>
      </c>
      <c r="BN166" s="26"/>
      <c r="BO166" s="34">
        <v>1</v>
      </c>
      <c r="BP166" s="34"/>
      <c r="BQ166" s="34"/>
      <c r="BR166" s="34"/>
      <c r="BS166" s="34"/>
      <c r="BT166" s="34"/>
      <c r="BU166" s="34"/>
      <c r="BV166" s="34"/>
      <c r="BW166" s="34"/>
      <c r="BX166" s="34"/>
      <c r="BY166" s="34"/>
      <c r="BZ166" s="34"/>
      <c r="CA166" s="20"/>
      <c r="CB166" s="20"/>
      <c r="CC166" s="29">
        <v>45912</v>
      </c>
      <c r="CD166" s="35" t="s">
        <v>1821</v>
      </c>
    </row>
    <row r="167" spans="1:82" s="18" customFormat="1" ht="66.75" customHeight="1" x14ac:dyDescent="0.25">
      <c r="A167" s="87">
        <v>163</v>
      </c>
      <c r="B167" s="141" t="s">
        <v>1838</v>
      </c>
      <c r="C167" s="6" t="s">
        <v>1839</v>
      </c>
      <c r="D167" s="6" t="s">
        <v>1840</v>
      </c>
      <c r="E167" s="75" t="s">
        <v>113</v>
      </c>
      <c r="F167" s="4" t="s">
        <v>81</v>
      </c>
      <c r="G167" s="33">
        <v>38</v>
      </c>
      <c r="H167" s="49" t="s">
        <v>775</v>
      </c>
      <c r="I167" s="49" t="s">
        <v>1700</v>
      </c>
      <c r="J167" s="6"/>
      <c r="K167" s="49"/>
      <c r="L167" s="49"/>
      <c r="M167" s="49" t="s">
        <v>136</v>
      </c>
      <c r="N167" s="49" t="s">
        <v>245</v>
      </c>
      <c r="O167" s="49" t="s">
        <v>246</v>
      </c>
      <c r="P167" s="6" t="s">
        <v>1841</v>
      </c>
      <c r="Q167" s="49"/>
      <c r="R167" s="75" t="s">
        <v>91</v>
      </c>
      <c r="S167" s="33" t="s">
        <v>92</v>
      </c>
      <c r="T167" s="33" t="s">
        <v>93</v>
      </c>
      <c r="U167" s="78">
        <v>100</v>
      </c>
      <c r="V167" s="33" t="s">
        <v>94</v>
      </c>
      <c r="W167" s="33" t="s">
        <v>95</v>
      </c>
      <c r="X167" s="33">
        <v>2023</v>
      </c>
      <c r="Y167" s="33" t="s">
        <v>117</v>
      </c>
      <c r="Z167" s="33" t="s">
        <v>97</v>
      </c>
      <c r="AA167" s="33" t="s">
        <v>98</v>
      </c>
      <c r="AB167" s="49" t="s">
        <v>99</v>
      </c>
      <c r="AC167" s="48" t="s">
        <v>1842</v>
      </c>
      <c r="AD167" s="48" t="s">
        <v>1843</v>
      </c>
      <c r="AE167" s="6" t="s">
        <v>1844</v>
      </c>
      <c r="AF167" s="6" t="s">
        <v>1845</v>
      </c>
      <c r="AG167" s="6" t="s">
        <v>1600</v>
      </c>
      <c r="AH167" s="49" t="s">
        <v>1600</v>
      </c>
      <c r="AI167" s="6" t="s">
        <v>1846</v>
      </c>
      <c r="AJ167" s="6" t="s">
        <v>1847</v>
      </c>
      <c r="AK167" s="33" t="s">
        <v>97</v>
      </c>
      <c r="AL167" s="33" t="s">
        <v>97</v>
      </c>
      <c r="AM167" s="5"/>
      <c r="AN167" s="5"/>
      <c r="AO167" s="5" t="s">
        <v>1848</v>
      </c>
      <c r="AP167" s="5" t="s">
        <v>1849</v>
      </c>
      <c r="AQ167" s="6" t="s">
        <v>1818</v>
      </c>
      <c r="AR167" s="20" t="s">
        <v>97</v>
      </c>
      <c r="AS167" s="20" t="s">
        <v>107</v>
      </c>
      <c r="AT167" s="20"/>
      <c r="AU167" s="24">
        <v>0.33</v>
      </c>
      <c r="AV167" s="24">
        <f t="shared" si="30"/>
        <v>0.26400000000000001</v>
      </c>
      <c r="AW167" s="24">
        <f t="shared" si="31"/>
        <v>0.19800000000000001</v>
      </c>
      <c r="AX167" s="25">
        <v>1E-4</v>
      </c>
      <c r="AY167" s="24">
        <v>0</v>
      </c>
      <c r="AZ167" s="24">
        <f t="shared" si="32"/>
        <v>0.29700000000000004</v>
      </c>
      <c r="BA167" s="24">
        <f t="shared" si="33"/>
        <v>0.23760000000000003</v>
      </c>
      <c r="BB167" s="24">
        <f t="shared" si="34"/>
        <v>0.17820000000000003</v>
      </c>
      <c r="BC167" s="25">
        <v>1E-4</v>
      </c>
      <c r="BD167" s="24">
        <v>0</v>
      </c>
      <c r="BE167" s="26">
        <v>0</v>
      </c>
      <c r="BF167" s="34">
        <f t="shared" si="26"/>
        <v>0</v>
      </c>
      <c r="BG167" s="34">
        <f t="shared" si="27"/>
        <v>0</v>
      </c>
      <c r="BH167" s="26">
        <v>0</v>
      </c>
      <c r="BI167" s="26">
        <v>0</v>
      </c>
      <c r="BJ167" s="27">
        <v>0.51900000000000002</v>
      </c>
      <c r="BK167" s="27">
        <v>0.59560936885706506</v>
      </c>
      <c r="BL167" s="27" t="s">
        <v>1850</v>
      </c>
      <c r="BM167" s="27" t="s">
        <v>1851</v>
      </c>
      <c r="BN167" s="26"/>
      <c r="BO167" s="34">
        <v>1</v>
      </c>
      <c r="BP167" s="34"/>
      <c r="BQ167" s="34"/>
      <c r="BR167" s="34"/>
      <c r="BS167" s="34"/>
      <c r="BT167" s="34"/>
      <c r="BU167" s="34"/>
      <c r="BV167" s="34"/>
      <c r="BW167" s="34"/>
      <c r="BX167" s="34"/>
      <c r="BY167" s="34"/>
      <c r="BZ167" s="34"/>
      <c r="CA167" s="20"/>
      <c r="CB167" s="20"/>
      <c r="CC167" s="29">
        <v>45912</v>
      </c>
      <c r="CD167" s="35" t="s">
        <v>1821</v>
      </c>
    </row>
    <row r="168" spans="1:82" s="18" customFormat="1" ht="66.75" customHeight="1" x14ac:dyDescent="0.25">
      <c r="A168" s="87">
        <v>164</v>
      </c>
      <c r="B168" s="141" t="s">
        <v>1852</v>
      </c>
      <c r="C168" s="6" t="s">
        <v>1853</v>
      </c>
      <c r="D168" s="6" t="s">
        <v>1854</v>
      </c>
      <c r="E168" s="75" t="s">
        <v>113</v>
      </c>
      <c r="F168" s="4" t="s">
        <v>81</v>
      </c>
      <c r="G168" s="33">
        <v>39</v>
      </c>
      <c r="H168" s="49" t="s">
        <v>775</v>
      </c>
      <c r="I168" s="49" t="s">
        <v>1700</v>
      </c>
      <c r="J168" s="6"/>
      <c r="K168" s="49"/>
      <c r="L168" s="49"/>
      <c r="M168" s="49" t="s">
        <v>136</v>
      </c>
      <c r="N168" s="49" t="s">
        <v>245</v>
      </c>
      <c r="O168" s="49" t="s">
        <v>246</v>
      </c>
      <c r="P168" s="6" t="s">
        <v>1841</v>
      </c>
      <c r="Q168" s="49"/>
      <c r="R168" s="75" t="s">
        <v>91</v>
      </c>
      <c r="S168" s="33" t="s">
        <v>92</v>
      </c>
      <c r="T168" s="33" t="s">
        <v>93</v>
      </c>
      <c r="U168" s="78">
        <v>100</v>
      </c>
      <c r="V168" s="33" t="s">
        <v>94</v>
      </c>
      <c r="W168" s="33" t="s">
        <v>95</v>
      </c>
      <c r="X168" s="33">
        <v>2023</v>
      </c>
      <c r="Y168" s="33" t="s">
        <v>117</v>
      </c>
      <c r="Z168" s="33" t="s">
        <v>97</v>
      </c>
      <c r="AA168" s="33" t="s">
        <v>98</v>
      </c>
      <c r="AB168" s="49" t="s">
        <v>99</v>
      </c>
      <c r="AC168" s="48" t="s">
        <v>1855</v>
      </c>
      <c r="AD168" s="48" t="s">
        <v>1843</v>
      </c>
      <c r="AE168" s="6" t="s">
        <v>1856</v>
      </c>
      <c r="AF168" s="6" t="s">
        <v>1845</v>
      </c>
      <c r="AG168" s="6" t="s">
        <v>1600</v>
      </c>
      <c r="AH168" s="49" t="s">
        <v>1600</v>
      </c>
      <c r="AI168" s="6" t="s">
        <v>1846</v>
      </c>
      <c r="AJ168" s="6" t="s">
        <v>1847</v>
      </c>
      <c r="AK168" s="33" t="s">
        <v>97</v>
      </c>
      <c r="AL168" s="33" t="s">
        <v>97</v>
      </c>
      <c r="AM168" s="5"/>
      <c r="AN168" s="5"/>
      <c r="AO168" s="5" t="s">
        <v>1857</v>
      </c>
      <c r="AP168" s="5" t="s">
        <v>1849</v>
      </c>
      <c r="AQ168" s="6" t="s">
        <v>1818</v>
      </c>
      <c r="AR168" s="20" t="s">
        <v>97</v>
      </c>
      <c r="AS168" s="20" t="s">
        <v>107</v>
      </c>
      <c r="AT168" s="20"/>
      <c r="AU168" s="24">
        <v>0.33</v>
      </c>
      <c r="AV168" s="24">
        <f t="shared" si="30"/>
        <v>0.26400000000000001</v>
      </c>
      <c r="AW168" s="24">
        <f t="shared" si="31"/>
        <v>0.19800000000000001</v>
      </c>
      <c r="AX168" s="25">
        <v>1E-4</v>
      </c>
      <c r="AY168" s="24">
        <v>0</v>
      </c>
      <c r="AZ168" s="24">
        <f t="shared" si="32"/>
        <v>0.29700000000000004</v>
      </c>
      <c r="BA168" s="24">
        <f t="shared" si="33"/>
        <v>0.23760000000000003</v>
      </c>
      <c r="BB168" s="24">
        <f t="shared" si="34"/>
        <v>0.17820000000000003</v>
      </c>
      <c r="BC168" s="25">
        <v>1E-4</v>
      </c>
      <c r="BD168" s="24">
        <v>0</v>
      </c>
      <c r="BE168" s="26">
        <v>0</v>
      </c>
      <c r="BF168" s="34">
        <f t="shared" si="26"/>
        <v>0</v>
      </c>
      <c r="BG168" s="34">
        <f t="shared" si="27"/>
        <v>0</v>
      </c>
      <c r="BH168" s="26">
        <v>0</v>
      </c>
      <c r="BI168" s="26">
        <v>0</v>
      </c>
      <c r="BJ168" s="27">
        <v>0.29199999999999998</v>
      </c>
      <c r="BK168" s="27">
        <v>0.23756832916285583</v>
      </c>
      <c r="BL168" s="27" t="s">
        <v>1858</v>
      </c>
      <c r="BM168" s="27" t="s">
        <v>1859</v>
      </c>
      <c r="BN168" s="26"/>
      <c r="BO168" s="34">
        <v>1</v>
      </c>
      <c r="BP168" s="34"/>
      <c r="BQ168" s="34"/>
      <c r="BR168" s="34"/>
      <c r="BS168" s="34"/>
      <c r="BT168" s="34"/>
      <c r="BU168" s="34"/>
      <c r="BV168" s="34"/>
      <c r="BW168" s="34"/>
      <c r="BX168" s="34"/>
      <c r="BY168" s="34"/>
      <c r="BZ168" s="34"/>
      <c r="CA168" s="20"/>
      <c r="CB168" s="20"/>
      <c r="CC168" s="29">
        <v>45912</v>
      </c>
      <c r="CD168" s="35" t="s">
        <v>1821</v>
      </c>
    </row>
    <row r="169" spans="1:82" s="18" customFormat="1" ht="66.75" customHeight="1" x14ac:dyDescent="0.25">
      <c r="A169" s="121">
        <v>165</v>
      </c>
      <c r="B169" s="141" t="s">
        <v>1860</v>
      </c>
      <c r="C169" s="6" t="s">
        <v>1861</v>
      </c>
      <c r="D169" s="6" t="s">
        <v>1862</v>
      </c>
      <c r="E169" s="75" t="s">
        <v>113</v>
      </c>
      <c r="F169" s="4" t="s">
        <v>81</v>
      </c>
      <c r="G169" s="33">
        <v>40</v>
      </c>
      <c r="H169" s="49" t="s">
        <v>775</v>
      </c>
      <c r="I169" s="49" t="s">
        <v>1700</v>
      </c>
      <c r="J169" s="6"/>
      <c r="K169" s="49"/>
      <c r="L169" s="49"/>
      <c r="M169" s="49" t="s">
        <v>136</v>
      </c>
      <c r="N169" s="49" t="s">
        <v>245</v>
      </c>
      <c r="O169" s="49" t="s">
        <v>246</v>
      </c>
      <c r="P169" s="6" t="s">
        <v>1841</v>
      </c>
      <c r="Q169" s="49"/>
      <c r="R169" s="75" t="s">
        <v>91</v>
      </c>
      <c r="S169" s="33" t="s">
        <v>92</v>
      </c>
      <c r="T169" s="33" t="s">
        <v>93</v>
      </c>
      <c r="U169" s="78">
        <v>100</v>
      </c>
      <c r="V169" s="33" t="s">
        <v>94</v>
      </c>
      <c r="W169" s="33" t="s">
        <v>95</v>
      </c>
      <c r="X169" s="33">
        <v>2023</v>
      </c>
      <c r="Y169" s="33" t="s">
        <v>117</v>
      </c>
      <c r="Z169" s="33" t="s">
        <v>97</v>
      </c>
      <c r="AA169" s="33" t="s">
        <v>98</v>
      </c>
      <c r="AB169" s="49" t="s">
        <v>99</v>
      </c>
      <c r="AC169" s="48" t="s">
        <v>1863</v>
      </c>
      <c r="AD169" s="48" t="s">
        <v>1843</v>
      </c>
      <c r="AE169" s="6" t="s">
        <v>1864</v>
      </c>
      <c r="AF169" s="6" t="s">
        <v>1845</v>
      </c>
      <c r="AG169" s="49" t="s">
        <v>1600</v>
      </c>
      <c r="AH169" s="49" t="s">
        <v>1600</v>
      </c>
      <c r="AI169" s="6" t="s">
        <v>1846</v>
      </c>
      <c r="AJ169" s="6" t="s">
        <v>1847</v>
      </c>
      <c r="AK169" s="33" t="s">
        <v>97</v>
      </c>
      <c r="AL169" s="33" t="s">
        <v>97</v>
      </c>
      <c r="AM169" s="5"/>
      <c r="AN169" s="5"/>
      <c r="AO169" s="5" t="s">
        <v>1865</v>
      </c>
      <c r="AP169" s="5" t="s">
        <v>1866</v>
      </c>
      <c r="AQ169" s="6" t="s">
        <v>1818</v>
      </c>
      <c r="AR169" s="20" t="s">
        <v>97</v>
      </c>
      <c r="AS169" s="20" t="s">
        <v>107</v>
      </c>
      <c r="AT169" s="20"/>
      <c r="AU169" s="24">
        <v>0.33</v>
      </c>
      <c r="AV169" s="24">
        <f t="shared" si="30"/>
        <v>0.26400000000000001</v>
      </c>
      <c r="AW169" s="24">
        <f t="shared" si="31"/>
        <v>0.19800000000000001</v>
      </c>
      <c r="AX169" s="25">
        <v>1E-4</v>
      </c>
      <c r="AY169" s="24">
        <v>0</v>
      </c>
      <c r="AZ169" s="24">
        <f t="shared" si="32"/>
        <v>0.29700000000000004</v>
      </c>
      <c r="BA169" s="24">
        <f t="shared" si="33"/>
        <v>0.23760000000000003</v>
      </c>
      <c r="BB169" s="24">
        <f t="shared" si="34"/>
        <v>0.17820000000000003</v>
      </c>
      <c r="BC169" s="25">
        <v>1E-4</v>
      </c>
      <c r="BD169" s="24">
        <v>0</v>
      </c>
      <c r="BE169" s="26">
        <v>0</v>
      </c>
      <c r="BF169" s="34">
        <f t="shared" si="26"/>
        <v>0</v>
      </c>
      <c r="BG169" s="34">
        <f t="shared" si="27"/>
        <v>0</v>
      </c>
      <c r="BH169" s="26">
        <v>0</v>
      </c>
      <c r="BI169" s="26">
        <v>0</v>
      </c>
      <c r="BJ169" s="27">
        <v>0.187</v>
      </c>
      <c r="BK169" s="27">
        <v>0.16682230198007914</v>
      </c>
      <c r="BL169" s="27" t="s">
        <v>1867</v>
      </c>
      <c r="BM169" s="27" t="s">
        <v>1868</v>
      </c>
      <c r="BN169" s="26"/>
      <c r="BO169" s="34">
        <v>1</v>
      </c>
      <c r="BP169" s="34"/>
      <c r="BQ169" s="34"/>
      <c r="BR169" s="34"/>
      <c r="BS169" s="34"/>
      <c r="BT169" s="34"/>
      <c r="BU169" s="34"/>
      <c r="BV169" s="34"/>
      <c r="BW169" s="34"/>
      <c r="BX169" s="34"/>
      <c r="BY169" s="34"/>
      <c r="BZ169" s="34"/>
      <c r="CA169" s="20"/>
      <c r="CB169" s="20"/>
      <c r="CC169" s="29">
        <v>45912</v>
      </c>
      <c r="CD169" s="35" t="s">
        <v>1821</v>
      </c>
    </row>
    <row r="170" spans="1:82" s="18" customFormat="1" ht="66.75" customHeight="1" x14ac:dyDescent="0.25">
      <c r="A170" s="87">
        <v>166</v>
      </c>
      <c r="B170" s="141" t="s">
        <v>1869</v>
      </c>
      <c r="C170" s="6" t="s">
        <v>1870</v>
      </c>
      <c r="D170" s="6" t="s">
        <v>1871</v>
      </c>
      <c r="E170" s="75" t="s">
        <v>174</v>
      </c>
      <c r="F170" s="4" t="s">
        <v>81</v>
      </c>
      <c r="G170" s="33" t="s">
        <v>84</v>
      </c>
      <c r="H170" s="49" t="s">
        <v>775</v>
      </c>
      <c r="I170" s="49" t="s">
        <v>1700</v>
      </c>
      <c r="J170" s="6" t="s">
        <v>115</v>
      </c>
      <c r="K170" s="49"/>
      <c r="L170" s="49"/>
      <c r="M170" s="49" t="s">
        <v>88</v>
      </c>
      <c r="N170" s="49" t="s">
        <v>89</v>
      </c>
      <c r="O170" s="49" t="s">
        <v>246</v>
      </c>
      <c r="P170" s="6" t="s">
        <v>1872</v>
      </c>
      <c r="Q170" s="49"/>
      <c r="R170" s="75" t="s">
        <v>91</v>
      </c>
      <c r="S170" s="33" t="s">
        <v>92</v>
      </c>
      <c r="T170" s="33" t="s">
        <v>93</v>
      </c>
      <c r="U170" s="78">
        <v>100</v>
      </c>
      <c r="V170" s="33" t="s">
        <v>94</v>
      </c>
      <c r="W170" s="33" t="s">
        <v>95</v>
      </c>
      <c r="X170" s="33">
        <v>2023</v>
      </c>
      <c r="Y170" s="33" t="s">
        <v>117</v>
      </c>
      <c r="Z170" s="33" t="s">
        <v>97</v>
      </c>
      <c r="AA170" s="33" t="s">
        <v>98</v>
      </c>
      <c r="AB170" s="49" t="s">
        <v>99</v>
      </c>
      <c r="AC170" s="48" t="s">
        <v>1873</v>
      </c>
      <c r="AD170" s="79" t="s">
        <v>1874</v>
      </c>
      <c r="AE170" s="6" t="s">
        <v>1875</v>
      </c>
      <c r="AF170" s="6" t="s">
        <v>1876</v>
      </c>
      <c r="AG170" s="6" t="s">
        <v>1042</v>
      </c>
      <c r="AH170" s="6" t="s">
        <v>1877</v>
      </c>
      <c r="AI170" s="6" t="s">
        <v>1878</v>
      </c>
      <c r="AJ170" s="6" t="s">
        <v>1879</v>
      </c>
      <c r="AK170" s="33" t="s">
        <v>97</v>
      </c>
      <c r="AL170" s="33" t="s">
        <v>97</v>
      </c>
      <c r="AM170" s="5" t="s">
        <v>1880</v>
      </c>
      <c r="AN170" s="5"/>
      <c r="AO170" s="5" t="s">
        <v>1881</v>
      </c>
      <c r="AP170" s="5" t="s">
        <v>1882</v>
      </c>
      <c r="AQ170" s="6" t="s">
        <v>1883</v>
      </c>
      <c r="AR170" s="20" t="s">
        <v>97</v>
      </c>
      <c r="AS170" s="20" t="s">
        <v>107</v>
      </c>
      <c r="AT170" s="20"/>
      <c r="AU170" s="24">
        <v>0.3</v>
      </c>
      <c r="AV170" s="24">
        <f t="shared" si="30"/>
        <v>0.24</v>
      </c>
      <c r="AW170" s="24">
        <f t="shared" si="31"/>
        <v>0.18</v>
      </c>
      <c r="AX170" s="25">
        <v>1E-4</v>
      </c>
      <c r="AY170" s="24">
        <v>0</v>
      </c>
      <c r="AZ170" s="24">
        <f t="shared" si="32"/>
        <v>0.27</v>
      </c>
      <c r="BA170" s="24">
        <f t="shared" si="33"/>
        <v>0.21600000000000003</v>
      </c>
      <c r="BB170" s="24">
        <f t="shared" si="34"/>
        <v>0.16200000000000001</v>
      </c>
      <c r="BC170" s="25">
        <v>1E-4</v>
      </c>
      <c r="BD170" s="24">
        <v>0</v>
      </c>
      <c r="BE170" s="34">
        <v>5</v>
      </c>
      <c r="BF170" s="34">
        <f t="shared" si="26"/>
        <v>4</v>
      </c>
      <c r="BG170" s="34">
        <f t="shared" si="27"/>
        <v>3</v>
      </c>
      <c r="BH170" s="26">
        <v>1</v>
      </c>
      <c r="BI170" s="26">
        <v>0</v>
      </c>
      <c r="BJ170" s="27" t="s">
        <v>496</v>
      </c>
      <c r="BK170" s="27">
        <v>0.25652287234896987</v>
      </c>
      <c r="BL170" s="27" t="s">
        <v>1884</v>
      </c>
      <c r="BM170" s="27" t="s">
        <v>1885</v>
      </c>
      <c r="BN170" s="26"/>
      <c r="BO170" s="34"/>
      <c r="BP170" s="34"/>
      <c r="BQ170" s="34"/>
      <c r="BR170" s="34"/>
      <c r="BS170" s="34"/>
      <c r="BT170" s="34"/>
      <c r="BU170" s="34"/>
      <c r="BV170" s="34"/>
      <c r="BW170" s="34"/>
      <c r="BX170" s="34"/>
      <c r="BY170" s="34"/>
      <c r="BZ170" s="34">
        <v>1</v>
      </c>
      <c r="CA170" s="20" t="s">
        <v>1700</v>
      </c>
      <c r="CB170" s="2" t="s">
        <v>1700</v>
      </c>
      <c r="CC170" s="29">
        <v>45912</v>
      </c>
      <c r="CD170" s="30" t="s">
        <v>1886</v>
      </c>
    </row>
    <row r="171" spans="1:82" s="18" customFormat="1" ht="66.75" customHeight="1" x14ac:dyDescent="0.25">
      <c r="A171" s="87">
        <v>167</v>
      </c>
      <c r="B171" s="141" t="s">
        <v>1887</v>
      </c>
      <c r="C171" s="6" t="s">
        <v>1888</v>
      </c>
      <c r="D171" s="6" t="s">
        <v>1889</v>
      </c>
      <c r="E171" s="75" t="s">
        <v>113</v>
      </c>
      <c r="F171" s="4" t="s">
        <v>81</v>
      </c>
      <c r="G171" s="33">
        <v>55</v>
      </c>
      <c r="H171" s="49" t="s">
        <v>775</v>
      </c>
      <c r="I171" s="49" t="s">
        <v>1700</v>
      </c>
      <c r="J171" s="6"/>
      <c r="K171" s="49"/>
      <c r="L171" s="49"/>
      <c r="M171" s="49" t="s">
        <v>136</v>
      </c>
      <c r="N171" s="49" t="s">
        <v>245</v>
      </c>
      <c r="O171" s="49" t="s">
        <v>246</v>
      </c>
      <c r="P171" s="6" t="s">
        <v>1872</v>
      </c>
      <c r="Q171" s="49"/>
      <c r="R171" s="75" t="s">
        <v>91</v>
      </c>
      <c r="S171" s="33" t="s">
        <v>92</v>
      </c>
      <c r="T171" s="33" t="s">
        <v>93</v>
      </c>
      <c r="U171" s="78">
        <v>100</v>
      </c>
      <c r="V171" s="33" t="s">
        <v>94</v>
      </c>
      <c r="W171" s="33" t="s">
        <v>95</v>
      </c>
      <c r="X171" s="33">
        <v>2023</v>
      </c>
      <c r="Y171" s="33" t="s">
        <v>117</v>
      </c>
      <c r="Z171" s="33" t="s">
        <v>97</v>
      </c>
      <c r="AA171" s="33" t="s">
        <v>98</v>
      </c>
      <c r="AB171" s="49" t="s">
        <v>99</v>
      </c>
      <c r="AC171" s="48" t="s">
        <v>1890</v>
      </c>
      <c r="AD171" s="48" t="s">
        <v>1891</v>
      </c>
      <c r="AE171" s="6" t="s">
        <v>1892</v>
      </c>
      <c r="AF171" s="6" t="s">
        <v>1893</v>
      </c>
      <c r="AG171" s="6" t="s">
        <v>218</v>
      </c>
      <c r="AH171" s="49" t="s">
        <v>1894</v>
      </c>
      <c r="AI171" s="6" t="s">
        <v>1895</v>
      </c>
      <c r="AJ171" s="6" t="s">
        <v>1896</v>
      </c>
      <c r="AK171" s="33" t="s">
        <v>97</v>
      </c>
      <c r="AL171" s="33" t="s">
        <v>97</v>
      </c>
      <c r="AM171" s="5" t="s">
        <v>1897</v>
      </c>
      <c r="AN171" s="5" t="s">
        <v>1898</v>
      </c>
      <c r="AO171" s="5" t="s">
        <v>1899</v>
      </c>
      <c r="AP171" s="5" t="s">
        <v>1900</v>
      </c>
      <c r="AQ171" s="6" t="s">
        <v>1901</v>
      </c>
      <c r="AR171" s="20" t="s">
        <v>97</v>
      </c>
      <c r="AS171" s="20" t="s">
        <v>107</v>
      </c>
      <c r="AT171" s="20"/>
      <c r="AU171" s="24" t="s">
        <v>1902</v>
      </c>
      <c r="AV171" s="24"/>
      <c r="AW171" s="24"/>
      <c r="AX171" s="25"/>
      <c r="AY171" s="24">
        <v>0</v>
      </c>
      <c r="AZ171" s="24" t="s">
        <v>1902</v>
      </c>
      <c r="BA171" s="24"/>
      <c r="BB171" s="24"/>
      <c r="BC171" s="25" t="s">
        <v>1903</v>
      </c>
      <c r="BD171" s="24"/>
      <c r="BE171" s="26">
        <v>0</v>
      </c>
      <c r="BF171" s="34">
        <f t="shared" si="26"/>
        <v>0</v>
      </c>
      <c r="BG171" s="34">
        <f t="shared" si="27"/>
        <v>0</v>
      </c>
      <c r="BH171" s="26">
        <v>0</v>
      </c>
      <c r="BI171" s="26">
        <v>0</v>
      </c>
      <c r="BJ171" s="27">
        <v>0.28399999999999997</v>
      </c>
      <c r="BK171" s="27">
        <v>5.0931969219049529E-2</v>
      </c>
      <c r="BL171" s="27" t="s">
        <v>1904</v>
      </c>
      <c r="BM171" s="27" t="s">
        <v>1905</v>
      </c>
      <c r="BN171" s="26"/>
      <c r="BO171" s="34">
        <v>1</v>
      </c>
      <c r="BP171" s="34"/>
      <c r="BQ171" s="34"/>
      <c r="BR171" s="34"/>
      <c r="BS171" s="34"/>
      <c r="BT171" s="34"/>
      <c r="BU171" s="34"/>
      <c r="BV171" s="34"/>
      <c r="BW171" s="34"/>
      <c r="BX171" s="34"/>
      <c r="BY171" s="34"/>
      <c r="BZ171" s="34"/>
      <c r="CA171" s="20"/>
      <c r="CB171" s="20"/>
      <c r="CC171" s="29">
        <v>46003</v>
      </c>
      <c r="CD171" s="35" t="s">
        <v>1906</v>
      </c>
    </row>
    <row r="172" spans="1:82" s="18" customFormat="1" ht="66.75" customHeight="1" x14ac:dyDescent="0.25">
      <c r="A172" s="121">
        <v>168</v>
      </c>
      <c r="B172" s="141" t="s">
        <v>1907</v>
      </c>
      <c r="C172" s="6" t="s">
        <v>1908</v>
      </c>
      <c r="D172" s="6" t="s">
        <v>1909</v>
      </c>
      <c r="E172" s="75" t="s">
        <v>113</v>
      </c>
      <c r="F172" s="4" t="s">
        <v>81</v>
      </c>
      <c r="G172" s="33" t="s">
        <v>84</v>
      </c>
      <c r="H172" s="49" t="s">
        <v>775</v>
      </c>
      <c r="I172" s="49" t="s">
        <v>1700</v>
      </c>
      <c r="J172" s="6"/>
      <c r="K172" s="49"/>
      <c r="L172" s="49"/>
      <c r="M172" s="49" t="s">
        <v>88</v>
      </c>
      <c r="N172" s="49" t="s">
        <v>245</v>
      </c>
      <c r="O172" s="49" t="s">
        <v>246</v>
      </c>
      <c r="P172" s="6" t="s">
        <v>1872</v>
      </c>
      <c r="Q172" s="49"/>
      <c r="R172" s="75" t="s">
        <v>91</v>
      </c>
      <c r="S172" s="33" t="s">
        <v>92</v>
      </c>
      <c r="T172" s="33" t="s">
        <v>93</v>
      </c>
      <c r="U172" s="78">
        <v>100</v>
      </c>
      <c r="V172" s="33" t="s">
        <v>94</v>
      </c>
      <c r="W172" s="33" t="s">
        <v>95</v>
      </c>
      <c r="X172" s="33">
        <v>2023</v>
      </c>
      <c r="Y172" s="33" t="s">
        <v>117</v>
      </c>
      <c r="Z172" s="33" t="s">
        <v>97</v>
      </c>
      <c r="AA172" s="33" t="s">
        <v>98</v>
      </c>
      <c r="AB172" s="49" t="s">
        <v>99</v>
      </c>
      <c r="AC172" s="48" t="s">
        <v>1910</v>
      </c>
      <c r="AD172" s="48" t="s">
        <v>1911</v>
      </c>
      <c r="AE172" s="6" t="s">
        <v>1912</v>
      </c>
      <c r="AF172" s="6" t="s">
        <v>121</v>
      </c>
      <c r="AG172" s="6" t="s">
        <v>218</v>
      </c>
      <c r="AH172" s="49" t="s">
        <v>1894</v>
      </c>
      <c r="AI172" s="6" t="s">
        <v>1913</v>
      </c>
      <c r="AJ172" s="6" t="s">
        <v>1911</v>
      </c>
      <c r="AK172" s="33" t="s">
        <v>97</v>
      </c>
      <c r="AL172" s="33" t="s">
        <v>97</v>
      </c>
      <c r="AM172" s="5"/>
      <c r="AN172" s="5" t="s">
        <v>1898</v>
      </c>
      <c r="AO172" s="5" t="s">
        <v>1914</v>
      </c>
      <c r="AP172" s="5" t="s">
        <v>1915</v>
      </c>
      <c r="AQ172" s="6" t="s">
        <v>1916</v>
      </c>
      <c r="AR172" s="20" t="s">
        <v>97</v>
      </c>
      <c r="AS172" s="20" t="s">
        <v>107</v>
      </c>
      <c r="AT172" s="20"/>
      <c r="AU172" s="24" t="s">
        <v>1917</v>
      </c>
      <c r="AV172" s="24"/>
      <c r="AW172" s="24"/>
      <c r="AX172" s="25"/>
      <c r="AY172" s="24">
        <v>0</v>
      </c>
      <c r="AZ172" s="24" t="s">
        <v>1917</v>
      </c>
      <c r="BA172" s="24"/>
      <c r="BB172" s="24"/>
      <c r="BC172" s="25" t="s">
        <v>1918</v>
      </c>
      <c r="BD172" s="24"/>
      <c r="BE172" s="26">
        <v>0</v>
      </c>
      <c r="BF172" s="34">
        <f t="shared" si="26"/>
        <v>0</v>
      </c>
      <c r="BG172" s="34">
        <f t="shared" si="27"/>
        <v>0</v>
      </c>
      <c r="BH172" s="26">
        <v>0</v>
      </c>
      <c r="BI172" s="26">
        <v>0</v>
      </c>
      <c r="BJ172" s="27">
        <v>0.12</v>
      </c>
      <c r="BK172" s="27">
        <v>5.866409617971096E-2</v>
      </c>
      <c r="BL172" s="27" t="s">
        <v>1919</v>
      </c>
      <c r="BM172" s="27" t="s">
        <v>1920</v>
      </c>
      <c r="BN172" s="26"/>
      <c r="BO172" s="34"/>
      <c r="BP172" s="34"/>
      <c r="BQ172" s="34"/>
      <c r="BR172" s="34"/>
      <c r="BS172" s="34"/>
      <c r="BT172" s="34"/>
      <c r="BU172" s="34"/>
      <c r="BV172" s="34"/>
      <c r="BW172" s="34"/>
      <c r="BX172" s="34"/>
      <c r="BY172" s="34"/>
      <c r="BZ172" s="34"/>
      <c r="CA172" s="20"/>
      <c r="CB172" s="20"/>
      <c r="CC172" s="29">
        <v>46003</v>
      </c>
      <c r="CD172" s="35" t="s">
        <v>1921</v>
      </c>
    </row>
    <row r="173" spans="1:82" s="18" customFormat="1" ht="66.75" customHeight="1" x14ac:dyDescent="0.25">
      <c r="A173" s="87">
        <v>169</v>
      </c>
      <c r="B173" s="141" t="s">
        <v>1922</v>
      </c>
      <c r="C173" s="6" t="s">
        <v>1923</v>
      </c>
      <c r="D173" s="6" t="s">
        <v>1924</v>
      </c>
      <c r="E173" s="75" t="s">
        <v>113</v>
      </c>
      <c r="F173" s="4" t="s">
        <v>81</v>
      </c>
      <c r="G173" s="33" t="s">
        <v>84</v>
      </c>
      <c r="H173" s="49" t="s">
        <v>775</v>
      </c>
      <c r="I173" s="49" t="s">
        <v>1700</v>
      </c>
      <c r="J173" s="6"/>
      <c r="K173" s="49"/>
      <c r="L173" s="49"/>
      <c r="M173" s="49" t="s">
        <v>88</v>
      </c>
      <c r="N173" s="49" t="s">
        <v>245</v>
      </c>
      <c r="O173" s="49" t="s">
        <v>246</v>
      </c>
      <c r="P173" s="6" t="s">
        <v>1872</v>
      </c>
      <c r="Q173" s="49"/>
      <c r="R173" s="75" t="s">
        <v>91</v>
      </c>
      <c r="S173" s="33" t="s">
        <v>92</v>
      </c>
      <c r="T173" s="33" t="s">
        <v>93</v>
      </c>
      <c r="U173" s="78">
        <v>100</v>
      </c>
      <c r="V173" s="33" t="s">
        <v>94</v>
      </c>
      <c r="W173" s="33" t="s">
        <v>95</v>
      </c>
      <c r="X173" s="33">
        <v>2023</v>
      </c>
      <c r="Y173" s="33" t="s">
        <v>117</v>
      </c>
      <c r="Z173" s="33" t="s">
        <v>97</v>
      </c>
      <c r="AA173" s="33" t="s">
        <v>973</v>
      </c>
      <c r="AB173" s="49" t="s">
        <v>99</v>
      </c>
      <c r="AC173" s="48" t="s">
        <v>1925</v>
      </c>
      <c r="AD173" s="48" t="s">
        <v>1926</v>
      </c>
      <c r="AE173" s="6" t="s">
        <v>1912</v>
      </c>
      <c r="AF173" s="6" t="s">
        <v>121</v>
      </c>
      <c r="AG173" s="6" t="s">
        <v>218</v>
      </c>
      <c r="AH173" s="49" t="s">
        <v>1894</v>
      </c>
      <c r="AI173" s="6" t="s">
        <v>1913</v>
      </c>
      <c r="AJ173" s="6" t="s">
        <v>1926</v>
      </c>
      <c r="AK173" s="33" t="s">
        <v>97</v>
      </c>
      <c r="AL173" s="33" t="s">
        <v>97</v>
      </c>
      <c r="AM173" s="5"/>
      <c r="AN173" s="5" t="s">
        <v>1898</v>
      </c>
      <c r="AO173" s="5" t="s">
        <v>1927</v>
      </c>
      <c r="AP173" s="5" t="s">
        <v>1928</v>
      </c>
      <c r="AQ173" s="6" t="s">
        <v>1916</v>
      </c>
      <c r="AR173" s="20" t="s">
        <v>97</v>
      </c>
      <c r="AS173" s="20" t="s">
        <v>107</v>
      </c>
      <c r="AT173" s="20"/>
      <c r="AU173" s="24" t="s">
        <v>1917</v>
      </c>
      <c r="AV173" s="24"/>
      <c r="AW173" s="24"/>
      <c r="AX173" s="25"/>
      <c r="AY173" s="24">
        <v>0</v>
      </c>
      <c r="AZ173" s="24" t="s">
        <v>1929</v>
      </c>
      <c r="BA173" s="24"/>
      <c r="BB173" s="24"/>
      <c r="BC173" s="25" t="s">
        <v>1930</v>
      </c>
      <c r="BD173" s="24"/>
      <c r="BE173" s="26">
        <v>0</v>
      </c>
      <c r="BF173" s="34">
        <f t="shared" si="26"/>
        <v>0</v>
      </c>
      <c r="BG173" s="34">
        <f t="shared" si="27"/>
        <v>0</v>
      </c>
      <c r="BH173" s="26">
        <v>0</v>
      </c>
      <c r="BI173" s="26">
        <v>0</v>
      </c>
      <c r="BJ173" s="27" t="s">
        <v>496</v>
      </c>
      <c r="BK173" s="27">
        <v>5.6050336649165429E-2</v>
      </c>
      <c r="BL173" s="27" t="s">
        <v>1931</v>
      </c>
      <c r="BM173" s="27" t="s">
        <v>1932</v>
      </c>
      <c r="BN173" s="26"/>
      <c r="BO173" s="34"/>
      <c r="BP173" s="34"/>
      <c r="BQ173" s="34"/>
      <c r="BR173" s="34"/>
      <c r="BS173" s="34"/>
      <c r="BT173" s="34"/>
      <c r="BU173" s="34"/>
      <c r="BV173" s="34"/>
      <c r="BW173" s="34"/>
      <c r="BX173" s="34"/>
      <c r="BY173" s="34"/>
      <c r="BZ173" s="34"/>
      <c r="CA173" s="20"/>
      <c r="CB173" s="20"/>
      <c r="CC173" s="29">
        <v>46003</v>
      </c>
      <c r="CD173" s="35" t="s">
        <v>1906</v>
      </c>
    </row>
    <row r="174" spans="1:82" s="18" customFormat="1" ht="66.75" customHeight="1" x14ac:dyDescent="0.25">
      <c r="A174" s="87">
        <v>170</v>
      </c>
      <c r="B174" s="141" t="s">
        <v>1933</v>
      </c>
      <c r="C174" s="6" t="s">
        <v>1934</v>
      </c>
      <c r="D174" s="6" t="s">
        <v>1935</v>
      </c>
      <c r="E174" s="75" t="s">
        <v>113</v>
      </c>
      <c r="F174" s="4" t="s">
        <v>81</v>
      </c>
      <c r="G174" s="33" t="s">
        <v>84</v>
      </c>
      <c r="H174" s="49" t="s">
        <v>775</v>
      </c>
      <c r="I174" s="49" t="s">
        <v>1700</v>
      </c>
      <c r="J174" s="6"/>
      <c r="K174" s="49"/>
      <c r="L174" s="49"/>
      <c r="M174" s="49" t="s">
        <v>88</v>
      </c>
      <c r="N174" s="49" t="s">
        <v>245</v>
      </c>
      <c r="O174" s="49" t="s">
        <v>246</v>
      </c>
      <c r="P174" s="6" t="s">
        <v>1872</v>
      </c>
      <c r="Q174" s="49"/>
      <c r="R174" s="75" t="s">
        <v>91</v>
      </c>
      <c r="S174" s="33" t="s">
        <v>92</v>
      </c>
      <c r="T174" s="33" t="s">
        <v>93</v>
      </c>
      <c r="U174" s="78">
        <v>100</v>
      </c>
      <c r="V174" s="33" t="s">
        <v>94</v>
      </c>
      <c r="W174" s="33" t="s">
        <v>95</v>
      </c>
      <c r="X174" s="33">
        <v>2023</v>
      </c>
      <c r="Y174" s="33" t="s">
        <v>117</v>
      </c>
      <c r="Z174" s="33" t="s">
        <v>97</v>
      </c>
      <c r="AA174" s="33" t="s">
        <v>1011</v>
      </c>
      <c r="AB174" s="49" t="s">
        <v>99</v>
      </c>
      <c r="AC174" s="48" t="s">
        <v>1936</v>
      </c>
      <c r="AD174" s="48" t="s">
        <v>1937</v>
      </c>
      <c r="AE174" s="6" t="s">
        <v>1938</v>
      </c>
      <c r="AF174" s="6" t="s">
        <v>121</v>
      </c>
      <c r="AG174" s="6" t="s">
        <v>218</v>
      </c>
      <c r="AH174" s="49" t="s">
        <v>1894</v>
      </c>
      <c r="AI174" s="6" t="s">
        <v>1913</v>
      </c>
      <c r="AJ174" s="6" t="s">
        <v>1937</v>
      </c>
      <c r="AK174" s="33" t="s">
        <v>97</v>
      </c>
      <c r="AL174" s="33" t="s">
        <v>97</v>
      </c>
      <c r="AM174" s="5"/>
      <c r="AN174" s="5" t="s">
        <v>1898</v>
      </c>
      <c r="AO174" s="5" t="s">
        <v>1939</v>
      </c>
      <c r="AP174" s="5" t="s">
        <v>1940</v>
      </c>
      <c r="AQ174" s="6" t="s">
        <v>1916</v>
      </c>
      <c r="AR174" s="20" t="s">
        <v>97</v>
      </c>
      <c r="AS174" s="20" t="s">
        <v>107</v>
      </c>
      <c r="AT174" s="20"/>
      <c r="AU174" s="24" t="s">
        <v>1917</v>
      </c>
      <c r="AV174" s="24"/>
      <c r="AW174" s="24"/>
      <c r="AX174" s="25"/>
      <c r="AY174" s="24">
        <v>0</v>
      </c>
      <c r="AZ174" s="24" t="s">
        <v>1941</v>
      </c>
      <c r="BA174" s="24"/>
      <c r="BB174" s="24"/>
      <c r="BC174" s="25" t="s">
        <v>1942</v>
      </c>
      <c r="BD174" s="24"/>
      <c r="BE174" s="26">
        <v>0</v>
      </c>
      <c r="BF174" s="34">
        <f t="shared" si="26"/>
        <v>0</v>
      </c>
      <c r="BG174" s="34">
        <f t="shared" si="27"/>
        <v>0</v>
      </c>
      <c r="BH174" s="26">
        <v>0</v>
      </c>
      <c r="BI174" s="26">
        <v>0</v>
      </c>
      <c r="BJ174" s="27" t="s">
        <v>496</v>
      </c>
      <c r="BK174" s="27">
        <v>6.1443291298469239E-2</v>
      </c>
      <c r="BL174" s="27" t="s">
        <v>1943</v>
      </c>
      <c r="BM174" s="27" t="s">
        <v>1944</v>
      </c>
      <c r="BN174" s="26"/>
      <c r="BO174" s="34"/>
      <c r="BP174" s="34"/>
      <c r="BQ174" s="34"/>
      <c r="BR174" s="34"/>
      <c r="BS174" s="34"/>
      <c r="BT174" s="34"/>
      <c r="BU174" s="34"/>
      <c r="BV174" s="34"/>
      <c r="BW174" s="34"/>
      <c r="BX174" s="34"/>
      <c r="BY174" s="34"/>
      <c r="BZ174" s="34"/>
      <c r="CA174" s="20"/>
      <c r="CB174" s="20"/>
      <c r="CC174" s="29">
        <v>46003</v>
      </c>
      <c r="CD174" s="35" t="s">
        <v>1906</v>
      </c>
    </row>
    <row r="175" spans="1:82" s="18" customFormat="1" ht="66.75" customHeight="1" x14ac:dyDescent="0.25">
      <c r="A175" s="121">
        <v>171</v>
      </c>
      <c r="B175" s="141" t="s">
        <v>1945</v>
      </c>
      <c r="C175" s="6" t="s">
        <v>1946</v>
      </c>
      <c r="D175" s="6" t="s">
        <v>1947</v>
      </c>
      <c r="E175" s="75" t="s">
        <v>113</v>
      </c>
      <c r="F175" s="4" t="s">
        <v>81</v>
      </c>
      <c r="G175" s="33">
        <v>49</v>
      </c>
      <c r="H175" s="49" t="s">
        <v>775</v>
      </c>
      <c r="I175" s="49" t="s">
        <v>1948</v>
      </c>
      <c r="J175" s="6" t="s">
        <v>115</v>
      </c>
      <c r="K175" s="49"/>
      <c r="L175" s="49"/>
      <c r="M175" s="49" t="s">
        <v>136</v>
      </c>
      <c r="N175" s="49" t="s">
        <v>89</v>
      </c>
      <c r="O175" s="49" t="s">
        <v>116</v>
      </c>
      <c r="P175" s="6" t="s">
        <v>1949</v>
      </c>
      <c r="Q175" s="49"/>
      <c r="R175" s="75" t="s">
        <v>91</v>
      </c>
      <c r="S175" s="33" t="s">
        <v>92</v>
      </c>
      <c r="T175" s="33" t="s">
        <v>93</v>
      </c>
      <c r="U175" s="78">
        <v>100</v>
      </c>
      <c r="V175" s="33" t="s">
        <v>94</v>
      </c>
      <c r="W175" s="33" t="s">
        <v>95</v>
      </c>
      <c r="X175" s="33">
        <v>2021</v>
      </c>
      <c r="Y175" s="33" t="s">
        <v>117</v>
      </c>
      <c r="Z175" s="33" t="s">
        <v>95</v>
      </c>
      <c r="AA175" s="33" t="s">
        <v>98</v>
      </c>
      <c r="AB175" s="49" t="s">
        <v>99</v>
      </c>
      <c r="AC175" s="48" t="s">
        <v>1950</v>
      </c>
      <c r="AD175" s="79" t="s">
        <v>1951</v>
      </c>
      <c r="AE175" s="6" t="s">
        <v>1952</v>
      </c>
      <c r="AF175" s="6" t="s">
        <v>121</v>
      </c>
      <c r="AG175" s="6" t="s">
        <v>1042</v>
      </c>
      <c r="AH175" s="49" t="s">
        <v>123</v>
      </c>
      <c r="AI175" s="6" t="s">
        <v>1953</v>
      </c>
      <c r="AJ175" s="6" t="s">
        <v>1954</v>
      </c>
      <c r="AK175" s="33" t="s">
        <v>97</v>
      </c>
      <c r="AL175" s="33" t="s">
        <v>97</v>
      </c>
      <c r="AM175" s="5" t="s">
        <v>221</v>
      </c>
      <c r="AN175" s="6" t="s">
        <v>1955</v>
      </c>
      <c r="AO175" s="6"/>
      <c r="AP175" s="6"/>
      <c r="AQ175" s="88" t="s">
        <v>1956</v>
      </c>
      <c r="AR175" s="20" t="s">
        <v>97</v>
      </c>
      <c r="AS175" s="20" t="s">
        <v>107</v>
      </c>
      <c r="AT175" s="20"/>
      <c r="AU175" s="24">
        <v>0.41</v>
      </c>
      <c r="AV175" s="24">
        <f t="shared" ref="AV175:AV186" si="35">+AU175*80%</f>
        <v>0.32800000000000001</v>
      </c>
      <c r="AW175" s="24">
        <f t="shared" ref="AW175:AW186" si="36">+AU175*60%</f>
        <v>0.24599999999999997</v>
      </c>
      <c r="AX175" s="25">
        <v>1E-4</v>
      </c>
      <c r="AY175" s="24">
        <v>0</v>
      </c>
      <c r="AZ175" s="24">
        <f t="shared" ref="AZ175:AZ186" si="37">+AU175*90%</f>
        <v>0.36899999999999999</v>
      </c>
      <c r="BA175" s="24">
        <f t="shared" ref="BA175:BA186" si="38">AZ175*80%</f>
        <v>0.29520000000000002</v>
      </c>
      <c r="BB175" s="24">
        <f t="shared" ref="BB175:BB186" si="39">AZ175*60%</f>
        <v>0.22139999999999999</v>
      </c>
      <c r="BC175" s="25">
        <v>1E-4</v>
      </c>
      <c r="BD175" s="24">
        <v>0</v>
      </c>
      <c r="BE175" s="26">
        <v>0</v>
      </c>
      <c r="BF175" s="34">
        <f t="shared" si="26"/>
        <v>0</v>
      </c>
      <c r="BG175" s="34">
        <f t="shared" si="27"/>
        <v>0</v>
      </c>
      <c r="BH175" s="26">
        <v>0</v>
      </c>
      <c r="BI175" s="26">
        <v>0</v>
      </c>
      <c r="BJ175" s="27">
        <v>0.371</v>
      </c>
      <c r="BK175" s="27">
        <v>0.39459296757422357</v>
      </c>
      <c r="BL175" s="27" t="s">
        <v>1957</v>
      </c>
      <c r="BM175" s="27" t="s">
        <v>1958</v>
      </c>
      <c r="BN175" s="26"/>
      <c r="BO175" s="34">
        <v>1</v>
      </c>
      <c r="BP175" s="34"/>
      <c r="BQ175" s="34"/>
      <c r="BR175" s="34"/>
      <c r="BS175" s="34"/>
      <c r="BT175" s="34"/>
      <c r="BU175" s="34"/>
      <c r="BV175" s="34"/>
      <c r="BW175" s="34"/>
      <c r="BX175" s="34"/>
      <c r="BY175" s="34"/>
      <c r="BZ175" s="34"/>
      <c r="CA175" s="20"/>
      <c r="CB175" s="20"/>
      <c r="CC175" s="29">
        <v>46003</v>
      </c>
      <c r="CD175" s="30" t="s">
        <v>1959</v>
      </c>
    </row>
    <row r="176" spans="1:82" s="18" customFormat="1" ht="66.75" customHeight="1" x14ac:dyDescent="0.25">
      <c r="A176" s="87">
        <v>172</v>
      </c>
      <c r="B176" s="141" t="s">
        <v>1960</v>
      </c>
      <c r="C176" s="6" t="s">
        <v>1961</v>
      </c>
      <c r="D176" s="6" t="s">
        <v>1962</v>
      </c>
      <c r="E176" s="75" t="s">
        <v>113</v>
      </c>
      <c r="F176" s="4" t="s">
        <v>81</v>
      </c>
      <c r="G176" s="33">
        <v>50</v>
      </c>
      <c r="H176" s="49" t="s">
        <v>775</v>
      </c>
      <c r="I176" s="49" t="s">
        <v>1948</v>
      </c>
      <c r="J176" s="6" t="s">
        <v>115</v>
      </c>
      <c r="K176" s="49"/>
      <c r="L176" s="49"/>
      <c r="M176" s="49" t="s">
        <v>136</v>
      </c>
      <c r="N176" s="49" t="s">
        <v>89</v>
      </c>
      <c r="O176" s="49" t="s">
        <v>116</v>
      </c>
      <c r="P176" s="6" t="s">
        <v>1949</v>
      </c>
      <c r="Q176" s="49"/>
      <c r="R176" s="75" t="s">
        <v>91</v>
      </c>
      <c r="S176" s="33" t="s">
        <v>92</v>
      </c>
      <c r="T176" s="33" t="s">
        <v>93</v>
      </c>
      <c r="U176" s="78">
        <v>100</v>
      </c>
      <c r="V176" s="33" t="s">
        <v>94</v>
      </c>
      <c r="W176" s="33" t="s">
        <v>95</v>
      </c>
      <c r="X176" s="33">
        <v>2021</v>
      </c>
      <c r="Y176" s="33" t="s">
        <v>117</v>
      </c>
      <c r="Z176" s="33" t="s">
        <v>95</v>
      </c>
      <c r="AA176" s="33" t="s">
        <v>98</v>
      </c>
      <c r="AB176" s="49" t="s">
        <v>99</v>
      </c>
      <c r="AC176" s="48" t="s">
        <v>1963</v>
      </c>
      <c r="AD176" s="79" t="s">
        <v>1964</v>
      </c>
      <c r="AE176" s="6" t="s">
        <v>1952</v>
      </c>
      <c r="AF176" s="6" t="s">
        <v>121</v>
      </c>
      <c r="AG176" s="6" t="s">
        <v>1965</v>
      </c>
      <c r="AH176" s="49" t="s">
        <v>123</v>
      </c>
      <c r="AI176" s="6" t="s">
        <v>1966</v>
      </c>
      <c r="AJ176" s="6" t="s">
        <v>1967</v>
      </c>
      <c r="AK176" s="33" t="s">
        <v>97</v>
      </c>
      <c r="AL176" s="33" t="s">
        <v>97</v>
      </c>
      <c r="AM176" s="5" t="s">
        <v>221</v>
      </c>
      <c r="AN176" s="6" t="s">
        <v>1968</v>
      </c>
      <c r="AO176" s="6"/>
      <c r="AP176" s="6"/>
      <c r="AQ176" s="88" t="s">
        <v>1956</v>
      </c>
      <c r="AR176" s="20" t="s">
        <v>97</v>
      </c>
      <c r="AS176" s="20" t="s">
        <v>107</v>
      </c>
      <c r="AT176" s="20"/>
      <c r="AU176" s="24">
        <v>0.37</v>
      </c>
      <c r="AV176" s="24">
        <f t="shared" si="35"/>
        <v>0.29599999999999999</v>
      </c>
      <c r="AW176" s="24">
        <f t="shared" si="36"/>
        <v>0.222</v>
      </c>
      <c r="AX176" s="25">
        <v>1E-4</v>
      </c>
      <c r="AY176" s="24">
        <v>0</v>
      </c>
      <c r="AZ176" s="24">
        <f t="shared" si="37"/>
        <v>0.33300000000000002</v>
      </c>
      <c r="BA176" s="24">
        <f t="shared" si="38"/>
        <v>0.26640000000000003</v>
      </c>
      <c r="BB176" s="24">
        <f t="shared" si="39"/>
        <v>0.19980000000000001</v>
      </c>
      <c r="BC176" s="25">
        <v>1E-4</v>
      </c>
      <c r="BD176" s="24">
        <v>0</v>
      </c>
      <c r="BE176" s="26">
        <v>0</v>
      </c>
      <c r="BF176" s="34">
        <f t="shared" si="26"/>
        <v>0</v>
      </c>
      <c r="BG176" s="34">
        <f t="shared" si="27"/>
        <v>0</v>
      </c>
      <c r="BH176" s="26">
        <v>0</v>
      </c>
      <c r="BI176" s="26">
        <v>0</v>
      </c>
      <c r="BJ176" s="27">
        <v>0.28899999999999998</v>
      </c>
      <c r="BK176" s="27">
        <v>0.31726309802861863</v>
      </c>
      <c r="BL176" s="27" t="s">
        <v>1969</v>
      </c>
      <c r="BM176" s="27" t="s">
        <v>1970</v>
      </c>
      <c r="BN176" s="26"/>
      <c r="BO176" s="34">
        <v>1</v>
      </c>
      <c r="BP176" s="34"/>
      <c r="BQ176" s="34"/>
      <c r="BR176" s="34"/>
      <c r="BS176" s="34"/>
      <c r="BT176" s="34"/>
      <c r="BU176" s="34"/>
      <c r="BV176" s="34"/>
      <c r="BW176" s="34"/>
      <c r="BX176" s="34"/>
      <c r="BY176" s="34"/>
      <c r="BZ176" s="34"/>
      <c r="CA176" s="20"/>
      <c r="CB176" s="20"/>
      <c r="CC176" s="29">
        <v>46003</v>
      </c>
      <c r="CD176" s="30" t="s">
        <v>1971</v>
      </c>
    </row>
    <row r="177" spans="1:82" s="18" customFormat="1" ht="66.75" customHeight="1" x14ac:dyDescent="0.25">
      <c r="A177" s="87">
        <v>173</v>
      </c>
      <c r="B177" s="141" t="s">
        <v>1972</v>
      </c>
      <c r="C177" s="6" t="s">
        <v>1973</v>
      </c>
      <c r="D177" s="6" t="s">
        <v>1974</v>
      </c>
      <c r="E177" s="75" t="s">
        <v>113</v>
      </c>
      <c r="F177" s="4" t="s">
        <v>81</v>
      </c>
      <c r="G177" s="33">
        <v>46</v>
      </c>
      <c r="H177" s="49" t="s">
        <v>775</v>
      </c>
      <c r="I177" s="49" t="s">
        <v>1948</v>
      </c>
      <c r="J177" s="6" t="s">
        <v>1975</v>
      </c>
      <c r="K177" s="49"/>
      <c r="L177" s="49"/>
      <c r="M177" s="49" t="s">
        <v>136</v>
      </c>
      <c r="N177" s="49" t="s">
        <v>89</v>
      </c>
      <c r="O177" s="49" t="s">
        <v>579</v>
      </c>
      <c r="P177" s="6" t="s">
        <v>1976</v>
      </c>
      <c r="Q177" s="49"/>
      <c r="R177" s="75" t="s">
        <v>91</v>
      </c>
      <c r="S177" s="33" t="s">
        <v>92</v>
      </c>
      <c r="T177" s="33" t="s">
        <v>93</v>
      </c>
      <c r="U177" s="78">
        <v>100</v>
      </c>
      <c r="V177" s="33" t="s">
        <v>94</v>
      </c>
      <c r="W177" s="33" t="s">
        <v>95</v>
      </c>
      <c r="X177" s="33">
        <v>2021</v>
      </c>
      <c r="Y177" s="33" t="s">
        <v>117</v>
      </c>
      <c r="Z177" s="33" t="s">
        <v>95</v>
      </c>
      <c r="AA177" s="33" t="s">
        <v>98</v>
      </c>
      <c r="AB177" s="49" t="s">
        <v>99</v>
      </c>
      <c r="AC177" s="48" t="s">
        <v>1977</v>
      </c>
      <c r="AD177" s="79" t="s">
        <v>1978</v>
      </c>
      <c r="AE177" s="6" t="s">
        <v>1979</v>
      </c>
      <c r="AF177" s="6" t="s">
        <v>121</v>
      </c>
      <c r="AG177" s="6" t="s">
        <v>1980</v>
      </c>
      <c r="AH177" s="49" t="s">
        <v>123</v>
      </c>
      <c r="AI177" s="6" t="s">
        <v>1981</v>
      </c>
      <c r="AJ177" s="6" t="s">
        <v>1982</v>
      </c>
      <c r="AK177" s="33" t="s">
        <v>97</v>
      </c>
      <c r="AL177" s="33" t="s">
        <v>97</v>
      </c>
      <c r="AM177" s="5" t="s">
        <v>221</v>
      </c>
      <c r="AN177" s="6" t="s">
        <v>1983</v>
      </c>
      <c r="AO177" s="6"/>
      <c r="AP177" s="6"/>
      <c r="AQ177" s="88" t="s">
        <v>1956</v>
      </c>
      <c r="AR177" s="20" t="s">
        <v>97</v>
      </c>
      <c r="AS177" s="20" t="s">
        <v>107</v>
      </c>
      <c r="AT177" s="20"/>
      <c r="AU177" s="24">
        <v>0.3</v>
      </c>
      <c r="AV177" s="24">
        <f t="shared" si="35"/>
        <v>0.24</v>
      </c>
      <c r="AW177" s="24">
        <f t="shared" si="36"/>
        <v>0.18</v>
      </c>
      <c r="AX177" s="25">
        <v>1E-4</v>
      </c>
      <c r="AY177" s="24">
        <v>0</v>
      </c>
      <c r="AZ177" s="24">
        <f t="shared" si="37"/>
        <v>0.27</v>
      </c>
      <c r="BA177" s="24">
        <f t="shared" si="38"/>
        <v>0.21600000000000003</v>
      </c>
      <c r="BB177" s="24">
        <f t="shared" si="39"/>
        <v>0.16200000000000001</v>
      </c>
      <c r="BC177" s="25">
        <v>1E-4</v>
      </c>
      <c r="BD177" s="24">
        <v>0</v>
      </c>
      <c r="BE177" s="26">
        <v>0</v>
      </c>
      <c r="BF177" s="34">
        <f t="shared" si="26"/>
        <v>0</v>
      </c>
      <c r="BG177" s="34">
        <f t="shared" si="27"/>
        <v>0</v>
      </c>
      <c r="BH177" s="26">
        <v>0</v>
      </c>
      <c r="BI177" s="26">
        <v>0</v>
      </c>
      <c r="BJ177" s="27">
        <v>0.23100000000000001</v>
      </c>
      <c r="BK177" s="27">
        <v>0.25022504101855686</v>
      </c>
      <c r="BL177" s="27" t="s">
        <v>1984</v>
      </c>
      <c r="BM177" s="27" t="s">
        <v>371</v>
      </c>
      <c r="BN177" s="26"/>
      <c r="BO177" s="34">
        <v>1</v>
      </c>
      <c r="BP177" s="34"/>
      <c r="BQ177" s="34"/>
      <c r="BR177" s="34"/>
      <c r="BS177" s="34"/>
      <c r="BT177" s="34"/>
      <c r="BU177" s="34"/>
      <c r="BV177" s="34"/>
      <c r="BW177" s="34"/>
      <c r="BX177" s="34"/>
      <c r="BY177" s="34"/>
      <c r="BZ177" s="34"/>
      <c r="CA177" s="20"/>
      <c r="CB177" s="20"/>
      <c r="CC177" s="29">
        <v>46003</v>
      </c>
      <c r="CD177" s="11" t="s">
        <v>1275</v>
      </c>
    </row>
    <row r="178" spans="1:82" s="18" customFormat="1" ht="66.75" customHeight="1" x14ac:dyDescent="0.25">
      <c r="A178" s="121">
        <v>174</v>
      </c>
      <c r="B178" s="141" t="s">
        <v>1985</v>
      </c>
      <c r="C178" s="6" t="s">
        <v>1986</v>
      </c>
      <c r="D178" s="6" t="s">
        <v>1987</v>
      </c>
      <c r="E178" s="75" t="s">
        <v>113</v>
      </c>
      <c r="F178" s="4" t="s">
        <v>81</v>
      </c>
      <c r="G178" s="33">
        <v>47</v>
      </c>
      <c r="H178" s="49" t="s">
        <v>423</v>
      </c>
      <c r="I178" s="49" t="s">
        <v>1948</v>
      </c>
      <c r="J178" s="6" t="s">
        <v>1975</v>
      </c>
      <c r="K178" s="49"/>
      <c r="L178" s="49"/>
      <c r="M178" s="49" t="s">
        <v>136</v>
      </c>
      <c r="N178" s="49" t="s">
        <v>89</v>
      </c>
      <c r="O178" s="49" t="s">
        <v>579</v>
      </c>
      <c r="P178" s="6" t="s">
        <v>1976</v>
      </c>
      <c r="Q178" s="49"/>
      <c r="R178" s="75" t="s">
        <v>91</v>
      </c>
      <c r="S178" s="33" t="s">
        <v>92</v>
      </c>
      <c r="T178" s="33" t="s">
        <v>93</v>
      </c>
      <c r="U178" s="78">
        <v>100</v>
      </c>
      <c r="V178" s="33" t="s">
        <v>94</v>
      </c>
      <c r="W178" s="33" t="s">
        <v>95</v>
      </c>
      <c r="X178" s="33">
        <v>2021</v>
      </c>
      <c r="Y178" s="33" t="s">
        <v>117</v>
      </c>
      <c r="Z178" s="33" t="s">
        <v>95</v>
      </c>
      <c r="AA178" s="33" t="s">
        <v>98</v>
      </c>
      <c r="AB178" s="49" t="s">
        <v>99</v>
      </c>
      <c r="AC178" s="48" t="s">
        <v>1988</v>
      </c>
      <c r="AD178" s="79" t="s">
        <v>1989</v>
      </c>
      <c r="AE178" s="6" t="s">
        <v>1979</v>
      </c>
      <c r="AF178" s="6" t="s">
        <v>121</v>
      </c>
      <c r="AG178" s="6" t="s">
        <v>1042</v>
      </c>
      <c r="AH178" s="49" t="s">
        <v>123</v>
      </c>
      <c r="AI178" s="6" t="s">
        <v>1990</v>
      </c>
      <c r="AJ178" s="6" t="s">
        <v>1718</v>
      </c>
      <c r="AK178" s="33" t="s">
        <v>97</v>
      </c>
      <c r="AL178" s="33" t="s">
        <v>97</v>
      </c>
      <c r="AM178" s="5" t="s">
        <v>221</v>
      </c>
      <c r="AN178" s="6" t="s">
        <v>1991</v>
      </c>
      <c r="AO178" s="6"/>
      <c r="AP178" s="6"/>
      <c r="AQ178" s="88" t="s">
        <v>1992</v>
      </c>
      <c r="AR178" s="20" t="s">
        <v>97</v>
      </c>
      <c r="AS178" s="20" t="s">
        <v>107</v>
      </c>
      <c r="AT178" s="20"/>
      <c r="AU178" s="24">
        <v>0.25</v>
      </c>
      <c r="AV178" s="24">
        <f t="shared" si="35"/>
        <v>0.2</v>
      </c>
      <c r="AW178" s="24">
        <f t="shared" si="36"/>
        <v>0.15</v>
      </c>
      <c r="AX178" s="25">
        <v>1E-4</v>
      </c>
      <c r="AY178" s="24">
        <v>0</v>
      </c>
      <c r="AZ178" s="24">
        <f t="shared" si="37"/>
        <v>0.22500000000000001</v>
      </c>
      <c r="BA178" s="24">
        <f t="shared" si="38"/>
        <v>0.18000000000000002</v>
      </c>
      <c r="BB178" s="24">
        <f t="shared" si="39"/>
        <v>0.13500000000000001</v>
      </c>
      <c r="BC178" s="25">
        <v>1E-4</v>
      </c>
      <c r="BD178" s="24">
        <v>0</v>
      </c>
      <c r="BE178" s="26">
        <v>0</v>
      </c>
      <c r="BF178" s="34">
        <f t="shared" si="26"/>
        <v>0</v>
      </c>
      <c r="BG178" s="34">
        <f t="shared" si="27"/>
        <v>0</v>
      </c>
      <c r="BH178" s="26">
        <v>0</v>
      </c>
      <c r="BI178" s="26">
        <v>0</v>
      </c>
      <c r="BJ178" s="27">
        <v>0.185</v>
      </c>
      <c r="BK178" s="27">
        <v>0.19309424683561988</v>
      </c>
      <c r="BL178" s="27" t="s">
        <v>1152</v>
      </c>
      <c r="BM178" s="27" t="s">
        <v>1993</v>
      </c>
      <c r="BN178" s="26"/>
      <c r="BO178" s="34">
        <v>1</v>
      </c>
      <c r="BP178" s="34"/>
      <c r="BQ178" s="34"/>
      <c r="BR178" s="34"/>
      <c r="BS178" s="34"/>
      <c r="BT178" s="34"/>
      <c r="BU178" s="34"/>
      <c r="BV178" s="34"/>
      <c r="BW178" s="34"/>
      <c r="BX178" s="34"/>
      <c r="BY178" s="34"/>
      <c r="BZ178" s="34"/>
      <c r="CA178" s="20"/>
      <c r="CB178" s="20"/>
      <c r="CC178" s="29">
        <v>46003</v>
      </c>
      <c r="CD178" s="11" t="s">
        <v>1275</v>
      </c>
    </row>
    <row r="179" spans="1:82" s="18" customFormat="1" ht="66.75" customHeight="1" x14ac:dyDescent="0.25">
      <c r="A179" s="87">
        <v>175</v>
      </c>
      <c r="B179" s="141" t="s">
        <v>1994</v>
      </c>
      <c r="C179" s="6" t="s">
        <v>1995</v>
      </c>
      <c r="D179" s="6" t="s">
        <v>1996</v>
      </c>
      <c r="E179" s="75" t="s">
        <v>113</v>
      </c>
      <c r="F179" s="4" t="s">
        <v>81</v>
      </c>
      <c r="G179" s="33">
        <v>48</v>
      </c>
      <c r="H179" s="49" t="s">
        <v>775</v>
      </c>
      <c r="I179" s="49" t="s">
        <v>1948</v>
      </c>
      <c r="J179" s="6" t="s">
        <v>1975</v>
      </c>
      <c r="K179" s="49"/>
      <c r="L179" s="49"/>
      <c r="M179" s="49" t="s">
        <v>136</v>
      </c>
      <c r="N179" s="49" t="s">
        <v>89</v>
      </c>
      <c r="O179" s="49" t="s">
        <v>579</v>
      </c>
      <c r="P179" s="6" t="s">
        <v>1976</v>
      </c>
      <c r="Q179" s="49"/>
      <c r="R179" s="75" t="s">
        <v>91</v>
      </c>
      <c r="S179" s="33" t="s">
        <v>92</v>
      </c>
      <c r="T179" s="33" t="s">
        <v>93</v>
      </c>
      <c r="U179" s="78">
        <v>100</v>
      </c>
      <c r="V179" s="33" t="s">
        <v>94</v>
      </c>
      <c r="W179" s="33" t="s">
        <v>95</v>
      </c>
      <c r="X179" s="33">
        <v>2021</v>
      </c>
      <c r="Y179" s="33" t="s">
        <v>117</v>
      </c>
      <c r="Z179" s="33" t="s">
        <v>95</v>
      </c>
      <c r="AA179" s="33" t="s">
        <v>98</v>
      </c>
      <c r="AB179" s="49" t="s">
        <v>99</v>
      </c>
      <c r="AC179" s="48" t="s">
        <v>1997</v>
      </c>
      <c r="AD179" s="79" t="s">
        <v>1998</v>
      </c>
      <c r="AE179" s="6" t="s">
        <v>1979</v>
      </c>
      <c r="AF179" s="6" t="s">
        <v>121</v>
      </c>
      <c r="AG179" s="6" t="s">
        <v>1965</v>
      </c>
      <c r="AH179" s="49" t="s">
        <v>123</v>
      </c>
      <c r="AI179" s="6" t="s">
        <v>1999</v>
      </c>
      <c r="AJ179" s="6" t="s">
        <v>2000</v>
      </c>
      <c r="AK179" s="33" t="s">
        <v>97</v>
      </c>
      <c r="AL179" s="33" t="s">
        <v>97</v>
      </c>
      <c r="AM179" s="5" t="s">
        <v>221</v>
      </c>
      <c r="AN179" s="6" t="s">
        <v>2001</v>
      </c>
      <c r="AO179" s="6"/>
      <c r="AP179" s="6"/>
      <c r="AQ179" s="88" t="s">
        <v>1956</v>
      </c>
      <c r="AR179" s="20" t="s">
        <v>97</v>
      </c>
      <c r="AS179" s="20" t="s">
        <v>107</v>
      </c>
      <c r="AT179" s="20"/>
      <c r="AU179" s="24">
        <v>0.3</v>
      </c>
      <c r="AV179" s="24">
        <f t="shared" si="35"/>
        <v>0.24</v>
      </c>
      <c r="AW179" s="24">
        <f t="shared" si="36"/>
        <v>0.18</v>
      </c>
      <c r="AX179" s="25">
        <v>1E-4</v>
      </c>
      <c r="AY179" s="24">
        <v>0</v>
      </c>
      <c r="AZ179" s="24">
        <f t="shared" si="37"/>
        <v>0.27</v>
      </c>
      <c r="BA179" s="24">
        <f t="shared" si="38"/>
        <v>0.21600000000000003</v>
      </c>
      <c r="BB179" s="24">
        <f t="shared" si="39"/>
        <v>0.16200000000000001</v>
      </c>
      <c r="BC179" s="25">
        <v>1E-4</v>
      </c>
      <c r="BD179" s="24">
        <v>0</v>
      </c>
      <c r="BE179" s="26">
        <v>0</v>
      </c>
      <c r="BF179" s="34">
        <f t="shared" si="26"/>
        <v>0</v>
      </c>
      <c r="BG179" s="34">
        <f t="shared" si="27"/>
        <v>0</v>
      </c>
      <c r="BH179" s="26">
        <v>0</v>
      </c>
      <c r="BI179" s="26">
        <v>0</v>
      </c>
      <c r="BJ179" s="27">
        <v>0.23699999999999999</v>
      </c>
      <c r="BK179" s="27">
        <v>0.26305497900079455</v>
      </c>
      <c r="BL179" s="27" t="s">
        <v>2002</v>
      </c>
      <c r="BM179" s="27" t="s">
        <v>2003</v>
      </c>
      <c r="BN179" s="26"/>
      <c r="BO179" s="34">
        <v>1</v>
      </c>
      <c r="BP179" s="34"/>
      <c r="BQ179" s="34"/>
      <c r="BR179" s="34"/>
      <c r="BS179" s="34"/>
      <c r="BT179" s="34"/>
      <c r="BU179" s="34"/>
      <c r="BV179" s="34"/>
      <c r="BW179" s="34"/>
      <c r="BX179" s="34"/>
      <c r="BY179" s="34"/>
      <c r="BZ179" s="34"/>
      <c r="CA179" s="20"/>
      <c r="CB179" s="20"/>
      <c r="CC179" s="29">
        <v>46003</v>
      </c>
      <c r="CD179" s="11" t="s">
        <v>1275</v>
      </c>
    </row>
    <row r="180" spans="1:82" s="18" customFormat="1" ht="66.75" customHeight="1" x14ac:dyDescent="0.25">
      <c r="A180" s="87">
        <v>176</v>
      </c>
      <c r="B180" s="141" t="s">
        <v>2004</v>
      </c>
      <c r="C180" s="6" t="s">
        <v>2005</v>
      </c>
      <c r="D180" s="6" t="s">
        <v>2006</v>
      </c>
      <c r="E180" s="75" t="s">
        <v>174</v>
      </c>
      <c r="F180" s="4" t="s">
        <v>81</v>
      </c>
      <c r="G180" s="33" t="s">
        <v>84</v>
      </c>
      <c r="H180" s="49" t="s">
        <v>775</v>
      </c>
      <c r="I180" s="49" t="s">
        <v>1948</v>
      </c>
      <c r="J180" s="6" t="s">
        <v>1975</v>
      </c>
      <c r="K180" s="49"/>
      <c r="L180" s="49"/>
      <c r="M180" s="49" t="s">
        <v>88</v>
      </c>
      <c r="N180" s="49" t="s">
        <v>89</v>
      </c>
      <c r="O180" s="49" t="s">
        <v>579</v>
      </c>
      <c r="P180" s="6" t="s">
        <v>1976</v>
      </c>
      <c r="Q180" s="49"/>
      <c r="R180" s="75" t="s">
        <v>175</v>
      </c>
      <c r="S180" s="33" t="s">
        <v>92</v>
      </c>
      <c r="T180" s="33" t="s">
        <v>93</v>
      </c>
      <c r="U180" s="78">
        <v>100</v>
      </c>
      <c r="V180" s="33" t="s">
        <v>94</v>
      </c>
      <c r="W180" s="33" t="s">
        <v>95</v>
      </c>
      <c r="X180" s="33">
        <v>2023</v>
      </c>
      <c r="Y180" s="33" t="s">
        <v>117</v>
      </c>
      <c r="Z180" s="33" t="s">
        <v>95</v>
      </c>
      <c r="AA180" s="33" t="s">
        <v>98</v>
      </c>
      <c r="AB180" s="49" t="s">
        <v>99</v>
      </c>
      <c r="AC180" s="48" t="s">
        <v>2007</v>
      </c>
      <c r="AD180" s="79" t="s">
        <v>2008</v>
      </c>
      <c r="AE180" s="6" t="s">
        <v>1979</v>
      </c>
      <c r="AF180" s="6" t="s">
        <v>121</v>
      </c>
      <c r="AG180" s="6" t="s">
        <v>178</v>
      </c>
      <c r="AH180" s="6" t="s">
        <v>123</v>
      </c>
      <c r="AI180" s="6" t="s">
        <v>2009</v>
      </c>
      <c r="AJ180" s="6" t="s">
        <v>2010</v>
      </c>
      <c r="AK180" s="33" t="s">
        <v>97</v>
      </c>
      <c r="AL180" s="33" t="s">
        <v>97</v>
      </c>
      <c r="AM180" s="5" t="s">
        <v>221</v>
      </c>
      <c r="AN180" s="6" t="s">
        <v>470</v>
      </c>
      <c r="AO180" s="6"/>
      <c r="AP180" s="6"/>
      <c r="AQ180" s="6" t="s">
        <v>1956</v>
      </c>
      <c r="AR180" s="20" t="s">
        <v>95</v>
      </c>
      <c r="AS180" s="20" t="s">
        <v>185</v>
      </c>
      <c r="AT180" s="7" t="s">
        <v>2011</v>
      </c>
      <c r="AU180" s="24">
        <v>0.3</v>
      </c>
      <c r="AV180" s="24">
        <f t="shared" si="35"/>
        <v>0.24</v>
      </c>
      <c r="AW180" s="24">
        <f t="shared" si="36"/>
        <v>0.18</v>
      </c>
      <c r="AX180" s="25">
        <v>1E-4</v>
      </c>
      <c r="AY180" s="24">
        <v>0</v>
      </c>
      <c r="AZ180" s="24">
        <f t="shared" si="37"/>
        <v>0.27</v>
      </c>
      <c r="BA180" s="24">
        <f t="shared" si="38"/>
        <v>0.21600000000000003</v>
      </c>
      <c r="BB180" s="24">
        <f t="shared" si="39"/>
        <v>0.16200000000000001</v>
      </c>
      <c r="BC180" s="25">
        <v>1E-4</v>
      </c>
      <c r="BD180" s="24">
        <v>0</v>
      </c>
      <c r="BE180" s="26">
        <v>20</v>
      </c>
      <c r="BF180" s="34">
        <f t="shared" si="26"/>
        <v>16</v>
      </c>
      <c r="BG180" s="34">
        <f t="shared" si="27"/>
        <v>12</v>
      </c>
      <c r="BH180" s="26">
        <v>1</v>
      </c>
      <c r="BI180" s="26">
        <v>0</v>
      </c>
      <c r="BJ180" s="27">
        <v>0.214</v>
      </c>
      <c r="BK180" s="27">
        <v>0.22551762963707722</v>
      </c>
      <c r="BL180" s="27" t="s">
        <v>2012</v>
      </c>
      <c r="BM180" s="27" t="s">
        <v>2013</v>
      </c>
      <c r="BN180" s="26"/>
      <c r="BO180" s="34"/>
      <c r="BP180" s="34"/>
      <c r="BQ180" s="34"/>
      <c r="BR180" s="34"/>
      <c r="BS180" s="34"/>
      <c r="BT180" s="34"/>
      <c r="BU180" s="34"/>
      <c r="BV180" s="34"/>
      <c r="BW180" s="34"/>
      <c r="BX180" s="34"/>
      <c r="BY180" s="34"/>
      <c r="BZ180" s="34">
        <v>1</v>
      </c>
      <c r="CA180" s="20" t="s">
        <v>1948</v>
      </c>
      <c r="CB180" s="20" t="s">
        <v>1948</v>
      </c>
      <c r="CC180" s="29">
        <v>46003</v>
      </c>
      <c r="CD180" s="11" t="s">
        <v>2014</v>
      </c>
    </row>
    <row r="181" spans="1:82" s="18" customFormat="1" ht="66.75" customHeight="1" x14ac:dyDescent="0.25">
      <c r="A181" s="121">
        <v>177</v>
      </c>
      <c r="B181" s="141" t="s">
        <v>2015</v>
      </c>
      <c r="C181" s="6" t="s">
        <v>2016</v>
      </c>
      <c r="D181" s="6" t="s">
        <v>2017</v>
      </c>
      <c r="E181" s="75" t="s">
        <v>113</v>
      </c>
      <c r="F181" s="4" t="s">
        <v>81</v>
      </c>
      <c r="G181" s="33">
        <v>52</v>
      </c>
      <c r="H181" s="49" t="s">
        <v>775</v>
      </c>
      <c r="I181" s="49" t="s">
        <v>1948</v>
      </c>
      <c r="J181" s="6" t="s">
        <v>1975</v>
      </c>
      <c r="K181" s="49"/>
      <c r="L181" s="49"/>
      <c r="M181" s="49" t="s">
        <v>136</v>
      </c>
      <c r="N181" s="49" t="s">
        <v>89</v>
      </c>
      <c r="O181" s="49" t="s">
        <v>579</v>
      </c>
      <c r="P181" s="6" t="s">
        <v>2018</v>
      </c>
      <c r="Q181" s="49"/>
      <c r="R181" s="75" t="s">
        <v>91</v>
      </c>
      <c r="S181" s="33" t="s">
        <v>92</v>
      </c>
      <c r="T181" s="33" t="s">
        <v>93</v>
      </c>
      <c r="U181" s="78">
        <v>100</v>
      </c>
      <c r="V181" s="33" t="s">
        <v>94</v>
      </c>
      <c r="W181" s="33" t="s">
        <v>95</v>
      </c>
      <c r="X181" s="33">
        <v>2021</v>
      </c>
      <c r="Y181" s="33" t="s">
        <v>117</v>
      </c>
      <c r="Z181" s="33" t="s">
        <v>95</v>
      </c>
      <c r="AA181" s="33" t="s">
        <v>98</v>
      </c>
      <c r="AB181" s="49" t="s">
        <v>99</v>
      </c>
      <c r="AC181" s="48" t="s">
        <v>2019</v>
      </c>
      <c r="AD181" s="79" t="s">
        <v>2020</v>
      </c>
      <c r="AE181" s="6" t="s">
        <v>2021</v>
      </c>
      <c r="AF181" s="6" t="s">
        <v>121</v>
      </c>
      <c r="AG181" s="6" t="s">
        <v>218</v>
      </c>
      <c r="AH181" s="49" t="s">
        <v>123</v>
      </c>
      <c r="AI181" s="6" t="s">
        <v>2022</v>
      </c>
      <c r="AJ181" s="6" t="s">
        <v>2023</v>
      </c>
      <c r="AK181" s="33" t="s">
        <v>97</v>
      </c>
      <c r="AL181" s="33" t="s">
        <v>97</v>
      </c>
      <c r="AM181" s="5" t="s">
        <v>2024</v>
      </c>
      <c r="AN181" s="5" t="s">
        <v>470</v>
      </c>
      <c r="AO181" s="5"/>
      <c r="AP181" s="5"/>
      <c r="AQ181" s="82" t="s">
        <v>1956</v>
      </c>
      <c r="AR181" s="20" t="s">
        <v>97</v>
      </c>
      <c r="AS181" s="20" t="s">
        <v>107</v>
      </c>
      <c r="AT181" s="20"/>
      <c r="AU181" s="24">
        <v>0.45</v>
      </c>
      <c r="AV181" s="24">
        <f t="shared" si="35"/>
        <v>0.36000000000000004</v>
      </c>
      <c r="AW181" s="24">
        <f t="shared" si="36"/>
        <v>0.27</v>
      </c>
      <c r="AX181" s="25">
        <v>1E-4</v>
      </c>
      <c r="AY181" s="24">
        <v>0</v>
      </c>
      <c r="AZ181" s="24">
        <f t="shared" si="37"/>
        <v>0.40500000000000003</v>
      </c>
      <c r="BA181" s="24">
        <f t="shared" si="38"/>
        <v>0.32400000000000007</v>
      </c>
      <c r="BB181" s="24">
        <f t="shared" si="39"/>
        <v>0.24299999999999999</v>
      </c>
      <c r="BC181" s="25">
        <v>1E-4</v>
      </c>
      <c r="BD181" s="24">
        <v>0</v>
      </c>
      <c r="BE181" s="26">
        <v>0</v>
      </c>
      <c r="BF181" s="34">
        <f t="shared" si="26"/>
        <v>0</v>
      </c>
      <c r="BG181" s="34">
        <f t="shared" si="27"/>
        <v>0</v>
      </c>
      <c r="BH181" s="26">
        <v>0</v>
      </c>
      <c r="BI181" s="26">
        <v>0</v>
      </c>
      <c r="BJ181" s="27">
        <v>0.39400000000000002</v>
      </c>
      <c r="BK181" s="27">
        <v>0.43685666969741682</v>
      </c>
      <c r="BL181" s="27" t="s">
        <v>2025</v>
      </c>
      <c r="BM181" s="27" t="s">
        <v>2026</v>
      </c>
      <c r="BN181" s="26"/>
      <c r="BO181" s="34">
        <v>1</v>
      </c>
      <c r="BP181" s="34"/>
      <c r="BQ181" s="34"/>
      <c r="BR181" s="34"/>
      <c r="BS181" s="34"/>
      <c r="BT181" s="34"/>
      <c r="BU181" s="34"/>
      <c r="BV181" s="34"/>
      <c r="BW181" s="34"/>
      <c r="BX181" s="34"/>
      <c r="BY181" s="34"/>
      <c r="BZ181" s="34"/>
      <c r="CA181" s="20"/>
      <c r="CB181" s="20"/>
      <c r="CC181" s="29">
        <v>45699</v>
      </c>
      <c r="CD181" s="11" t="s">
        <v>360</v>
      </c>
    </row>
    <row r="182" spans="1:82" s="18" customFormat="1" ht="66.75" customHeight="1" x14ac:dyDescent="0.25">
      <c r="A182" s="87">
        <v>178</v>
      </c>
      <c r="B182" s="141" t="s">
        <v>2027</v>
      </c>
      <c r="C182" s="6" t="s">
        <v>2028</v>
      </c>
      <c r="D182" s="6" t="s">
        <v>2029</v>
      </c>
      <c r="E182" s="75" t="s">
        <v>174</v>
      </c>
      <c r="F182" s="4" t="s">
        <v>81</v>
      </c>
      <c r="G182" s="33" t="s">
        <v>84</v>
      </c>
      <c r="H182" s="49" t="s">
        <v>775</v>
      </c>
      <c r="I182" s="49" t="s">
        <v>1948</v>
      </c>
      <c r="J182" s="6" t="s">
        <v>1975</v>
      </c>
      <c r="K182" s="49"/>
      <c r="L182" s="49"/>
      <c r="M182" s="49" t="s">
        <v>88</v>
      </c>
      <c r="N182" s="49" t="s">
        <v>89</v>
      </c>
      <c r="O182" s="49" t="s">
        <v>579</v>
      </c>
      <c r="P182" s="6" t="s">
        <v>2018</v>
      </c>
      <c r="Q182" s="49"/>
      <c r="R182" s="75" t="s">
        <v>175</v>
      </c>
      <c r="S182" s="33" t="s">
        <v>92</v>
      </c>
      <c r="T182" s="33" t="s">
        <v>93</v>
      </c>
      <c r="U182" s="78">
        <v>100</v>
      </c>
      <c r="V182" s="33" t="s">
        <v>94</v>
      </c>
      <c r="W182" s="33" t="s">
        <v>95</v>
      </c>
      <c r="X182" s="33">
        <v>2023</v>
      </c>
      <c r="Y182" s="33" t="s">
        <v>117</v>
      </c>
      <c r="Z182" s="33" t="s">
        <v>95</v>
      </c>
      <c r="AA182" s="33" t="s">
        <v>98</v>
      </c>
      <c r="AB182" s="49" t="s">
        <v>99</v>
      </c>
      <c r="AC182" s="48" t="s">
        <v>2030</v>
      </c>
      <c r="AD182" s="79" t="s">
        <v>2031</v>
      </c>
      <c r="AE182" s="6" t="s">
        <v>2032</v>
      </c>
      <c r="AF182" s="6" t="s">
        <v>121</v>
      </c>
      <c r="AG182" s="6" t="s">
        <v>178</v>
      </c>
      <c r="AH182" s="6" t="s">
        <v>123</v>
      </c>
      <c r="AI182" s="6" t="s">
        <v>2033</v>
      </c>
      <c r="AJ182" s="6" t="s">
        <v>2034</v>
      </c>
      <c r="AK182" s="33" t="s">
        <v>97</v>
      </c>
      <c r="AL182" s="33" t="s">
        <v>97</v>
      </c>
      <c r="AM182" s="5"/>
      <c r="AN182" s="6" t="s">
        <v>2035</v>
      </c>
      <c r="AO182" s="6"/>
      <c r="AP182" s="6"/>
      <c r="AQ182" s="6" t="s">
        <v>1956</v>
      </c>
      <c r="AR182" s="20" t="s">
        <v>97</v>
      </c>
      <c r="AS182" s="20" t="s">
        <v>107</v>
      </c>
      <c r="AT182" s="20"/>
      <c r="AU182" s="24">
        <v>0.2</v>
      </c>
      <c r="AV182" s="24">
        <f t="shared" si="35"/>
        <v>0.16000000000000003</v>
      </c>
      <c r="AW182" s="24">
        <f t="shared" si="36"/>
        <v>0.12</v>
      </c>
      <c r="AX182" s="25">
        <v>1E-4</v>
      </c>
      <c r="AY182" s="24">
        <v>0</v>
      </c>
      <c r="AZ182" s="24">
        <f t="shared" si="37"/>
        <v>0.18000000000000002</v>
      </c>
      <c r="BA182" s="24">
        <f t="shared" si="38"/>
        <v>0.14400000000000002</v>
      </c>
      <c r="BB182" s="24">
        <f t="shared" si="39"/>
        <v>0.10800000000000001</v>
      </c>
      <c r="BC182" s="25">
        <v>1E-4</v>
      </c>
      <c r="BD182" s="24">
        <v>0</v>
      </c>
      <c r="BE182" s="26">
        <v>20</v>
      </c>
      <c r="BF182" s="34">
        <f t="shared" si="26"/>
        <v>16</v>
      </c>
      <c r="BG182" s="34">
        <f t="shared" si="27"/>
        <v>12</v>
      </c>
      <c r="BH182" s="26">
        <v>1</v>
      </c>
      <c r="BI182" s="26">
        <v>0</v>
      </c>
      <c r="BJ182" s="27">
        <v>0.25800000000000001</v>
      </c>
      <c r="BK182" s="27">
        <v>0.29031999892089683</v>
      </c>
      <c r="BL182" s="27" t="s">
        <v>2036</v>
      </c>
      <c r="BM182" s="27" t="s">
        <v>2037</v>
      </c>
      <c r="BN182" s="26"/>
      <c r="BO182" s="34"/>
      <c r="BP182" s="34"/>
      <c r="BQ182" s="34"/>
      <c r="BR182" s="34"/>
      <c r="BS182" s="34"/>
      <c r="BT182" s="34"/>
      <c r="BU182" s="34"/>
      <c r="BV182" s="34"/>
      <c r="BW182" s="34"/>
      <c r="BX182" s="34"/>
      <c r="BY182" s="34"/>
      <c r="BZ182" s="34">
        <v>1</v>
      </c>
      <c r="CA182" s="20" t="s">
        <v>1948</v>
      </c>
      <c r="CB182" s="20" t="s">
        <v>1948</v>
      </c>
      <c r="CC182" s="29">
        <v>46003</v>
      </c>
      <c r="CD182" s="11" t="s">
        <v>2038</v>
      </c>
    </row>
    <row r="183" spans="1:82" s="18" customFormat="1" ht="66.75" customHeight="1" x14ac:dyDescent="0.25">
      <c r="A183" s="87">
        <v>179</v>
      </c>
      <c r="B183" s="141" t="s">
        <v>2039</v>
      </c>
      <c r="C183" s="6" t="s">
        <v>2040</v>
      </c>
      <c r="D183" s="6" t="s">
        <v>2041</v>
      </c>
      <c r="E183" s="75" t="s">
        <v>113</v>
      </c>
      <c r="F183" s="4" t="s">
        <v>81</v>
      </c>
      <c r="G183" s="33">
        <v>53</v>
      </c>
      <c r="H183" s="49" t="s">
        <v>775</v>
      </c>
      <c r="I183" s="49" t="s">
        <v>1948</v>
      </c>
      <c r="J183" s="6" t="s">
        <v>1975</v>
      </c>
      <c r="K183" s="49"/>
      <c r="L183" s="49"/>
      <c r="M183" s="49" t="s">
        <v>136</v>
      </c>
      <c r="N183" s="49" t="s">
        <v>89</v>
      </c>
      <c r="O183" s="49" t="s">
        <v>579</v>
      </c>
      <c r="P183" s="6" t="s">
        <v>2042</v>
      </c>
      <c r="Q183" s="49"/>
      <c r="R183" s="75" t="s">
        <v>91</v>
      </c>
      <c r="S183" s="33" t="s">
        <v>92</v>
      </c>
      <c r="T183" s="33" t="s">
        <v>93</v>
      </c>
      <c r="U183" s="78">
        <v>100</v>
      </c>
      <c r="V183" s="33" t="s">
        <v>94</v>
      </c>
      <c r="W183" s="33" t="s">
        <v>95</v>
      </c>
      <c r="X183" s="33">
        <v>2021</v>
      </c>
      <c r="Y183" s="33" t="s">
        <v>117</v>
      </c>
      <c r="Z183" s="33" t="s">
        <v>95</v>
      </c>
      <c r="AA183" s="33" t="s">
        <v>98</v>
      </c>
      <c r="AB183" s="49" t="s">
        <v>99</v>
      </c>
      <c r="AC183" s="48" t="s">
        <v>2043</v>
      </c>
      <c r="AD183" s="79" t="s">
        <v>2044</v>
      </c>
      <c r="AE183" s="6" t="s">
        <v>2045</v>
      </c>
      <c r="AF183" s="6" t="s">
        <v>121</v>
      </c>
      <c r="AG183" s="6" t="s">
        <v>1965</v>
      </c>
      <c r="AH183" s="49" t="s">
        <v>123</v>
      </c>
      <c r="AI183" s="6" t="s">
        <v>2046</v>
      </c>
      <c r="AJ183" s="6" t="s">
        <v>2047</v>
      </c>
      <c r="AK183" s="33" t="s">
        <v>97</v>
      </c>
      <c r="AL183" s="33" t="s">
        <v>97</v>
      </c>
      <c r="AM183" s="5" t="s">
        <v>2048</v>
      </c>
      <c r="AN183" s="5" t="s">
        <v>470</v>
      </c>
      <c r="AO183" s="5"/>
      <c r="AP183" s="5"/>
      <c r="AQ183" s="88" t="s">
        <v>2049</v>
      </c>
      <c r="AR183" s="20" t="s">
        <v>97</v>
      </c>
      <c r="AS183" s="20" t="s">
        <v>107</v>
      </c>
      <c r="AT183" s="20"/>
      <c r="AU183" s="24">
        <v>0.3</v>
      </c>
      <c r="AV183" s="24">
        <f t="shared" si="35"/>
        <v>0.24</v>
      </c>
      <c r="AW183" s="24">
        <f t="shared" si="36"/>
        <v>0.18</v>
      </c>
      <c r="AX183" s="25">
        <v>1E-4</v>
      </c>
      <c r="AY183" s="24">
        <v>0</v>
      </c>
      <c r="AZ183" s="24">
        <f t="shared" si="37"/>
        <v>0.27</v>
      </c>
      <c r="BA183" s="24">
        <f t="shared" si="38"/>
        <v>0.21600000000000003</v>
      </c>
      <c r="BB183" s="24">
        <f t="shared" si="39"/>
        <v>0.16200000000000001</v>
      </c>
      <c r="BC183" s="25">
        <v>1E-4</v>
      </c>
      <c r="BD183" s="24">
        <v>0</v>
      </c>
      <c r="BE183" s="26">
        <v>0</v>
      </c>
      <c r="BF183" s="34">
        <f t="shared" si="26"/>
        <v>0</v>
      </c>
      <c r="BG183" s="34">
        <f t="shared" si="27"/>
        <v>0</v>
      </c>
      <c r="BH183" s="26">
        <v>0</v>
      </c>
      <c r="BI183" s="26">
        <v>0</v>
      </c>
      <c r="BJ183" s="27">
        <v>0.218</v>
      </c>
      <c r="BK183" s="27">
        <v>0.27092834047884101</v>
      </c>
      <c r="BL183" s="27" t="s">
        <v>2050</v>
      </c>
      <c r="BM183" s="27" t="s">
        <v>2051</v>
      </c>
      <c r="BN183" s="26"/>
      <c r="BO183" s="34">
        <v>1</v>
      </c>
      <c r="BP183" s="34"/>
      <c r="BQ183" s="34"/>
      <c r="BR183" s="34"/>
      <c r="BS183" s="34"/>
      <c r="BT183" s="34"/>
      <c r="BU183" s="34"/>
      <c r="BV183" s="34"/>
      <c r="BW183" s="34"/>
      <c r="BX183" s="34"/>
      <c r="BY183" s="34"/>
      <c r="BZ183" s="34"/>
      <c r="CA183" s="20"/>
      <c r="CB183" s="20"/>
      <c r="CC183" s="29">
        <v>46003</v>
      </c>
      <c r="CD183" s="11" t="s">
        <v>1275</v>
      </c>
    </row>
    <row r="184" spans="1:82" s="18" customFormat="1" ht="66.75" customHeight="1" x14ac:dyDescent="0.25">
      <c r="A184" s="121">
        <v>180</v>
      </c>
      <c r="B184" s="141" t="s">
        <v>2052</v>
      </c>
      <c r="C184" s="6" t="s">
        <v>2053</v>
      </c>
      <c r="D184" s="6" t="s">
        <v>2054</v>
      </c>
      <c r="E184" s="75" t="s">
        <v>174</v>
      </c>
      <c r="F184" s="4" t="s">
        <v>81</v>
      </c>
      <c r="G184" s="33" t="s">
        <v>84</v>
      </c>
      <c r="H184" s="49" t="s">
        <v>775</v>
      </c>
      <c r="I184" s="49" t="s">
        <v>1948</v>
      </c>
      <c r="J184" s="6" t="s">
        <v>1975</v>
      </c>
      <c r="K184" s="49"/>
      <c r="L184" s="49"/>
      <c r="M184" s="49" t="s">
        <v>88</v>
      </c>
      <c r="N184" s="49" t="s">
        <v>89</v>
      </c>
      <c r="O184" s="49" t="s">
        <v>579</v>
      </c>
      <c r="P184" s="6" t="s">
        <v>2042</v>
      </c>
      <c r="Q184" s="49"/>
      <c r="R184" s="75" t="s">
        <v>175</v>
      </c>
      <c r="S184" s="33" t="s">
        <v>92</v>
      </c>
      <c r="T184" s="33" t="s">
        <v>93</v>
      </c>
      <c r="U184" s="78">
        <v>100</v>
      </c>
      <c r="V184" s="33" t="s">
        <v>94</v>
      </c>
      <c r="W184" s="33" t="s">
        <v>95</v>
      </c>
      <c r="X184" s="33">
        <v>2023</v>
      </c>
      <c r="Y184" s="33" t="s">
        <v>117</v>
      </c>
      <c r="Z184" s="33" t="s">
        <v>95</v>
      </c>
      <c r="AA184" s="33" t="s">
        <v>98</v>
      </c>
      <c r="AB184" s="49" t="s">
        <v>99</v>
      </c>
      <c r="AC184" s="48" t="s">
        <v>2055</v>
      </c>
      <c r="AD184" s="79" t="s">
        <v>2056</v>
      </c>
      <c r="AE184" s="6" t="s">
        <v>2057</v>
      </c>
      <c r="AF184" s="6" t="s">
        <v>121</v>
      </c>
      <c r="AG184" s="6" t="s">
        <v>178</v>
      </c>
      <c r="AH184" s="49" t="s">
        <v>123</v>
      </c>
      <c r="AI184" s="6" t="s">
        <v>2058</v>
      </c>
      <c r="AJ184" s="6" t="s">
        <v>2059</v>
      </c>
      <c r="AK184" s="33" t="s">
        <v>97</v>
      </c>
      <c r="AL184" s="33" t="s">
        <v>97</v>
      </c>
      <c r="AM184" s="5" t="s">
        <v>221</v>
      </c>
      <c r="AN184" s="6" t="s">
        <v>470</v>
      </c>
      <c r="AO184" s="6"/>
      <c r="AP184" s="6"/>
      <c r="AQ184" s="6" t="s">
        <v>1956</v>
      </c>
      <c r="AR184" s="20" t="s">
        <v>97</v>
      </c>
      <c r="AS184" s="20" t="s">
        <v>107</v>
      </c>
      <c r="AT184" s="20"/>
      <c r="AU184" s="24">
        <v>0.2</v>
      </c>
      <c r="AV184" s="24">
        <f t="shared" si="35"/>
        <v>0.16000000000000003</v>
      </c>
      <c r="AW184" s="24">
        <f t="shared" si="36"/>
        <v>0.12</v>
      </c>
      <c r="AX184" s="25">
        <v>1E-4</v>
      </c>
      <c r="AY184" s="24">
        <v>0</v>
      </c>
      <c r="AZ184" s="24">
        <f t="shared" si="37"/>
        <v>0.18000000000000002</v>
      </c>
      <c r="BA184" s="24">
        <f t="shared" si="38"/>
        <v>0.14400000000000002</v>
      </c>
      <c r="BB184" s="24">
        <f t="shared" si="39"/>
        <v>0.10800000000000001</v>
      </c>
      <c r="BC184" s="25">
        <v>1E-4</v>
      </c>
      <c r="BD184" s="24">
        <v>0</v>
      </c>
      <c r="BE184" s="26">
        <v>20</v>
      </c>
      <c r="BF184" s="34">
        <f t="shared" si="26"/>
        <v>16</v>
      </c>
      <c r="BG184" s="34">
        <f t="shared" si="27"/>
        <v>12</v>
      </c>
      <c r="BH184" s="26">
        <v>1</v>
      </c>
      <c r="BI184" s="26">
        <v>0</v>
      </c>
      <c r="BJ184" s="27">
        <v>0.17899999999999999</v>
      </c>
      <c r="BK184" s="27">
        <v>0.18828052079899552</v>
      </c>
      <c r="BL184" s="27" t="s">
        <v>2060</v>
      </c>
      <c r="BM184" s="27" t="s">
        <v>2061</v>
      </c>
      <c r="BN184" s="26"/>
      <c r="BO184" s="34"/>
      <c r="BP184" s="34"/>
      <c r="BQ184" s="34"/>
      <c r="BR184" s="34"/>
      <c r="BS184" s="34"/>
      <c r="BT184" s="34"/>
      <c r="BU184" s="34"/>
      <c r="BV184" s="34"/>
      <c r="BW184" s="34"/>
      <c r="BX184" s="34"/>
      <c r="BY184" s="34"/>
      <c r="BZ184" s="34">
        <v>1</v>
      </c>
      <c r="CA184" s="20" t="s">
        <v>1948</v>
      </c>
      <c r="CB184" s="20" t="s">
        <v>1948</v>
      </c>
      <c r="CC184" s="29">
        <v>46003</v>
      </c>
      <c r="CD184" s="11" t="s">
        <v>2038</v>
      </c>
    </row>
    <row r="185" spans="1:82" s="18" customFormat="1" ht="66.75" customHeight="1" x14ac:dyDescent="0.25">
      <c r="A185" s="87">
        <v>181</v>
      </c>
      <c r="B185" s="141" t="s">
        <v>2062</v>
      </c>
      <c r="C185" s="6" t="s">
        <v>2063</v>
      </c>
      <c r="D185" s="6" t="s">
        <v>2064</v>
      </c>
      <c r="E185" s="75" t="s">
        <v>113</v>
      </c>
      <c r="F185" s="4" t="s">
        <v>81</v>
      </c>
      <c r="G185" s="33">
        <v>41</v>
      </c>
      <c r="H185" s="49" t="s">
        <v>775</v>
      </c>
      <c r="I185" s="49" t="s">
        <v>1948</v>
      </c>
      <c r="J185" s="6" t="s">
        <v>1975</v>
      </c>
      <c r="K185" s="49"/>
      <c r="L185" s="49"/>
      <c r="M185" s="49" t="s">
        <v>136</v>
      </c>
      <c r="N185" s="49" t="s">
        <v>245</v>
      </c>
      <c r="O185" s="49" t="s">
        <v>246</v>
      </c>
      <c r="P185" s="6" t="s">
        <v>2065</v>
      </c>
      <c r="Q185" s="49"/>
      <c r="R185" s="75" t="s">
        <v>91</v>
      </c>
      <c r="S185" s="33" t="s">
        <v>92</v>
      </c>
      <c r="T185" s="33" t="s">
        <v>93</v>
      </c>
      <c r="U185" s="78">
        <v>100</v>
      </c>
      <c r="V185" s="33" t="s">
        <v>94</v>
      </c>
      <c r="W185" s="33" t="s">
        <v>95</v>
      </c>
      <c r="X185" s="33">
        <v>2023</v>
      </c>
      <c r="Y185" s="33" t="s">
        <v>117</v>
      </c>
      <c r="Z185" s="33" t="s">
        <v>97</v>
      </c>
      <c r="AA185" s="33" t="s">
        <v>98</v>
      </c>
      <c r="AB185" s="49" t="s">
        <v>99</v>
      </c>
      <c r="AC185" s="48" t="s">
        <v>2066</v>
      </c>
      <c r="AD185" s="48" t="s">
        <v>1950</v>
      </c>
      <c r="AE185" s="6" t="s">
        <v>2067</v>
      </c>
      <c r="AF185" s="6" t="s">
        <v>2068</v>
      </c>
      <c r="AG185" s="6" t="s">
        <v>1042</v>
      </c>
      <c r="AH185" s="49" t="s">
        <v>1042</v>
      </c>
      <c r="AI185" s="6" t="s">
        <v>2069</v>
      </c>
      <c r="AJ185" s="6" t="s">
        <v>2070</v>
      </c>
      <c r="AK185" s="33" t="s">
        <v>97</v>
      </c>
      <c r="AL185" s="33" t="s">
        <v>97</v>
      </c>
      <c r="AM185" s="5" t="s">
        <v>2071</v>
      </c>
      <c r="AN185" s="5"/>
      <c r="AO185" s="5"/>
      <c r="AP185" s="5"/>
      <c r="AQ185" s="88" t="s">
        <v>1992</v>
      </c>
      <c r="AR185" s="20" t="s">
        <v>97</v>
      </c>
      <c r="AS185" s="20" t="s">
        <v>107</v>
      </c>
      <c r="AT185" s="20"/>
      <c r="AU185" s="24">
        <v>0.2</v>
      </c>
      <c r="AV185" s="24">
        <f t="shared" si="35"/>
        <v>0.16000000000000003</v>
      </c>
      <c r="AW185" s="24">
        <f t="shared" si="36"/>
        <v>0.12</v>
      </c>
      <c r="AX185" s="25">
        <v>1E-4</v>
      </c>
      <c r="AY185" s="24">
        <v>0</v>
      </c>
      <c r="AZ185" s="24">
        <f t="shared" si="37"/>
        <v>0.18000000000000002</v>
      </c>
      <c r="BA185" s="24">
        <f t="shared" si="38"/>
        <v>0.14400000000000002</v>
      </c>
      <c r="BB185" s="24">
        <f t="shared" si="39"/>
        <v>0.10800000000000001</v>
      </c>
      <c r="BC185" s="25">
        <v>1E-4</v>
      </c>
      <c r="BD185" s="24">
        <v>0</v>
      </c>
      <c r="BE185" s="26">
        <v>0</v>
      </c>
      <c r="BF185" s="34">
        <f t="shared" si="26"/>
        <v>0</v>
      </c>
      <c r="BG185" s="34">
        <f t="shared" si="27"/>
        <v>0</v>
      </c>
      <c r="BH185" s="26">
        <v>0</v>
      </c>
      <c r="BI185" s="26">
        <v>0</v>
      </c>
      <c r="BJ185" s="27">
        <v>0.11600000000000001</v>
      </c>
      <c r="BK185" s="27">
        <v>0.33613337894772527</v>
      </c>
      <c r="BL185" s="27" t="s">
        <v>2072</v>
      </c>
      <c r="BM185" s="27" t="s">
        <v>2073</v>
      </c>
      <c r="BN185" s="26"/>
      <c r="BO185" s="34">
        <v>1</v>
      </c>
      <c r="BP185" s="34"/>
      <c r="BQ185" s="34"/>
      <c r="BR185" s="34"/>
      <c r="BS185" s="34"/>
      <c r="BT185" s="34"/>
      <c r="BU185" s="34"/>
      <c r="BV185" s="34"/>
      <c r="BW185" s="34"/>
      <c r="BX185" s="34"/>
      <c r="BY185" s="34"/>
      <c r="BZ185" s="34"/>
      <c r="CA185" s="20"/>
      <c r="CB185" s="20"/>
      <c r="CC185" s="29">
        <v>46003</v>
      </c>
      <c r="CD185" s="35" t="s">
        <v>2074</v>
      </c>
    </row>
    <row r="186" spans="1:82" s="18" customFormat="1" ht="66.75" customHeight="1" x14ac:dyDescent="0.25">
      <c r="A186" s="87">
        <v>182</v>
      </c>
      <c r="B186" s="141" t="s">
        <v>2075</v>
      </c>
      <c r="C186" s="6" t="s">
        <v>2076</v>
      </c>
      <c r="D186" s="6" t="s">
        <v>2077</v>
      </c>
      <c r="E186" s="75" t="s">
        <v>113</v>
      </c>
      <c r="F186" s="4" t="s">
        <v>81</v>
      </c>
      <c r="G186" s="33">
        <v>42</v>
      </c>
      <c r="H186" s="49" t="s">
        <v>775</v>
      </c>
      <c r="I186" s="49" t="s">
        <v>1948</v>
      </c>
      <c r="J186" s="6" t="s">
        <v>1975</v>
      </c>
      <c r="K186" s="49"/>
      <c r="L186" s="49"/>
      <c r="M186" s="49" t="s">
        <v>136</v>
      </c>
      <c r="N186" s="49" t="s">
        <v>245</v>
      </c>
      <c r="O186" s="49" t="s">
        <v>246</v>
      </c>
      <c r="P186" s="6" t="s">
        <v>2065</v>
      </c>
      <c r="Q186" s="49"/>
      <c r="R186" s="75" t="s">
        <v>91</v>
      </c>
      <c r="S186" s="33" t="s">
        <v>92</v>
      </c>
      <c r="T186" s="33" t="s">
        <v>93</v>
      </c>
      <c r="U186" s="78">
        <v>100</v>
      </c>
      <c r="V186" s="33" t="s">
        <v>94</v>
      </c>
      <c r="W186" s="33" t="s">
        <v>95</v>
      </c>
      <c r="X186" s="33">
        <v>2023</v>
      </c>
      <c r="Y186" s="33" t="s">
        <v>117</v>
      </c>
      <c r="Z186" s="33" t="s">
        <v>97</v>
      </c>
      <c r="AA186" s="33" t="s">
        <v>98</v>
      </c>
      <c r="AB186" s="49" t="s">
        <v>99</v>
      </c>
      <c r="AC186" s="48" t="s">
        <v>2078</v>
      </c>
      <c r="AD186" s="48" t="s">
        <v>1963</v>
      </c>
      <c r="AE186" s="6" t="s">
        <v>2067</v>
      </c>
      <c r="AF186" s="6" t="s">
        <v>2068</v>
      </c>
      <c r="AG186" s="6" t="s">
        <v>1965</v>
      </c>
      <c r="AH186" s="49" t="s">
        <v>1965</v>
      </c>
      <c r="AI186" s="6" t="s">
        <v>2079</v>
      </c>
      <c r="AJ186" s="6" t="s">
        <v>2080</v>
      </c>
      <c r="AK186" s="33" t="s">
        <v>97</v>
      </c>
      <c r="AL186" s="33" t="s">
        <v>97</v>
      </c>
      <c r="AM186" s="5" t="s">
        <v>2071</v>
      </c>
      <c r="AN186" s="5"/>
      <c r="AO186" s="5"/>
      <c r="AP186" s="5"/>
      <c r="AQ186" s="88" t="s">
        <v>1992</v>
      </c>
      <c r="AR186" s="20" t="s">
        <v>97</v>
      </c>
      <c r="AS186" s="20" t="s">
        <v>107</v>
      </c>
      <c r="AT186" s="20"/>
      <c r="AU186" s="24">
        <v>0.6</v>
      </c>
      <c r="AV186" s="24">
        <f t="shared" si="35"/>
        <v>0.48</v>
      </c>
      <c r="AW186" s="24">
        <f t="shared" si="36"/>
        <v>0.36</v>
      </c>
      <c r="AX186" s="25">
        <v>1E-4</v>
      </c>
      <c r="AY186" s="24">
        <v>0</v>
      </c>
      <c r="AZ186" s="24">
        <f t="shared" si="37"/>
        <v>0.54</v>
      </c>
      <c r="BA186" s="24">
        <f t="shared" si="38"/>
        <v>0.43200000000000005</v>
      </c>
      <c r="BB186" s="24">
        <f t="shared" si="39"/>
        <v>0.32400000000000001</v>
      </c>
      <c r="BC186" s="25">
        <v>1E-4</v>
      </c>
      <c r="BD186" s="24">
        <v>0</v>
      </c>
      <c r="BE186" s="26">
        <v>0</v>
      </c>
      <c r="BF186" s="34">
        <f t="shared" si="26"/>
        <v>0</v>
      </c>
      <c r="BG186" s="34">
        <f t="shared" si="27"/>
        <v>0</v>
      </c>
      <c r="BH186" s="26">
        <v>0</v>
      </c>
      <c r="BI186" s="26">
        <v>0</v>
      </c>
      <c r="BJ186" s="27">
        <v>0.52800000000000002</v>
      </c>
      <c r="BK186" s="27">
        <v>0.10375382847918074</v>
      </c>
      <c r="BL186" s="27" t="s">
        <v>2081</v>
      </c>
      <c r="BM186" s="27" t="s">
        <v>1515</v>
      </c>
      <c r="BN186" s="26"/>
      <c r="BO186" s="34">
        <v>1</v>
      </c>
      <c r="BP186" s="34"/>
      <c r="BQ186" s="34"/>
      <c r="BR186" s="34"/>
      <c r="BS186" s="34"/>
      <c r="BT186" s="34"/>
      <c r="BU186" s="34"/>
      <c r="BV186" s="34"/>
      <c r="BW186" s="34"/>
      <c r="BX186" s="34"/>
      <c r="BY186" s="34"/>
      <c r="BZ186" s="34"/>
      <c r="CA186" s="20"/>
      <c r="CB186" s="20"/>
      <c r="CC186" s="29">
        <v>46003</v>
      </c>
      <c r="CD186" s="35" t="s">
        <v>254</v>
      </c>
    </row>
    <row r="187" spans="1:82" s="18" customFormat="1" ht="66.75" customHeight="1" x14ac:dyDescent="0.25">
      <c r="A187" s="121">
        <v>183</v>
      </c>
      <c r="B187" s="141" t="s">
        <v>2082</v>
      </c>
      <c r="C187" s="6" t="s">
        <v>2083</v>
      </c>
      <c r="D187" s="6" t="s">
        <v>2084</v>
      </c>
      <c r="E187" s="75" t="s">
        <v>113</v>
      </c>
      <c r="F187" s="4" t="s">
        <v>81</v>
      </c>
      <c r="G187" s="33">
        <v>43</v>
      </c>
      <c r="H187" s="49" t="s">
        <v>775</v>
      </c>
      <c r="I187" s="49" t="s">
        <v>1948</v>
      </c>
      <c r="J187" s="6" t="s">
        <v>1975</v>
      </c>
      <c r="K187" s="49"/>
      <c r="L187" s="49"/>
      <c r="M187" s="49" t="s">
        <v>136</v>
      </c>
      <c r="N187" s="49" t="s">
        <v>245</v>
      </c>
      <c r="O187" s="49" t="s">
        <v>246</v>
      </c>
      <c r="P187" s="6" t="s">
        <v>2085</v>
      </c>
      <c r="Q187" s="49"/>
      <c r="R187" s="75" t="s">
        <v>91</v>
      </c>
      <c r="S187" s="33" t="s">
        <v>92</v>
      </c>
      <c r="T187" s="33" t="s">
        <v>93</v>
      </c>
      <c r="U187" s="78">
        <v>100</v>
      </c>
      <c r="V187" s="33" t="s">
        <v>94</v>
      </c>
      <c r="W187" s="33" t="s">
        <v>95</v>
      </c>
      <c r="X187" s="33">
        <v>2023</v>
      </c>
      <c r="Y187" s="33" t="s">
        <v>117</v>
      </c>
      <c r="Z187" s="33" t="s">
        <v>97</v>
      </c>
      <c r="AA187" s="33" t="s">
        <v>98</v>
      </c>
      <c r="AB187" s="49" t="s">
        <v>99</v>
      </c>
      <c r="AC187" s="48" t="s">
        <v>2086</v>
      </c>
      <c r="AD187" s="48" t="s">
        <v>2087</v>
      </c>
      <c r="AE187" s="6" t="s">
        <v>2088</v>
      </c>
      <c r="AF187" s="6" t="s">
        <v>2068</v>
      </c>
      <c r="AG187" s="6" t="s">
        <v>178</v>
      </c>
      <c r="AH187" s="49" t="s">
        <v>178</v>
      </c>
      <c r="AI187" s="6" t="s">
        <v>2089</v>
      </c>
      <c r="AJ187" s="6" t="s">
        <v>2090</v>
      </c>
      <c r="AK187" s="33" t="s">
        <v>97</v>
      </c>
      <c r="AL187" s="33" t="s">
        <v>97</v>
      </c>
      <c r="AM187" s="5" t="s">
        <v>2071</v>
      </c>
      <c r="AN187" s="5" t="s">
        <v>2091</v>
      </c>
      <c r="AO187" s="5"/>
      <c r="AP187" s="5"/>
      <c r="AQ187" s="75" t="s">
        <v>87</v>
      </c>
      <c r="AR187" s="20" t="s">
        <v>97</v>
      </c>
      <c r="AS187" s="20" t="s">
        <v>107</v>
      </c>
      <c r="AT187" s="20"/>
      <c r="AU187" s="24" t="s">
        <v>1678</v>
      </c>
      <c r="AV187" s="24"/>
      <c r="AW187" s="24"/>
      <c r="AX187" s="25"/>
      <c r="AY187" s="24">
        <v>0</v>
      </c>
      <c r="AZ187" s="24" t="s">
        <v>1678</v>
      </c>
      <c r="BA187" s="24"/>
      <c r="BB187" s="24"/>
      <c r="BC187" s="25" t="s">
        <v>1679</v>
      </c>
      <c r="BD187" s="24"/>
      <c r="BE187" s="26">
        <v>0</v>
      </c>
      <c r="BF187" s="34">
        <f t="shared" si="26"/>
        <v>0</v>
      </c>
      <c r="BG187" s="34">
        <f t="shared" si="27"/>
        <v>0</v>
      </c>
      <c r="BH187" s="26">
        <v>0</v>
      </c>
      <c r="BI187" s="26">
        <v>0</v>
      </c>
      <c r="BJ187" s="20" t="s">
        <v>496</v>
      </c>
      <c r="BK187" s="27">
        <v>0.38787400097794567</v>
      </c>
      <c r="BL187" s="27" t="s">
        <v>2092</v>
      </c>
      <c r="BM187" s="27" t="s">
        <v>2093</v>
      </c>
      <c r="BN187" s="26"/>
      <c r="BO187" s="34">
        <v>1</v>
      </c>
      <c r="BP187" s="34"/>
      <c r="BQ187" s="34"/>
      <c r="BR187" s="34"/>
      <c r="BS187" s="34"/>
      <c r="BT187" s="34"/>
      <c r="BU187" s="34"/>
      <c r="BV187" s="34"/>
      <c r="BW187" s="34"/>
      <c r="BX187" s="34"/>
      <c r="BY187" s="34"/>
      <c r="BZ187" s="34"/>
      <c r="CA187" s="20"/>
      <c r="CB187" s="20"/>
      <c r="CC187" s="29">
        <v>46003</v>
      </c>
      <c r="CD187" s="35" t="s">
        <v>254</v>
      </c>
    </row>
    <row r="188" spans="1:82" s="18" customFormat="1" ht="66.75" customHeight="1" x14ac:dyDescent="0.25">
      <c r="A188" s="87">
        <v>184</v>
      </c>
      <c r="B188" s="141" t="s">
        <v>2094</v>
      </c>
      <c r="C188" s="6" t="s">
        <v>2095</v>
      </c>
      <c r="D188" s="6" t="s">
        <v>2096</v>
      </c>
      <c r="E188" s="75" t="s">
        <v>113</v>
      </c>
      <c r="F188" s="4" t="s">
        <v>81</v>
      </c>
      <c r="G188" s="33">
        <v>44</v>
      </c>
      <c r="H188" s="49" t="s">
        <v>775</v>
      </c>
      <c r="I188" s="49" t="s">
        <v>1948</v>
      </c>
      <c r="J188" s="6" t="s">
        <v>1975</v>
      </c>
      <c r="K188" s="49"/>
      <c r="L188" s="49"/>
      <c r="M188" s="49" t="s">
        <v>136</v>
      </c>
      <c r="N188" s="49" t="s">
        <v>245</v>
      </c>
      <c r="O188" s="49" t="s">
        <v>246</v>
      </c>
      <c r="P188" s="6" t="s">
        <v>2097</v>
      </c>
      <c r="Q188" s="49"/>
      <c r="R188" s="75" t="s">
        <v>91</v>
      </c>
      <c r="S188" s="33" t="s">
        <v>92</v>
      </c>
      <c r="T188" s="33" t="s">
        <v>93</v>
      </c>
      <c r="U188" s="78">
        <v>100</v>
      </c>
      <c r="V188" s="33" t="s">
        <v>94</v>
      </c>
      <c r="W188" s="33" t="s">
        <v>95</v>
      </c>
      <c r="X188" s="33">
        <v>2023</v>
      </c>
      <c r="Y188" s="33" t="s">
        <v>117</v>
      </c>
      <c r="Z188" s="33" t="s">
        <v>97</v>
      </c>
      <c r="AA188" s="33" t="s">
        <v>98</v>
      </c>
      <c r="AB188" s="49" t="s">
        <v>99</v>
      </c>
      <c r="AC188" s="48" t="s">
        <v>2098</v>
      </c>
      <c r="AD188" s="48" t="s">
        <v>2087</v>
      </c>
      <c r="AE188" s="6" t="s">
        <v>2099</v>
      </c>
      <c r="AF188" s="6" t="s">
        <v>2068</v>
      </c>
      <c r="AG188" s="6" t="s">
        <v>178</v>
      </c>
      <c r="AH188" s="49" t="s">
        <v>178</v>
      </c>
      <c r="AI188" s="6" t="s">
        <v>2100</v>
      </c>
      <c r="AJ188" s="6" t="s">
        <v>2090</v>
      </c>
      <c r="AK188" s="33" t="s">
        <v>97</v>
      </c>
      <c r="AL188" s="33" t="s">
        <v>97</v>
      </c>
      <c r="AM188" s="5" t="s">
        <v>2071</v>
      </c>
      <c r="AN188" s="5" t="s">
        <v>2091</v>
      </c>
      <c r="AO188" s="5"/>
      <c r="AP188" s="5"/>
      <c r="AQ188" s="75" t="s">
        <v>87</v>
      </c>
      <c r="AR188" s="20" t="s">
        <v>97</v>
      </c>
      <c r="AS188" s="20" t="s">
        <v>107</v>
      </c>
      <c r="AT188" s="20"/>
      <c r="AU188" s="24" t="s">
        <v>571</v>
      </c>
      <c r="AV188" s="24"/>
      <c r="AW188" s="24"/>
      <c r="AX188" s="25"/>
      <c r="AY188" s="24">
        <v>0</v>
      </c>
      <c r="AZ188" s="24" t="s">
        <v>2101</v>
      </c>
      <c r="BA188" s="24"/>
      <c r="BB188" s="24"/>
      <c r="BC188" s="25" t="s">
        <v>2102</v>
      </c>
      <c r="BD188" s="24"/>
      <c r="BE188" s="26">
        <v>0</v>
      </c>
      <c r="BF188" s="34">
        <f t="shared" si="26"/>
        <v>0</v>
      </c>
      <c r="BG188" s="34">
        <f t="shared" si="27"/>
        <v>0</v>
      </c>
      <c r="BH188" s="26">
        <v>0</v>
      </c>
      <c r="BI188" s="26">
        <v>0</v>
      </c>
      <c r="BJ188" s="20" t="s">
        <v>496</v>
      </c>
      <c r="BK188" s="27">
        <v>0.37659443076819316</v>
      </c>
      <c r="BL188" s="27" t="s">
        <v>2103</v>
      </c>
      <c r="BM188" s="27" t="s">
        <v>2104</v>
      </c>
      <c r="BN188" s="26"/>
      <c r="BO188" s="34">
        <v>1</v>
      </c>
      <c r="BP188" s="34"/>
      <c r="BQ188" s="34"/>
      <c r="BR188" s="34"/>
      <c r="BS188" s="34"/>
      <c r="BT188" s="34"/>
      <c r="BU188" s="34"/>
      <c r="BV188" s="34"/>
      <c r="BW188" s="34"/>
      <c r="BX188" s="34"/>
      <c r="BY188" s="34"/>
      <c r="BZ188" s="34"/>
      <c r="CA188" s="20"/>
      <c r="CB188" s="20"/>
      <c r="CC188" s="29">
        <v>46003</v>
      </c>
      <c r="CD188" s="35" t="s">
        <v>254</v>
      </c>
    </row>
    <row r="189" spans="1:82" s="18" customFormat="1" ht="66.75" customHeight="1" x14ac:dyDescent="0.25">
      <c r="A189" s="87">
        <v>185</v>
      </c>
      <c r="B189" s="141" t="s">
        <v>2105</v>
      </c>
      <c r="C189" s="6" t="s">
        <v>2106</v>
      </c>
      <c r="D189" s="6" t="s">
        <v>2107</v>
      </c>
      <c r="E189" s="75" t="s">
        <v>113</v>
      </c>
      <c r="F189" s="4" t="s">
        <v>81</v>
      </c>
      <c r="G189" s="33">
        <v>45</v>
      </c>
      <c r="H189" s="49" t="s">
        <v>775</v>
      </c>
      <c r="I189" s="49" t="s">
        <v>1948</v>
      </c>
      <c r="J189" s="6" t="s">
        <v>1975</v>
      </c>
      <c r="K189" s="49"/>
      <c r="L189" s="49"/>
      <c r="M189" s="49" t="s">
        <v>136</v>
      </c>
      <c r="N189" s="49" t="s">
        <v>245</v>
      </c>
      <c r="O189" s="49" t="s">
        <v>246</v>
      </c>
      <c r="P189" s="6" t="s">
        <v>2108</v>
      </c>
      <c r="Q189" s="49"/>
      <c r="R189" s="75" t="s">
        <v>91</v>
      </c>
      <c r="S189" s="33" t="s">
        <v>92</v>
      </c>
      <c r="T189" s="33" t="s">
        <v>93</v>
      </c>
      <c r="U189" s="78">
        <v>100</v>
      </c>
      <c r="V189" s="33" t="s">
        <v>94</v>
      </c>
      <c r="W189" s="33" t="s">
        <v>95</v>
      </c>
      <c r="X189" s="33">
        <v>2023</v>
      </c>
      <c r="Y189" s="33" t="s">
        <v>117</v>
      </c>
      <c r="Z189" s="33" t="s">
        <v>97</v>
      </c>
      <c r="AA189" s="33" t="s">
        <v>98</v>
      </c>
      <c r="AB189" s="49" t="s">
        <v>99</v>
      </c>
      <c r="AC189" s="48" t="s">
        <v>2109</v>
      </c>
      <c r="AD189" s="48" t="s">
        <v>2110</v>
      </c>
      <c r="AE189" s="6" t="s">
        <v>2111</v>
      </c>
      <c r="AF189" s="6" t="s">
        <v>2068</v>
      </c>
      <c r="AG189" s="6" t="s">
        <v>178</v>
      </c>
      <c r="AH189" s="6" t="s">
        <v>178</v>
      </c>
      <c r="AI189" s="6" t="s">
        <v>2112</v>
      </c>
      <c r="AJ189" s="6" t="s">
        <v>2113</v>
      </c>
      <c r="AK189" s="33" t="s">
        <v>97</v>
      </c>
      <c r="AL189" s="33" t="s">
        <v>97</v>
      </c>
      <c r="AM189" s="5" t="s">
        <v>2071</v>
      </c>
      <c r="AN189" s="5" t="s">
        <v>2091</v>
      </c>
      <c r="AO189" s="5"/>
      <c r="AP189" s="5"/>
      <c r="AQ189" s="75" t="s">
        <v>87</v>
      </c>
      <c r="AR189" s="20" t="s">
        <v>97</v>
      </c>
      <c r="AS189" s="20" t="s">
        <v>107</v>
      </c>
      <c r="AT189" s="20"/>
      <c r="AU189" s="24" t="s">
        <v>1637</v>
      </c>
      <c r="AV189" s="24"/>
      <c r="AW189" s="24"/>
      <c r="AX189" s="25"/>
      <c r="AY189" s="24">
        <v>0</v>
      </c>
      <c r="AZ189" s="24" t="s">
        <v>1637</v>
      </c>
      <c r="BA189" s="24"/>
      <c r="BB189" s="24"/>
      <c r="BC189" s="25" t="s">
        <v>1638</v>
      </c>
      <c r="BD189" s="24"/>
      <c r="BE189" s="26">
        <v>0</v>
      </c>
      <c r="BF189" s="34">
        <f t="shared" si="26"/>
        <v>0</v>
      </c>
      <c r="BG189" s="34">
        <f t="shared" si="27"/>
        <v>0</v>
      </c>
      <c r="BH189" s="26">
        <v>0</v>
      </c>
      <c r="BI189" s="26">
        <v>0</v>
      </c>
      <c r="BJ189" s="20" t="s">
        <v>496</v>
      </c>
      <c r="BK189" s="27">
        <v>4.4363924292955045E-3</v>
      </c>
      <c r="BL189" s="27" t="s">
        <v>2114</v>
      </c>
      <c r="BM189" s="27" t="s">
        <v>2115</v>
      </c>
      <c r="BN189" s="26"/>
      <c r="BO189" s="34">
        <v>1</v>
      </c>
      <c r="BP189" s="34"/>
      <c r="BQ189" s="34"/>
      <c r="BR189" s="34"/>
      <c r="BS189" s="34"/>
      <c r="BT189" s="34"/>
      <c r="BU189" s="34"/>
      <c r="BV189" s="34"/>
      <c r="BW189" s="34"/>
      <c r="BX189" s="34"/>
      <c r="BY189" s="34"/>
      <c r="BZ189" s="34"/>
      <c r="CA189" s="20"/>
      <c r="CB189" s="20"/>
      <c r="CC189" s="29">
        <v>46003</v>
      </c>
      <c r="CD189" s="35" t="s">
        <v>254</v>
      </c>
    </row>
    <row r="190" spans="1:82" s="18" customFormat="1" ht="66.75" customHeight="1" x14ac:dyDescent="0.25">
      <c r="A190" s="121">
        <v>186</v>
      </c>
      <c r="B190" s="141" t="s">
        <v>2116</v>
      </c>
      <c r="C190" s="6" t="s">
        <v>2117</v>
      </c>
      <c r="D190" s="6" t="s">
        <v>2118</v>
      </c>
      <c r="E190" s="75" t="s">
        <v>113</v>
      </c>
      <c r="F190" s="4" t="s">
        <v>81</v>
      </c>
      <c r="G190" s="33">
        <v>54</v>
      </c>
      <c r="H190" s="49" t="s">
        <v>775</v>
      </c>
      <c r="I190" s="49" t="s">
        <v>1948</v>
      </c>
      <c r="J190" s="6" t="s">
        <v>1975</v>
      </c>
      <c r="K190" s="49"/>
      <c r="L190" s="49"/>
      <c r="M190" s="49" t="s">
        <v>136</v>
      </c>
      <c r="N190" s="49" t="s">
        <v>245</v>
      </c>
      <c r="O190" s="49" t="s">
        <v>246</v>
      </c>
      <c r="P190" s="6" t="s">
        <v>2119</v>
      </c>
      <c r="Q190" s="49"/>
      <c r="R190" s="75" t="s">
        <v>91</v>
      </c>
      <c r="S190" s="33" t="s">
        <v>92</v>
      </c>
      <c r="T190" s="33" t="s">
        <v>93</v>
      </c>
      <c r="U190" s="78">
        <v>100</v>
      </c>
      <c r="V190" s="33" t="s">
        <v>94</v>
      </c>
      <c r="W190" s="33" t="s">
        <v>95</v>
      </c>
      <c r="X190" s="33">
        <v>2023</v>
      </c>
      <c r="Y190" s="33" t="s">
        <v>117</v>
      </c>
      <c r="Z190" s="33" t="s">
        <v>97</v>
      </c>
      <c r="AA190" s="33" t="s">
        <v>98</v>
      </c>
      <c r="AB190" s="49" t="s">
        <v>99</v>
      </c>
      <c r="AC190" s="48" t="s">
        <v>2120</v>
      </c>
      <c r="AD190" s="48" t="s">
        <v>2121</v>
      </c>
      <c r="AE190" s="6" t="s">
        <v>2122</v>
      </c>
      <c r="AF190" s="6" t="s">
        <v>2123</v>
      </c>
      <c r="AG190" s="6" t="s">
        <v>178</v>
      </c>
      <c r="AH190" s="6" t="s">
        <v>178</v>
      </c>
      <c r="AI190" s="6" t="s">
        <v>2124</v>
      </c>
      <c r="AJ190" s="6" t="s">
        <v>2125</v>
      </c>
      <c r="AK190" s="33" t="s">
        <v>97</v>
      </c>
      <c r="AL190" s="33" t="s">
        <v>97</v>
      </c>
      <c r="AM190" s="5" t="s">
        <v>2071</v>
      </c>
      <c r="AN190" s="5" t="s">
        <v>2091</v>
      </c>
      <c r="AO190" s="5"/>
      <c r="AP190" s="5"/>
      <c r="AQ190" s="75" t="s">
        <v>87</v>
      </c>
      <c r="AR190" s="20" t="s">
        <v>97</v>
      </c>
      <c r="AS190" s="20" t="s">
        <v>107</v>
      </c>
      <c r="AT190" s="20"/>
      <c r="AU190" s="24" t="s">
        <v>1691</v>
      </c>
      <c r="AV190" s="24"/>
      <c r="AW190" s="24"/>
      <c r="AX190" s="25"/>
      <c r="AY190" s="24">
        <v>0</v>
      </c>
      <c r="AZ190" s="24" t="s">
        <v>2126</v>
      </c>
      <c r="BA190" s="24"/>
      <c r="BB190" s="24"/>
      <c r="BC190" s="25" t="s">
        <v>2127</v>
      </c>
      <c r="BD190" s="24"/>
      <c r="BE190" s="26">
        <v>0</v>
      </c>
      <c r="BF190" s="34">
        <f t="shared" si="26"/>
        <v>0</v>
      </c>
      <c r="BG190" s="34">
        <f t="shared" si="27"/>
        <v>0</v>
      </c>
      <c r="BH190" s="26">
        <v>0</v>
      </c>
      <c r="BI190" s="26">
        <v>0</v>
      </c>
      <c r="BJ190" s="20" t="s">
        <v>496</v>
      </c>
      <c r="BK190" s="27">
        <v>9.4266293117533428E-2</v>
      </c>
      <c r="BL190" s="27" t="s">
        <v>2128</v>
      </c>
      <c r="BM190" s="27" t="s">
        <v>2129</v>
      </c>
      <c r="BN190" s="26"/>
      <c r="BO190" s="34">
        <v>1</v>
      </c>
      <c r="BP190" s="34"/>
      <c r="BQ190" s="34"/>
      <c r="BR190" s="34"/>
      <c r="BS190" s="34"/>
      <c r="BT190" s="34"/>
      <c r="BU190" s="34"/>
      <c r="BV190" s="34"/>
      <c r="BW190" s="34"/>
      <c r="BX190" s="34"/>
      <c r="BY190" s="34"/>
      <c r="BZ190" s="34"/>
      <c r="CA190" s="20"/>
      <c r="CB190" s="20"/>
      <c r="CC190" s="29">
        <v>46003</v>
      </c>
      <c r="CD190" s="35" t="s">
        <v>254</v>
      </c>
    </row>
    <row r="191" spans="1:82" s="18" customFormat="1" ht="66.75" customHeight="1" x14ac:dyDescent="0.25">
      <c r="A191" s="87">
        <v>187</v>
      </c>
      <c r="B191" s="141" t="s">
        <v>2130</v>
      </c>
      <c r="C191" s="6" t="s">
        <v>2131</v>
      </c>
      <c r="D191" s="6" t="s">
        <v>2132</v>
      </c>
      <c r="E191" s="75" t="s">
        <v>174</v>
      </c>
      <c r="F191" s="4" t="s">
        <v>81</v>
      </c>
      <c r="G191" s="33" t="s">
        <v>84</v>
      </c>
      <c r="H191" s="49" t="s">
        <v>775</v>
      </c>
      <c r="I191" s="49" t="s">
        <v>2133</v>
      </c>
      <c r="J191" s="6"/>
      <c r="K191" s="49"/>
      <c r="L191" s="49"/>
      <c r="M191" s="49" t="s">
        <v>88</v>
      </c>
      <c r="N191" s="49" t="s">
        <v>89</v>
      </c>
      <c r="O191" s="49" t="s">
        <v>579</v>
      </c>
      <c r="P191" s="6" t="s">
        <v>2134</v>
      </c>
      <c r="Q191" s="49"/>
      <c r="R191" s="75" t="s">
        <v>91</v>
      </c>
      <c r="S191" s="33" t="s">
        <v>92</v>
      </c>
      <c r="T191" s="33" t="s">
        <v>93</v>
      </c>
      <c r="U191" s="78">
        <v>100</v>
      </c>
      <c r="V191" s="33" t="s">
        <v>94</v>
      </c>
      <c r="W191" s="33" t="s">
        <v>95</v>
      </c>
      <c r="X191" s="33">
        <v>2021</v>
      </c>
      <c r="Y191" s="33" t="s">
        <v>117</v>
      </c>
      <c r="Z191" s="33" t="s">
        <v>95</v>
      </c>
      <c r="AA191" s="33" t="s">
        <v>98</v>
      </c>
      <c r="AB191" s="49" t="s">
        <v>99</v>
      </c>
      <c r="AC191" s="48" t="s">
        <v>2135</v>
      </c>
      <c r="AD191" s="79" t="s">
        <v>2136</v>
      </c>
      <c r="AE191" s="6" t="s">
        <v>2137</v>
      </c>
      <c r="AF191" s="6" t="s">
        <v>121</v>
      </c>
      <c r="AG191" s="6" t="s">
        <v>122</v>
      </c>
      <c r="AH191" s="49" t="s">
        <v>123</v>
      </c>
      <c r="AI191" s="6" t="s">
        <v>2138</v>
      </c>
      <c r="AJ191" s="6" t="s">
        <v>2139</v>
      </c>
      <c r="AK191" s="33" t="s">
        <v>97</v>
      </c>
      <c r="AL191" s="33" t="s">
        <v>97</v>
      </c>
      <c r="AM191" s="5" t="s">
        <v>221</v>
      </c>
      <c r="AN191" s="5" t="s">
        <v>470</v>
      </c>
      <c r="AO191" s="5" t="s">
        <v>2140</v>
      </c>
      <c r="AP191" s="5" t="s">
        <v>2141</v>
      </c>
      <c r="AQ191" s="6" t="s">
        <v>2142</v>
      </c>
      <c r="AR191" s="20" t="s">
        <v>97</v>
      </c>
      <c r="AS191" s="20" t="s">
        <v>107</v>
      </c>
      <c r="AT191" s="20"/>
      <c r="AU191" s="24">
        <v>0.55000000000000004</v>
      </c>
      <c r="AV191" s="24">
        <f>+AU191*80%</f>
        <v>0.44000000000000006</v>
      </c>
      <c r="AW191" s="24">
        <f>+AU191*60%</f>
        <v>0.33</v>
      </c>
      <c r="AX191" s="25">
        <v>1E-4</v>
      </c>
      <c r="AY191" s="24">
        <v>0</v>
      </c>
      <c r="AZ191" s="24">
        <f>+AU191*90%</f>
        <v>0.49500000000000005</v>
      </c>
      <c r="BA191" s="24">
        <f>AZ191*80%</f>
        <v>0.39600000000000007</v>
      </c>
      <c r="BB191" s="24">
        <f>AZ191*60%</f>
        <v>0.29700000000000004</v>
      </c>
      <c r="BC191" s="25">
        <v>1E-4</v>
      </c>
      <c r="BD191" s="24">
        <v>0</v>
      </c>
      <c r="BE191" s="34">
        <v>5</v>
      </c>
      <c r="BF191" s="34">
        <f t="shared" si="26"/>
        <v>4</v>
      </c>
      <c r="BG191" s="34">
        <f t="shared" si="27"/>
        <v>3</v>
      </c>
      <c r="BH191" s="26">
        <v>1</v>
      </c>
      <c r="BI191" s="26">
        <v>0</v>
      </c>
      <c r="BJ191" s="27">
        <v>0.53100000000000003</v>
      </c>
      <c r="BK191" s="27">
        <v>0.50187448569459969</v>
      </c>
      <c r="BL191" s="27" t="s">
        <v>2143</v>
      </c>
      <c r="BM191" s="27" t="s">
        <v>2144</v>
      </c>
      <c r="BN191" s="26"/>
      <c r="BO191" s="34"/>
      <c r="BP191" s="34"/>
      <c r="BQ191" s="34"/>
      <c r="BR191" s="34"/>
      <c r="BS191" s="34"/>
      <c r="BT191" s="34"/>
      <c r="BU191" s="34"/>
      <c r="BV191" s="34"/>
      <c r="BW191" s="34"/>
      <c r="BX191" s="34"/>
      <c r="BY191" s="34"/>
      <c r="BZ191" s="34">
        <v>1</v>
      </c>
      <c r="CA191" s="20" t="s">
        <v>240</v>
      </c>
      <c r="CB191" s="20" t="s">
        <v>240</v>
      </c>
      <c r="CC191" s="29">
        <v>45699</v>
      </c>
      <c r="CD191" s="11" t="s">
        <v>360</v>
      </c>
    </row>
    <row r="192" spans="1:82" s="18" customFormat="1" ht="66.75" customHeight="1" x14ac:dyDescent="0.25">
      <c r="A192" s="87">
        <v>188</v>
      </c>
      <c r="B192" s="141" t="s">
        <v>2145</v>
      </c>
      <c r="C192" s="6" t="s">
        <v>2146</v>
      </c>
      <c r="D192" s="6" t="s">
        <v>2147</v>
      </c>
      <c r="E192" s="75" t="s">
        <v>174</v>
      </c>
      <c r="F192" s="4" t="s">
        <v>81</v>
      </c>
      <c r="G192" s="33">
        <v>30</v>
      </c>
      <c r="H192" s="49" t="s">
        <v>775</v>
      </c>
      <c r="I192" s="49" t="s">
        <v>2133</v>
      </c>
      <c r="J192" s="6"/>
      <c r="K192" s="49"/>
      <c r="L192" s="49"/>
      <c r="M192" s="49" t="s">
        <v>136</v>
      </c>
      <c r="N192" s="49" t="s">
        <v>89</v>
      </c>
      <c r="O192" s="49" t="s">
        <v>579</v>
      </c>
      <c r="P192" s="6" t="s">
        <v>2134</v>
      </c>
      <c r="Q192" s="49"/>
      <c r="R192" s="75" t="s">
        <v>175</v>
      </c>
      <c r="S192" s="33" t="s">
        <v>92</v>
      </c>
      <c r="T192" s="33" t="s">
        <v>93</v>
      </c>
      <c r="U192" s="78">
        <v>100</v>
      </c>
      <c r="V192" s="33" t="s">
        <v>94</v>
      </c>
      <c r="W192" s="33" t="s">
        <v>95</v>
      </c>
      <c r="X192" s="33">
        <v>2023</v>
      </c>
      <c r="Y192" s="33" t="s">
        <v>117</v>
      </c>
      <c r="Z192" s="33" t="s">
        <v>95</v>
      </c>
      <c r="AA192" s="33" t="s">
        <v>98</v>
      </c>
      <c r="AB192" s="49" t="s">
        <v>99</v>
      </c>
      <c r="AC192" s="48" t="s">
        <v>2148</v>
      </c>
      <c r="AD192" s="79" t="s">
        <v>2149</v>
      </c>
      <c r="AE192" s="6" t="s">
        <v>2150</v>
      </c>
      <c r="AF192" s="6" t="s">
        <v>121</v>
      </c>
      <c r="AG192" s="6" t="s">
        <v>178</v>
      </c>
      <c r="AH192" s="49" t="s">
        <v>123</v>
      </c>
      <c r="AI192" s="6" t="s">
        <v>2138</v>
      </c>
      <c r="AJ192" s="6" t="s">
        <v>2151</v>
      </c>
      <c r="AK192" s="33" t="s">
        <v>97</v>
      </c>
      <c r="AL192" s="33" t="s">
        <v>97</v>
      </c>
      <c r="AM192" s="5" t="s">
        <v>221</v>
      </c>
      <c r="AN192" s="5" t="s">
        <v>470</v>
      </c>
      <c r="AO192" s="5" t="s">
        <v>2152</v>
      </c>
      <c r="AP192" s="5" t="s">
        <v>2153</v>
      </c>
      <c r="AQ192" s="6" t="s">
        <v>2142</v>
      </c>
      <c r="AR192" s="20" t="s">
        <v>97</v>
      </c>
      <c r="AS192" s="20" t="s">
        <v>107</v>
      </c>
      <c r="AT192" s="20"/>
      <c r="AU192" s="24">
        <v>0.3</v>
      </c>
      <c r="AV192" s="24">
        <f>+AU192*80%</f>
        <v>0.24</v>
      </c>
      <c r="AW192" s="24">
        <f>+AU192*60%</f>
        <v>0.18</v>
      </c>
      <c r="AX192" s="25">
        <v>1E-4</v>
      </c>
      <c r="AY192" s="24">
        <v>0</v>
      </c>
      <c r="AZ192" s="24">
        <f>+AU192*90%</f>
        <v>0.27</v>
      </c>
      <c r="BA192" s="24">
        <f>AZ192*80%</f>
        <v>0.21600000000000003</v>
      </c>
      <c r="BB192" s="24">
        <f>AZ192*60%</f>
        <v>0.16200000000000001</v>
      </c>
      <c r="BC192" s="25">
        <v>1E-4</v>
      </c>
      <c r="BD192" s="24">
        <v>0</v>
      </c>
      <c r="BE192" s="34">
        <v>10</v>
      </c>
      <c r="BF192" s="34">
        <f t="shared" si="26"/>
        <v>8</v>
      </c>
      <c r="BG192" s="34">
        <f t="shared" si="27"/>
        <v>6</v>
      </c>
      <c r="BH192" s="26">
        <v>1</v>
      </c>
      <c r="BI192" s="26">
        <v>0</v>
      </c>
      <c r="BJ192" s="27">
        <v>0.23499999999999999</v>
      </c>
      <c r="BK192" s="27">
        <v>0.27248771673019606</v>
      </c>
      <c r="BL192" s="27" t="s">
        <v>2154</v>
      </c>
      <c r="BM192" s="27" t="s">
        <v>2155</v>
      </c>
      <c r="BN192" s="26"/>
      <c r="BO192" s="34">
        <v>1</v>
      </c>
      <c r="BP192" s="34"/>
      <c r="BQ192" s="34"/>
      <c r="BR192" s="34"/>
      <c r="BS192" s="34"/>
      <c r="BT192" s="34"/>
      <c r="BU192" s="34"/>
      <c r="BV192" s="34"/>
      <c r="BW192" s="34"/>
      <c r="BX192" s="34"/>
      <c r="BY192" s="34"/>
      <c r="BZ192" s="34">
        <v>1</v>
      </c>
      <c r="CA192" s="20" t="s">
        <v>240</v>
      </c>
      <c r="CB192" s="20" t="s">
        <v>240</v>
      </c>
      <c r="CC192" s="29">
        <v>45699</v>
      </c>
      <c r="CD192" s="11" t="s">
        <v>360</v>
      </c>
    </row>
    <row r="193" spans="1:82" s="18" customFormat="1" ht="66.75" customHeight="1" x14ac:dyDescent="0.25">
      <c r="A193" s="121">
        <v>189</v>
      </c>
      <c r="B193" s="141" t="s">
        <v>2156</v>
      </c>
      <c r="C193" s="6" t="s">
        <v>2157</v>
      </c>
      <c r="D193" s="6" t="s">
        <v>2158</v>
      </c>
      <c r="E193" s="75" t="s">
        <v>113</v>
      </c>
      <c r="F193" s="4" t="s">
        <v>81</v>
      </c>
      <c r="G193" s="33">
        <v>31</v>
      </c>
      <c r="H193" s="49" t="s">
        <v>775</v>
      </c>
      <c r="I193" s="49" t="s">
        <v>2133</v>
      </c>
      <c r="J193" s="6"/>
      <c r="K193" s="49"/>
      <c r="L193" s="49"/>
      <c r="M193" s="49" t="s">
        <v>136</v>
      </c>
      <c r="N193" s="49" t="s">
        <v>245</v>
      </c>
      <c r="O193" s="49" t="s">
        <v>246</v>
      </c>
      <c r="P193" s="6" t="s">
        <v>2159</v>
      </c>
      <c r="Q193" s="49"/>
      <c r="R193" s="75" t="s">
        <v>91</v>
      </c>
      <c r="S193" s="33" t="s">
        <v>92</v>
      </c>
      <c r="T193" s="33" t="s">
        <v>93</v>
      </c>
      <c r="U193" s="78">
        <v>100</v>
      </c>
      <c r="V193" s="33" t="s">
        <v>94</v>
      </c>
      <c r="W193" s="33" t="s">
        <v>95</v>
      </c>
      <c r="X193" s="33">
        <v>2023</v>
      </c>
      <c r="Y193" s="33" t="s">
        <v>117</v>
      </c>
      <c r="Z193" s="33" t="s">
        <v>97</v>
      </c>
      <c r="AA193" s="33" t="s">
        <v>98</v>
      </c>
      <c r="AB193" s="49" t="s">
        <v>99</v>
      </c>
      <c r="AC193" s="48" t="s">
        <v>2160</v>
      </c>
      <c r="AD193" s="48" t="s">
        <v>2161</v>
      </c>
      <c r="AE193" s="6" t="s">
        <v>2162</v>
      </c>
      <c r="AF193" s="6" t="s">
        <v>2163</v>
      </c>
      <c r="AG193" s="6" t="s">
        <v>218</v>
      </c>
      <c r="AH193" s="49" t="s">
        <v>123</v>
      </c>
      <c r="AI193" s="6" t="s">
        <v>2164</v>
      </c>
      <c r="AJ193" s="6" t="s">
        <v>2165</v>
      </c>
      <c r="AK193" s="33" t="s">
        <v>97</v>
      </c>
      <c r="AL193" s="33" t="s">
        <v>97</v>
      </c>
      <c r="AM193" s="5"/>
      <c r="AN193" s="5"/>
      <c r="AO193" s="5" t="s">
        <v>2166</v>
      </c>
      <c r="AP193" s="5" t="s">
        <v>2167</v>
      </c>
      <c r="AQ193" s="6" t="s">
        <v>2168</v>
      </c>
      <c r="AR193" s="20" t="s">
        <v>97</v>
      </c>
      <c r="AS193" s="20" t="s">
        <v>107</v>
      </c>
      <c r="AT193" s="20"/>
      <c r="AU193" s="24">
        <v>0.8</v>
      </c>
      <c r="AV193" s="24">
        <f>+AU193*80%</f>
        <v>0.64000000000000012</v>
      </c>
      <c r="AW193" s="24">
        <f>+AU193*60%</f>
        <v>0.48</v>
      </c>
      <c r="AX193" s="25">
        <v>1E-4</v>
      </c>
      <c r="AY193" s="24">
        <v>0</v>
      </c>
      <c r="AZ193" s="24">
        <f>+AU193*90%</f>
        <v>0.72000000000000008</v>
      </c>
      <c r="BA193" s="24">
        <f>AZ193*80%</f>
        <v>0.57600000000000007</v>
      </c>
      <c r="BB193" s="24">
        <f>AZ193*60%</f>
        <v>0.43200000000000005</v>
      </c>
      <c r="BC193" s="25">
        <v>1E-4</v>
      </c>
      <c r="BD193" s="24">
        <v>0</v>
      </c>
      <c r="BE193" s="26">
        <v>0</v>
      </c>
      <c r="BF193" s="34">
        <f t="shared" si="26"/>
        <v>0</v>
      </c>
      <c r="BG193" s="34">
        <f t="shared" si="27"/>
        <v>0</v>
      </c>
      <c r="BH193" s="26">
        <v>0</v>
      </c>
      <c r="BI193" s="26">
        <v>0</v>
      </c>
      <c r="BJ193" s="27">
        <v>0.56299999999999994</v>
      </c>
      <c r="BK193" s="27">
        <v>0.42087851692138584</v>
      </c>
      <c r="BL193" s="27" t="s">
        <v>815</v>
      </c>
      <c r="BM193" s="27" t="s">
        <v>2169</v>
      </c>
      <c r="BN193" s="26"/>
      <c r="BO193" s="34">
        <v>1</v>
      </c>
      <c r="BP193" s="34"/>
      <c r="BQ193" s="34"/>
      <c r="BR193" s="34"/>
      <c r="BS193" s="34"/>
      <c r="BT193" s="34"/>
      <c r="BU193" s="34"/>
      <c r="BV193" s="34"/>
      <c r="BW193" s="34"/>
      <c r="BX193" s="34"/>
      <c r="BY193" s="34"/>
      <c r="BZ193" s="34"/>
      <c r="CA193" s="20"/>
      <c r="CB193" s="20"/>
      <c r="CC193" s="29">
        <v>46003</v>
      </c>
      <c r="CD193" s="35" t="s">
        <v>510</v>
      </c>
    </row>
    <row r="194" spans="1:82" s="18" customFormat="1" ht="66.75" customHeight="1" x14ac:dyDescent="0.25">
      <c r="A194" s="87">
        <v>190</v>
      </c>
      <c r="B194" s="141" t="s">
        <v>2170</v>
      </c>
      <c r="C194" s="6" t="s">
        <v>2171</v>
      </c>
      <c r="D194" s="6" t="s">
        <v>2172</v>
      </c>
      <c r="E194" s="75" t="s">
        <v>174</v>
      </c>
      <c r="F194" s="4" t="s">
        <v>81</v>
      </c>
      <c r="G194" s="33" t="s">
        <v>84</v>
      </c>
      <c r="H194" s="49" t="s">
        <v>775</v>
      </c>
      <c r="I194" s="49" t="s">
        <v>2133</v>
      </c>
      <c r="J194" s="6" t="s">
        <v>115</v>
      </c>
      <c r="K194" s="49"/>
      <c r="L194" s="49"/>
      <c r="M194" s="49" t="s">
        <v>88</v>
      </c>
      <c r="N194" s="49" t="s">
        <v>89</v>
      </c>
      <c r="O194" s="49" t="s">
        <v>116</v>
      </c>
      <c r="P194" s="6" t="s">
        <v>2173</v>
      </c>
      <c r="Q194" s="49"/>
      <c r="R194" s="75" t="s">
        <v>91</v>
      </c>
      <c r="S194" s="33" t="s">
        <v>92</v>
      </c>
      <c r="T194" s="33" t="s">
        <v>93</v>
      </c>
      <c r="U194" s="78">
        <v>100</v>
      </c>
      <c r="V194" s="33" t="s">
        <v>94</v>
      </c>
      <c r="W194" s="33" t="s">
        <v>95</v>
      </c>
      <c r="X194" s="33">
        <v>2023</v>
      </c>
      <c r="Y194" s="33" t="s">
        <v>117</v>
      </c>
      <c r="Z194" s="33" t="s">
        <v>97</v>
      </c>
      <c r="AA194" s="33" t="s">
        <v>98</v>
      </c>
      <c r="AB194" s="49" t="s">
        <v>99</v>
      </c>
      <c r="AC194" s="48" t="s">
        <v>2174</v>
      </c>
      <c r="AD194" s="48" t="s">
        <v>2175</v>
      </c>
      <c r="AE194" s="6" t="s">
        <v>2176</v>
      </c>
      <c r="AF194" s="6" t="s">
        <v>2177</v>
      </c>
      <c r="AG194" s="6" t="s">
        <v>218</v>
      </c>
      <c r="AH194" s="49" t="s">
        <v>123</v>
      </c>
      <c r="AI194" s="6" t="s">
        <v>2178</v>
      </c>
      <c r="AJ194" s="6" t="s">
        <v>2179</v>
      </c>
      <c r="AK194" s="33" t="s">
        <v>97</v>
      </c>
      <c r="AL194" s="33" t="s">
        <v>97</v>
      </c>
      <c r="AM194" s="5"/>
      <c r="AN194" s="5" t="s">
        <v>470</v>
      </c>
      <c r="AO194" s="5" t="s">
        <v>2180</v>
      </c>
      <c r="AP194" s="5" t="s">
        <v>2181</v>
      </c>
      <c r="AQ194" s="6" t="s">
        <v>2142</v>
      </c>
      <c r="AR194" s="20" t="s">
        <v>97</v>
      </c>
      <c r="AS194" s="20" t="s">
        <v>107</v>
      </c>
      <c r="AT194" s="20"/>
      <c r="AU194" s="24">
        <v>0.7</v>
      </c>
      <c r="AV194" s="24">
        <f>+AU194*80%</f>
        <v>0.55999999999999994</v>
      </c>
      <c r="AW194" s="24">
        <f>+AU194*60%</f>
        <v>0.42</v>
      </c>
      <c r="AX194" s="25">
        <v>1E-4</v>
      </c>
      <c r="AY194" s="24">
        <v>0</v>
      </c>
      <c r="AZ194" s="24">
        <f>+AU194*90%</f>
        <v>0.63</v>
      </c>
      <c r="BA194" s="24">
        <f>AZ194*80%</f>
        <v>0.504</v>
      </c>
      <c r="BB194" s="24">
        <f>AZ194*60%</f>
        <v>0.378</v>
      </c>
      <c r="BC194" s="25">
        <v>1E-4</v>
      </c>
      <c r="BD194" s="24">
        <v>0</v>
      </c>
      <c r="BE194" s="34">
        <v>5</v>
      </c>
      <c r="BF194" s="34">
        <f t="shared" si="26"/>
        <v>4</v>
      </c>
      <c r="BG194" s="34">
        <f t="shared" si="27"/>
        <v>3</v>
      </c>
      <c r="BH194" s="26">
        <v>1</v>
      </c>
      <c r="BI194" s="26">
        <v>0</v>
      </c>
      <c r="BJ194" s="27">
        <v>0.16600000000000001</v>
      </c>
      <c r="BK194" s="27">
        <v>0.65857901796690455</v>
      </c>
      <c r="BL194" s="27" t="s">
        <v>2182</v>
      </c>
      <c r="BM194" s="27" t="s">
        <v>2183</v>
      </c>
      <c r="BN194" s="26"/>
      <c r="BO194" s="34"/>
      <c r="BP194" s="34"/>
      <c r="BQ194" s="34"/>
      <c r="BR194" s="34"/>
      <c r="BS194" s="34"/>
      <c r="BT194" s="34"/>
      <c r="BU194" s="34"/>
      <c r="BV194" s="34"/>
      <c r="BW194" s="34"/>
      <c r="BX194" s="34"/>
      <c r="BY194" s="34"/>
      <c r="BZ194" s="34">
        <v>1</v>
      </c>
      <c r="CA194" s="20" t="s">
        <v>240</v>
      </c>
      <c r="CB194" s="20" t="s">
        <v>240</v>
      </c>
      <c r="CC194" s="29">
        <v>46003</v>
      </c>
      <c r="CD194" s="35" t="s">
        <v>510</v>
      </c>
    </row>
    <row r="195" spans="1:82" s="18" customFormat="1" ht="66.75" customHeight="1" x14ac:dyDescent="0.25">
      <c r="A195" s="87">
        <v>191</v>
      </c>
      <c r="B195" s="141" t="s">
        <v>2184</v>
      </c>
      <c r="C195" s="6" t="s">
        <v>2185</v>
      </c>
      <c r="D195" s="6" t="s">
        <v>2186</v>
      </c>
      <c r="E195" s="75" t="s">
        <v>113</v>
      </c>
      <c r="F195" s="4" t="s">
        <v>81</v>
      </c>
      <c r="G195" s="33">
        <v>32</v>
      </c>
      <c r="H195" s="49" t="s">
        <v>775</v>
      </c>
      <c r="I195" s="49" t="s">
        <v>2133</v>
      </c>
      <c r="J195" s="6"/>
      <c r="K195" s="49"/>
      <c r="L195" s="49"/>
      <c r="M195" s="49" t="s">
        <v>136</v>
      </c>
      <c r="N195" s="49" t="s">
        <v>245</v>
      </c>
      <c r="O195" s="49" t="s">
        <v>246</v>
      </c>
      <c r="P195" s="6" t="s">
        <v>2187</v>
      </c>
      <c r="Q195" s="49"/>
      <c r="R195" s="75" t="s">
        <v>91</v>
      </c>
      <c r="S195" s="33" t="s">
        <v>92</v>
      </c>
      <c r="T195" s="33" t="s">
        <v>93</v>
      </c>
      <c r="U195" s="78">
        <v>100</v>
      </c>
      <c r="V195" s="33" t="s">
        <v>94</v>
      </c>
      <c r="W195" s="33" t="s">
        <v>95</v>
      </c>
      <c r="X195" s="33">
        <v>2023</v>
      </c>
      <c r="Y195" s="33" t="s">
        <v>117</v>
      </c>
      <c r="Z195" s="33" t="s">
        <v>97</v>
      </c>
      <c r="AA195" s="33" t="s">
        <v>98</v>
      </c>
      <c r="AB195" s="49" t="s">
        <v>99</v>
      </c>
      <c r="AC195" s="48" t="s">
        <v>2188</v>
      </c>
      <c r="AD195" s="48" t="s">
        <v>2189</v>
      </c>
      <c r="AE195" s="6" t="s">
        <v>2190</v>
      </c>
      <c r="AF195" s="6" t="s">
        <v>2163</v>
      </c>
      <c r="AG195" s="6" t="s">
        <v>218</v>
      </c>
      <c r="AH195" s="49" t="s">
        <v>218</v>
      </c>
      <c r="AI195" s="6" t="s">
        <v>2191</v>
      </c>
      <c r="AJ195" s="6" t="s">
        <v>2192</v>
      </c>
      <c r="AK195" s="33" t="s">
        <v>97</v>
      </c>
      <c r="AL195" s="33" t="s">
        <v>97</v>
      </c>
      <c r="AM195" s="5"/>
      <c r="AN195" s="5" t="s">
        <v>2193</v>
      </c>
      <c r="AO195" s="5" t="s">
        <v>2194</v>
      </c>
      <c r="AP195" s="5" t="s">
        <v>2195</v>
      </c>
      <c r="AQ195" s="49" t="s">
        <v>1636</v>
      </c>
      <c r="AR195" s="20" t="s">
        <v>97</v>
      </c>
      <c r="AS195" s="20" t="s">
        <v>107</v>
      </c>
      <c r="AT195" s="20"/>
      <c r="AU195" s="24" t="s">
        <v>1691</v>
      </c>
      <c r="AV195" s="24"/>
      <c r="AW195" s="24"/>
      <c r="AX195" s="25"/>
      <c r="AY195" s="24">
        <v>0</v>
      </c>
      <c r="AZ195" s="24" t="s">
        <v>1691</v>
      </c>
      <c r="BA195" s="24"/>
      <c r="BB195" s="24"/>
      <c r="BC195" s="25" t="s">
        <v>1693</v>
      </c>
      <c r="BD195" s="24"/>
      <c r="BE195" s="26">
        <v>0</v>
      </c>
      <c r="BF195" s="34">
        <f t="shared" si="26"/>
        <v>0</v>
      </c>
      <c r="BG195" s="34">
        <f t="shared" si="27"/>
        <v>0</v>
      </c>
      <c r="BH195" s="26">
        <v>0</v>
      </c>
      <c r="BI195" s="26">
        <v>0</v>
      </c>
      <c r="BJ195" s="20" t="s">
        <v>496</v>
      </c>
      <c r="BK195" s="27">
        <v>2.2599126267894122E-3</v>
      </c>
      <c r="BL195" s="27" t="s">
        <v>2196</v>
      </c>
      <c r="BM195" s="27" t="s">
        <v>2197</v>
      </c>
      <c r="BN195" s="26"/>
      <c r="BO195" s="34">
        <v>1</v>
      </c>
      <c r="BP195" s="34"/>
      <c r="BQ195" s="34"/>
      <c r="BR195" s="34"/>
      <c r="BS195" s="34"/>
      <c r="BT195" s="34"/>
      <c r="BU195" s="34"/>
      <c r="BV195" s="34"/>
      <c r="BW195" s="34"/>
      <c r="BX195" s="34"/>
      <c r="BY195" s="34"/>
      <c r="BZ195" s="34"/>
      <c r="CA195" s="20"/>
      <c r="CB195" s="20"/>
      <c r="CC195" s="29">
        <v>46003</v>
      </c>
      <c r="CD195" s="35" t="s">
        <v>254</v>
      </c>
    </row>
    <row r="196" spans="1:82" s="18" customFormat="1" ht="66.75" customHeight="1" x14ac:dyDescent="0.25">
      <c r="A196" s="121">
        <v>192</v>
      </c>
      <c r="B196" s="141" t="s">
        <v>2198</v>
      </c>
      <c r="C196" s="6" t="s">
        <v>2199</v>
      </c>
      <c r="D196" s="6" t="s">
        <v>2200</v>
      </c>
      <c r="E196" s="75" t="s">
        <v>174</v>
      </c>
      <c r="F196" s="4" t="s">
        <v>81</v>
      </c>
      <c r="G196" s="33">
        <v>1</v>
      </c>
      <c r="H196" s="49" t="s">
        <v>114</v>
      </c>
      <c r="I196" s="49" t="s">
        <v>2201</v>
      </c>
      <c r="J196" s="6"/>
      <c r="K196" s="49"/>
      <c r="L196" s="49"/>
      <c r="M196" s="49" t="s">
        <v>136</v>
      </c>
      <c r="N196" s="49" t="s">
        <v>89</v>
      </c>
      <c r="O196" s="49" t="s">
        <v>213</v>
      </c>
      <c r="P196" s="6" t="s">
        <v>2202</v>
      </c>
      <c r="Q196" s="49"/>
      <c r="R196" s="75" t="s">
        <v>91</v>
      </c>
      <c r="S196" s="33" t="s">
        <v>92</v>
      </c>
      <c r="T196" s="33" t="s">
        <v>93</v>
      </c>
      <c r="U196" s="78">
        <v>100</v>
      </c>
      <c r="V196" s="33" t="s">
        <v>94</v>
      </c>
      <c r="W196" s="33" t="s">
        <v>95</v>
      </c>
      <c r="X196" s="33">
        <v>2022</v>
      </c>
      <c r="Y196" s="33" t="s">
        <v>117</v>
      </c>
      <c r="Z196" s="33" t="s">
        <v>95</v>
      </c>
      <c r="AA196" s="33" t="s">
        <v>98</v>
      </c>
      <c r="AB196" s="49" t="s">
        <v>99</v>
      </c>
      <c r="AC196" s="48" t="s">
        <v>2203</v>
      </c>
      <c r="AD196" s="79" t="s">
        <v>2204</v>
      </c>
      <c r="AE196" s="6" t="s">
        <v>2205</v>
      </c>
      <c r="AF196" s="6" t="s">
        <v>121</v>
      </c>
      <c r="AG196" s="6" t="s">
        <v>122</v>
      </c>
      <c r="AH196" s="49" t="s">
        <v>123</v>
      </c>
      <c r="AI196" s="6" t="s">
        <v>2206</v>
      </c>
      <c r="AJ196" s="6" t="s">
        <v>2207</v>
      </c>
      <c r="AK196" s="33" t="s">
        <v>97</v>
      </c>
      <c r="AL196" s="33" t="s">
        <v>97</v>
      </c>
      <c r="AM196" s="5" t="s">
        <v>2208</v>
      </c>
      <c r="AN196" s="5" t="s">
        <v>2209</v>
      </c>
      <c r="AO196" s="5" t="s">
        <v>2210</v>
      </c>
      <c r="AP196" s="5" t="s">
        <v>2211</v>
      </c>
      <c r="AQ196" s="6" t="s">
        <v>114</v>
      </c>
      <c r="AR196" s="20" t="s">
        <v>97</v>
      </c>
      <c r="AS196" s="20" t="s">
        <v>107</v>
      </c>
      <c r="AT196" s="20"/>
      <c r="AU196" s="24">
        <v>0.6</v>
      </c>
      <c r="AV196" s="24">
        <f t="shared" ref="AV196:AV226" si="40">+AU196*80%</f>
        <v>0.48</v>
      </c>
      <c r="AW196" s="24">
        <f t="shared" ref="AW196:AW226" si="41">+AU196*60%</f>
        <v>0.36</v>
      </c>
      <c r="AX196" s="25">
        <v>1E-4</v>
      </c>
      <c r="AY196" s="24">
        <v>0</v>
      </c>
      <c r="AZ196" s="24">
        <f t="shared" ref="AZ196:AZ225" si="42">+AU196*90%</f>
        <v>0.54</v>
      </c>
      <c r="BA196" s="24">
        <f t="shared" ref="BA196:BA226" si="43">AZ196*80%</f>
        <v>0.43200000000000005</v>
      </c>
      <c r="BB196" s="24">
        <f t="shared" ref="BB196:BB226" si="44">AZ196*60%</f>
        <v>0.32400000000000001</v>
      </c>
      <c r="BC196" s="25">
        <v>1E-4</v>
      </c>
      <c r="BD196" s="24">
        <v>0</v>
      </c>
      <c r="BE196" s="34">
        <v>5</v>
      </c>
      <c r="BF196" s="34">
        <f t="shared" ref="BF196:BF259" si="45">+BE196*80%</f>
        <v>4</v>
      </c>
      <c r="BG196" s="34">
        <f t="shared" ref="BG196:BG259" si="46">+BE196*60%</f>
        <v>3</v>
      </c>
      <c r="BH196" s="26">
        <v>1</v>
      </c>
      <c r="BI196" s="26">
        <v>0</v>
      </c>
      <c r="BJ196" s="27">
        <v>0.46300000000000002</v>
      </c>
      <c r="BK196" s="27">
        <v>0.56205020871487088</v>
      </c>
      <c r="BL196" s="27" t="s">
        <v>2212</v>
      </c>
      <c r="BM196" s="27" t="s">
        <v>2213</v>
      </c>
      <c r="BN196" s="26"/>
      <c r="BO196" s="34">
        <v>1</v>
      </c>
      <c r="BP196" s="34"/>
      <c r="BQ196" s="34"/>
      <c r="BR196" s="34"/>
      <c r="BS196" s="34"/>
      <c r="BT196" s="34"/>
      <c r="BU196" s="34"/>
      <c r="BV196" s="34"/>
      <c r="BW196" s="34"/>
      <c r="BX196" s="34"/>
      <c r="BY196" s="34"/>
      <c r="BZ196" s="34">
        <v>1</v>
      </c>
      <c r="CA196" s="20" t="s">
        <v>240</v>
      </c>
      <c r="CB196" s="20" t="s">
        <v>240</v>
      </c>
      <c r="CC196" s="29">
        <v>45695</v>
      </c>
      <c r="CD196" s="11" t="s">
        <v>2214</v>
      </c>
    </row>
    <row r="197" spans="1:82" s="18" customFormat="1" ht="66.75" customHeight="1" x14ac:dyDescent="0.25">
      <c r="A197" s="87">
        <v>193</v>
      </c>
      <c r="B197" s="141" t="s">
        <v>2215</v>
      </c>
      <c r="C197" s="6" t="s">
        <v>2216</v>
      </c>
      <c r="D197" s="6" t="s">
        <v>2217</v>
      </c>
      <c r="E197" s="75" t="s">
        <v>174</v>
      </c>
      <c r="F197" s="4" t="s">
        <v>81</v>
      </c>
      <c r="G197" s="33">
        <v>2</v>
      </c>
      <c r="H197" s="49" t="s">
        <v>309</v>
      </c>
      <c r="I197" s="49" t="s">
        <v>2201</v>
      </c>
      <c r="J197" s="6"/>
      <c r="K197" s="49"/>
      <c r="L197" s="49"/>
      <c r="M197" s="49" t="s">
        <v>136</v>
      </c>
      <c r="N197" s="49" t="s">
        <v>89</v>
      </c>
      <c r="O197" s="49" t="s">
        <v>213</v>
      </c>
      <c r="P197" s="6" t="s">
        <v>2202</v>
      </c>
      <c r="Q197" s="49"/>
      <c r="R197" s="75" t="s">
        <v>91</v>
      </c>
      <c r="S197" s="33" t="s">
        <v>92</v>
      </c>
      <c r="T197" s="33" t="s">
        <v>93</v>
      </c>
      <c r="U197" s="78">
        <v>100</v>
      </c>
      <c r="V197" s="33" t="s">
        <v>94</v>
      </c>
      <c r="W197" s="33" t="s">
        <v>95</v>
      </c>
      <c r="X197" s="33">
        <v>2022</v>
      </c>
      <c r="Y197" s="33" t="s">
        <v>117</v>
      </c>
      <c r="Z197" s="33" t="s">
        <v>95</v>
      </c>
      <c r="AA197" s="33" t="s">
        <v>98</v>
      </c>
      <c r="AB197" s="49" t="s">
        <v>99</v>
      </c>
      <c r="AC197" s="48" t="s">
        <v>2218</v>
      </c>
      <c r="AD197" s="79" t="s">
        <v>1359</v>
      </c>
      <c r="AE197" s="6" t="s">
        <v>2205</v>
      </c>
      <c r="AF197" s="6" t="s">
        <v>121</v>
      </c>
      <c r="AG197" s="6" t="s">
        <v>122</v>
      </c>
      <c r="AH197" s="49" t="s">
        <v>123</v>
      </c>
      <c r="AI197" s="6" t="s">
        <v>2206</v>
      </c>
      <c r="AJ197" s="6" t="s">
        <v>2219</v>
      </c>
      <c r="AK197" s="33" t="s">
        <v>97</v>
      </c>
      <c r="AL197" s="33" t="s">
        <v>97</v>
      </c>
      <c r="AM197" s="5" t="s">
        <v>2208</v>
      </c>
      <c r="AN197" s="5" t="s">
        <v>2209</v>
      </c>
      <c r="AO197" s="5" t="s">
        <v>2220</v>
      </c>
      <c r="AP197" s="5" t="s">
        <v>2221</v>
      </c>
      <c r="AQ197" s="6" t="s">
        <v>309</v>
      </c>
      <c r="AR197" s="20" t="s">
        <v>97</v>
      </c>
      <c r="AS197" s="20" t="s">
        <v>107</v>
      </c>
      <c r="AT197" s="20"/>
      <c r="AU197" s="24">
        <v>0.4</v>
      </c>
      <c r="AV197" s="24">
        <f t="shared" si="40"/>
        <v>0.32000000000000006</v>
      </c>
      <c r="AW197" s="24">
        <f t="shared" si="41"/>
        <v>0.24</v>
      </c>
      <c r="AX197" s="25">
        <v>1E-4</v>
      </c>
      <c r="AY197" s="24">
        <v>0</v>
      </c>
      <c r="AZ197" s="24">
        <f t="shared" si="42"/>
        <v>0.36000000000000004</v>
      </c>
      <c r="BA197" s="24">
        <f t="shared" si="43"/>
        <v>0.28800000000000003</v>
      </c>
      <c r="BB197" s="24">
        <f t="shared" si="44"/>
        <v>0.21600000000000003</v>
      </c>
      <c r="BC197" s="25">
        <v>1E-4</v>
      </c>
      <c r="BD197" s="24">
        <v>0</v>
      </c>
      <c r="BE197" s="34">
        <v>5</v>
      </c>
      <c r="BF197" s="34">
        <f t="shared" si="45"/>
        <v>4</v>
      </c>
      <c r="BG197" s="34">
        <f t="shared" si="46"/>
        <v>3</v>
      </c>
      <c r="BH197" s="26">
        <v>1</v>
      </c>
      <c r="BI197" s="26">
        <v>0</v>
      </c>
      <c r="BJ197" s="27">
        <v>0.20799999999999999</v>
      </c>
      <c r="BK197" s="27">
        <v>0.26312440227924788</v>
      </c>
      <c r="BL197" s="27" t="s">
        <v>2222</v>
      </c>
      <c r="BM197" s="27" t="s">
        <v>2223</v>
      </c>
      <c r="BN197" s="26"/>
      <c r="BO197" s="34">
        <v>1</v>
      </c>
      <c r="BP197" s="34"/>
      <c r="BQ197" s="34"/>
      <c r="BR197" s="34"/>
      <c r="BS197" s="34"/>
      <c r="BT197" s="34"/>
      <c r="BU197" s="34"/>
      <c r="BV197" s="34"/>
      <c r="BW197" s="34"/>
      <c r="BX197" s="34"/>
      <c r="BY197" s="34"/>
      <c r="BZ197" s="34">
        <v>1</v>
      </c>
      <c r="CA197" s="20" t="s">
        <v>240</v>
      </c>
      <c r="CB197" s="20" t="s">
        <v>240</v>
      </c>
      <c r="CC197" s="29">
        <v>45694</v>
      </c>
      <c r="CD197" s="11" t="s">
        <v>2224</v>
      </c>
    </row>
    <row r="198" spans="1:82" s="18" customFormat="1" ht="66.75" customHeight="1" x14ac:dyDescent="0.25">
      <c r="A198" s="87">
        <v>194</v>
      </c>
      <c r="B198" s="141" t="s">
        <v>2225</v>
      </c>
      <c r="C198" s="6" t="s">
        <v>2226</v>
      </c>
      <c r="D198" s="6" t="s">
        <v>2227</v>
      </c>
      <c r="E198" s="75" t="s">
        <v>113</v>
      </c>
      <c r="F198" s="4" t="s">
        <v>81</v>
      </c>
      <c r="G198" s="33" t="s">
        <v>84</v>
      </c>
      <c r="H198" s="49" t="s">
        <v>364</v>
      </c>
      <c r="I198" s="49" t="s">
        <v>2201</v>
      </c>
      <c r="J198" s="6"/>
      <c r="K198" s="49"/>
      <c r="L198" s="49"/>
      <c r="M198" s="49" t="s">
        <v>88</v>
      </c>
      <c r="N198" s="49" t="s">
        <v>89</v>
      </c>
      <c r="O198" s="49" t="s">
        <v>213</v>
      </c>
      <c r="P198" s="6" t="s">
        <v>2202</v>
      </c>
      <c r="Q198" s="49"/>
      <c r="R198" s="75" t="s">
        <v>91</v>
      </c>
      <c r="S198" s="33" t="s">
        <v>92</v>
      </c>
      <c r="T198" s="33" t="s">
        <v>93</v>
      </c>
      <c r="U198" s="78">
        <v>100</v>
      </c>
      <c r="V198" s="33" t="s">
        <v>94</v>
      </c>
      <c r="W198" s="33" t="s">
        <v>95</v>
      </c>
      <c r="X198" s="33">
        <v>2022</v>
      </c>
      <c r="Y198" s="33" t="s">
        <v>117</v>
      </c>
      <c r="Z198" s="33" t="s">
        <v>95</v>
      </c>
      <c r="AA198" s="33" t="s">
        <v>98</v>
      </c>
      <c r="AB198" s="49" t="s">
        <v>99</v>
      </c>
      <c r="AC198" s="48" t="s">
        <v>2228</v>
      </c>
      <c r="AD198" s="79" t="s">
        <v>2229</v>
      </c>
      <c r="AE198" s="6" t="s">
        <v>2205</v>
      </c>
      <c r="AF198" s="6" t="s">
        <v>121</v>
      </c>
      <c r="AG198" s="6" t="s">
        <v>122</v>
      </c>
      <c r="AH198" s="49" t="s">
        <v>123</v>
      </c>
      <c r="AI198" s="6" t="s">
        <v>2206</v>
      </c>
      <c r="AJ198" s="6" t="s">
        <v>2230</v>
      </c>
      <c r="AK198" s="33" t="s">
        <v>97</v>
      </c>
      <c r="AL198" s="33" t="s">
        <v>97</v>
      </c>
      <c r="AM198" s="5" t="s">
        <v>2208</v>
      </c>
      <c r="AN198" s="5" t="s">
        <v>2231</v>
      </c>
      <c r="AO198" s="5" t="s">
        <v>2220</v>
      </c>
      <c r="AP198" s="5" t="s">
        <v>2232</v>
      </c>
      <c r="AQ198" s="49" t="s">
        <v>364</v>
      </c>
      <c r="AR198" s="20" t="s">
        <v>97</v>
      </c>
      <c r="AS198" s="20" t="s">
        <v>107</v>
      </c>
      <c r="AT198" s="20"/>
      <c r="AU198" s="24">
        <v>0.4</v>
      </c>
      <c r="AV198" s="24">
        <f t="shared" si="40"/>
        <v>0.32000000000000006</v>
      </c>
      <c r="AW198" s="24">
        <f t="shared" si="41"/>
        <v>0.24</v>
      </c>
      <c r="AX198" s="25">
        <v>1E-4</v>
      </c>
      <c r="AY198" s="24">
        <v>0</v>
      </c>
      <c r="AZ198" s="24">
        <f t="shared" si="42"/>
        <v>0.36000000000000004</v>
      </c>
      <c r="BA198" s="24">
        <f t="shared" si="43"/>
        <v>0.28800000000000003</v>
      </c>
      <c r="BB198" s="24">
        <f t="shared" si="44"/>
        <v>0.21600000000000003</v>
      </c>
      <c r="BC198" s="25">
        <v>1E-4</v>
      </c>
      <c r="BD198" s="24">
        <v>0</v>
      </c>
      <c r="BE198" s="26">
        <v>0</v>
      </c>
      <c r="BF198" s="34">
        <f t="shared" si="45"/>
        <v>0</v>
      </c>
      <c r="BG198" s="34">
        <f t="shared" si="46"/>
        <v>0</v>
      </c>
      <c r="BH198" s="26">
        <v>0</v>
      </c>
      <c r="BI198" s="26">
        <v>0</v>
      </c>
      <c r="BJ198" s="27">
        <v>0.08</v>
      </c>
      <c r="BK198" s="27">
        <v>0.18648435272703348</v>
      </c>
      <c r="BL198" s="27" t="s">
        <v>2233</v>
      </c>
      <c r="BM198" s="27" t="s">
        <v>2234</v>
      </c>
      <c r="BN198" s="26"/>
      <c r="BO198" s="34"/>
      <c r="BP198" s="34"/>
      <c r="BQ198" s="34"/>
      <c r="BR198" s="34"/>
      <c r="BS198" s="34"/>
      <c r="BT198" s="34"/>
      <c r="BU198" s="34"/>
      <c r="BV198" s="34"/>
      <c r="BW198" s="34"/>
      <c r="BX198" s="34"/>
      <c r="BY198" s="34"/>
      <c r="BZ198" s="34"/>
      <c r="CA198" s="20"/>
      <c r="CB198" s="20"/>
      <c r="CC198" s="29">
        <v>45699</v>
      </c>
      <c r="CD198" s="11" t="s">
        <v>360</v>
      </c>
    </row>
    <row r="199" spans="1:82" s="18" customFormat="1" ht="66.75" customHeight="1" x14ac:dyDescent="0.25">
      <c r="A199" s="121">
        <v>195</v>
      </c>
      <c r="B199" s="141" t="s">
        <v>2235</v>
      </c>
      <c r="C199" s="6" t="s">
        <v>2236</v>
      </c>
      <c r="D199" s="6" t="s">
        <v>2237</v>
      </c>
      <c r="E199" s="75" t="s">
        <v>174</v>
      </c>
      <c r="F199" s="4" t="s">
        <v>81</v>
      </c>
      <c r="G199" s="33" t="s">
        <v>84</v>
      </c>
      <c r="H199" s="49" t="s">
        <v>775</v>
      </c>
      <c r="I199" s="49" t="s">
        <v>2201</v>
      </c>
      <c r="J199" s="6"/>
      <c r="K199" s="49"/>
      <c r="L199" s="49"/>
      <c r="M199" s="49" t="s">
        <v>88</v>
      </c>
      <c r="N199" s="49" t="s">
        <v>89</v>
      </c>
      <c r="O199" s="49" t="s">
        <v>213</v>
      </c>
      <c r="P199" s="6" t="s">
        <v>2202</v>
      </c>
      <c r="Q199" s="49"/>
      <c r="R199" s="75" t="s">
        <v>175</v>
      </c>
      <c r="S199" s="33" t="s">
        <v>92</v>
      </c>
      <c r="T199" s="33" t="s">
        <v>93</v>
      </c>
      <c r="U199" s="78">
        <v>100</v>
      </c>
      <c r="V199" s="33" t="s">
        <v>94</v>
      </c>
      <c r="W199" s="33" t="s">
        <v>95</v>
      </c>
      <c r="X199" s="33">
        <v>2023</v>
      </c>
      <c r="Y199" s="33" t="s">
        <v>117</v>
      </c>
      <c r="Z199" s="33" t="s">
        <v>95</v>
      </c>
      <c r="AA199" s="33" t="s">
        <v>98</v>
      </c>
      <c r="AB199" s="49" t="s">
        <v>99</v>
      </c>
      <c r="AC199" s="48" t="s">
        <v>2238</v>
      </c>
      <c r="AD199" s="79" t="s">
        <v>2239</v>
      </c>
      <c r="AE199" s="6" t="s">
        <v>2205</v>
      </c>
      <c r="AF199" s="6" t="s">
        <v>121</v>
      </c>
      <c r="AG199" s="6" t="s">
        <v>178</v>
      </c>
      <c r="AH199" s="49" t="s">
        <v>123</v>
      </c>
      <c r="AI199" s="6" t="s">
        <v>2206</v>
      </c>
      <c r="AJ199" s="6" t="s">
        <v>2239</v>
      </c>
      <c r="AK199" s="33" t="s">
        <v>97</v>
      </c>
      <c r="AL199" s="33" t="s">
        <v>97</v>
      </c>
      <c r="AM199" s="5"/>
      <c r="AN199" s="5" t="s">
        <v>2209</v>
      </c>
      <c r="AO199" s="5" t="s">
        <v>2240</v>
      </c>
      <c r="AP199" s="5" t="s">
        <v>2241</v>
      </c>
      <c r="AQ199" s="49" t="s">
        <v>114</v>
      </c>
      <c r="AR199" s="20" t="s">
        <v>97</v>
      </c>
      <c r="AS199" s="20" t="s">
        <v>107</v>
      </c>
      <c r="AT199" s="20"/>
      <c r="AU199" s="24">
        <v>0.45</v>
      </c>
      <c r="AV199" s="24">
        <f t="shared" si="40"/>
        <v>0.36000000000000004</v>
      </c>
      <c r="AW199" s="24">
        <f t="shared" si="41"/>
        <v>0.27</v>
      </c>
      <c r="AX199" s="25">
        <v>1E-4</v>
      </c>
      <c r="AY199" s="24">
        <v>0</v>
      </c>
      <c r="AZ199" s="24">
        <f t="shared" si="42"/>
        <v>0.40500000000000003</v>
      </c>
      <c r="BA199" s="24">
        <f t="shared" si="43"/>
        <v>0.32400000000000007</v>
      </c>
      <c r="BB199" s="24">
        <f t="shared" si="44"/>
        <v>0.24299999999999999</v>
      </c>
      <c r="BC199" s="25">
        <v>1E-4</v>
      </c>
      <c r="BD199" s="24">
        <v>0</v>
      </c>
      <c r="BE199" s="34">
        <v>10</v>
      </c>
      <c r="BF199" s="34">
        <f t="shared" si="45"/>
        <v>8</v>
      </c>
      <c r="BG199" s="34">
        <f t="shared" si="46"/>
        <v>6</v>
      </c>
      <c r="BH199" s="26">
        <v>1</v>
      </c>
      <c r="BI199" s="26">
        <v>0</v>
      </c>
      <c r="BJ199" s="27">
        <v>0.41299999999999998</v>
      </c>
      <c r="BK199" s="27">
        <v>0.43944292888553815</v>
      </c>
      <c r="BL199" s="27" t="s">
        <v>2242</v>
      </c>
      <c r="BM199" s="27" t="s">
        <v>2243</v>
      </c>
      <c r="BN199" s="26"/>
      <c r="BO199" s="34"/>
      <c r="BP199" s="34"/>
      <c r="BQ199" s="34"/>
      <c r="BR199" s="34"/>
      <c r="BS199" s="34"/>
      <c r="BT199" s="34"/>
      <c r="BU199" s="34"/>
      <c r="BV199" s="34"/>
      <c r="BW199" s="34"/>
      <c r="BX199" s="34"/>
      <c r="BY199" s="34"/>
      <c r="BZ199" s="34">
        <v>1</v>
      </c>
      <c r="CA199" s="20" t="s">
        <v>240</v>
      </c>
      <c r="CB199" s="20" t="s">
        <v>240</v>
      </c>
      <c r="CC199" s="29">
        <v>45695</v>
      </c>
      <c r="CD199" s="11" t="s">
        <v>2214</v>
      </c>
    </row>
    <row r="200" spans="1:82" s="18" customFormat="1" ht="66.75" customHeight="1" x14ac:dyDescent="0.25">
      <c r="A200" s="87">
        <v>196</v>
      </c>
      <c r="B200" s="141" t="s">
        <v>2244</v>
      </c>
      <c r="C200" s="6" t="s">
        <v>2245</v>
      </c>
      <c r="D200" s="6" t="s">
        <v>2246</v>
      </c>
      <c r="E200" s="75" t="s">
        <v>113</v>
      </c>
      <c r="F200" s="4" t="s">
        <v>81</v>
      </c>
      <c r="G200" s="33" t="s">
        <v>84</v>
      </c>
      <c r="H200" s="49" t="s">
        <v>775</v>
      </c>
      <c r="I200" s="49" t="s">
        <v>2247</v>
      </c>
      <c r="J200" s="6"/>
      <c r="K200" s="49"/>
      <c r="L200" s="49"/>
      <c r="M200" s="49" t="s">
        <v>88</v>
      </c>
      <c r="N200" s="49" t="s">
        <v>89</v>
      </c>
      <c r="O200" s="49" t="s">
        <v>213</v>
      </c>
      <c r="P200" s="6" t="s">
        <v>2248</v>
      </c>
      <c r="Q200" s="49"/>
      <c r="R200" s="75" t="s">
        <v>91</v>
      </c>
      <c r="S200" s="33" t="s">
        <v>92</v>
      </c>
      <c r="T200" s="33" t="s">
        <v>93</v>
      </c>
      <c r="U200" s="78">
        <v>100</v>
      </c>
      <c r="V200" s="33" t="s">
        <v>94</v>
      </c>
      <c r="W200" s="33" t="s">
        <v>95</v>
      </c>
      <c r="X200" s="33">
        <v>2023</v>
      </c>
      <c r="Y200" s="33" t="s">
        <v>117</v>
      </c>
      <c r="Z200" s="33" t="s">
        <v>95</v>
      </c>
      <c r="AA200" s="33" t="s">
        <v>98</v>
      </c>
      <c r="AB200" s="49" t="s">
        <v>99</v>
      </c>
      <c r="AC200" s="48" t="s">
        <v>2249</v>
      </c>
      <c r="AD200" s="79" t="s">
        <v>2250</v>
      </c>
      <c r="AE200" s="6" t="s">
        <v>2251</v>
      </c>
      <c r="AF200" s="6" t="s">
        <v>121</v>
      </c>
      <c r="AG200" s="6" t="s">
        <v>218</v>
      </c>
      <c r="AH200" s="49" t="s">
        <v>218</v>
      </c>
      <c r="AI200" s="6" t="s">
        <v>2252</v>
      </c>
      <c r="AJ200" s="6" t="s">
        <v>2253</v>
      </c>
      <c r="AK200" s="33" t="s">
        <v>97</v>
      </c>
      <c r="AL200" s="33" t="s">
        <v>97</v>
      </c>
      <c r="AM200" s="5" t="s">
        <v>221</v>
      </c>
      <c r="AN200" s="5"/>
      <c r="AO200" s="5"/>
      <c r="AP200" s="5"/>
      <c r="AQ200" s="49" t="s">
        <v>2254</v>
      </c>
      <c r="AR200" s="20" t="s">
        <v>97</v>
      </c>
      <c r="AS200" s="20" t="s">
        <v>107</v>
      </c>
      <c r="AT200" s="20"/>
      <c r="AU200" s="24">
        <v>0.4</v>
      </c>
      <c r="AV200" s="24">
        <f t="shared" si="40"/>
        <v>0.32000000000000006</v>
      </c>
      <c r="AW200" s="24">
        <f t="shared" si="41"/>
        <v>0.24</v>
      </c>
      <c r="AX200" s="25">
        <v>1E-4</v>
      </c>
      <c r="AY200" s="24">
        <v>0</v>
      </c>
      <c r="AZ200" s="24">
        <f t="shared" si="42"/>
        <v>0.36000000000000004</v>
      </c>
      <c r="BA200" s="24">
        <f t="shared" si="43"/>
        <v>0.28800000000000003</v>
      </c>
      <c r="BB200" s="24">
        <f t="shared" si="44"/>
        <v>0.21600000000000003</v>
      </c>
      <c r="BC200" s="25">
        <v>1E-4</v>
      </c>
      <c r="BD200" s="24">
        <v>0</v>
      </c>
      <c r="BE200" s="26">
        <v>0</v>
      </c>
      <c r="BF200" s="34">
        <f t="shared" si="45"/>
        <v>0</v>
      </c>
      <c r="BG200" s="34">
        <f t="shared" si="46"/>
        <v>0</v>
      </c>
      <c r="BH200" s="26">
        <v>0</v>
      </c>
      <c r="BI200" s="26">
        <v>0</v>
      </c>
      <c r="BJ200" s="20" t="s">
        <v>496</v>
      </c>
      <c r="BK200" s="27">
        <v>7.0088976950772361E-2</v>
      </c>
      <c r="BL200" s="27" t="s">
        <v>2255</v>
      </c>
      <c r="BM200" s="27" t="s">
        <v>2256</v>
      </c>
      <c r="BN200" s="26"/>
      <c r="BO200" s="34"/>
      <c r="BP200" s="34"/>
      <c r="BQ200" s="34"/>
      <c r="BR200" s="34"/>
      <c r="BS200" s="34"/>
      <c r="BT200" s="34"/>
      <c r="BU200" s="34"/>
      <c r="BV200" s="34"/>
      <c r="BW200" s="34"/>
      <c r="BX200" s="34"/>
      <c r="BY200" s="34"/>
      <c r="BZ200" s="34"/>
      <c r="CA200" s="20"/>
      <c r="CB200" s="20"/>
      <c r="CC200" s="29">
        <v>46003</v>
      </c>
      <c r="CD200" s="19" t="s">
        <v>1275</v>
      </c>
    </row>
    <row r="201" spans="1:82" s="18" customFormat="1" ht="66.75" customHeight="1" x14ac:dyDescent="0.25">
      <c r="A201" s="87">
        <v>197</v>
      </c>
      <c r="B201" s="141" t="s">
        <v>2257</v>
      </c>
      <c r="C201" s="6" t="s">
        <v>2258</v>
      </c>
      <c r="D201" s="6" t="s">
        <v>2259</v>
      </c>
      <c r="E201" s="75" t="s">
        <v>113</v>
      </c>
      <c r="F201" s="4" t="s">
        <v>81</v>
      </c>
      <c r="G201" s="33">
        <v>4</v>
      </c>
      <c r="H201" s="49" t="s">
        <v>114</v>
      </c>
      <c r="I201" s="49" t="s">
        <v>2201</v>
      </c>
      <c r="J201" s="6"/>
      <c r="K201" s="49"/>
      <c r="L201" s="49"/>
      <c r="M201" s="49" t="s">
        <v>136</v>
      </c>
      <c r="N201" s="49" t="s">
        <v>245</v>
      </c>
      <c r="O201" s="49" t="s">
        <v>213</v>
      </c>
      <c r="P201" s="6" t="s">
        <v>246</v>
      </c>
      <c r="Q201" s="49"/>
      <c r="R201" s="75" t="s">
        <v>91</v>
      </c>
      <c r="S201" s="33" t="s">
        <v>92</v>
      </c>
      <c r="T201" s="33" t="s">
        <v>93</v>
      </c>
      <c r="U201" s="78">
        <v>100</v>
      </c>
      <c r="V201" s="33" t="s">
        <v>94</v>
      </c>
      <c r="W201" s="33" t="s">
        <v>95</v>
      </c>
      <c r="X201" s="33">
        <v>2023</v>
      </c>
      <c r="Y201" s="33" t="s">
        <v>117</v>
      </c>
      <c r="Z201" s="33" t="s">
        <v>97</v>
      </c>
      <c r="AA201" s="33" t="s">
        <v>98</v>
      </c>
      <c r="AB201" s="49" t="s">
        <v>99</v>
      </c>
      <c r="AC201" s="48" t="s">
        <v>2260</v>
      </c>
      <c r="AD201" s="48" t="s">
        <v>2261</v>
      </c>
      <c r="AE201" s="6" t="s">
        <v>2262</v>
      </c>
      <c r="AF201" s="6" t="s">
        <v>2205</v>
      </c>
      <c r="AG201" s="6" t="s">
        <v>178</v>
      </c>
      <c r="AH201" s="49" t="s">
        <v>178</v>
      </c>
      <c r="AI201" s="6" t="s">
        <v>2263</v>
      </c>
      <c r="AJ201" s="6" t="s">
        <v>2264</v>
      </c>
      <c r="AK201" s="33" t="s">
        <v>97</v>
      </c>
      <c r="AL201" s="33" t="s">
        <v>97</v>
      </c>
      <c r="AM201" s="5"/>
      <c r="AN201" s="5"/>
      <c r="AO201" s="5" t="s">
        <v>2265</v>
      </c>
      <c r="AP201" s="5" t="s">
        <v>2266</v>
      </c>
      <c r="AQ201" s="49" t="s">
        <v>1577</v>
      </c>
      <c r="AR201" s="20" t="s">
        <v>97</v>
      </c>
      <c r="AS201" s="20" t="s">
        <v>107</v>
      </c>
      <c r="AT201" s="20"/>
      <c r="AU201" s="24">
        <v>0.95</v>
      </c>
      <c r="AV201" s="24">
        <f t="shared" si="40"/>
        <v>0.76</v>
      </c>
      <c r="AW201" s="24">
        <f t="shared" si="41"/>
        <v>0.56999999999999995</v>
      </c>
      <c r="AX201" s="25">
        <v>1E-4</v>
      </c>
      <c r="AY201" s="24">
        <v>0</v>
      </c>
      <c r="AZ201" s="24">
        <f t="shared" si="42"/>
        <v>0.85499999999999998</v>
      </c>
      <c r="BA201" s="24">
        <f t="shared" si="43"/>
        <v>0.68400000000000005</v>
      </c>
      <c r="BB201" s="24">
        <f t="shared" si="44"/>
        <v>0.51300000000000001</v>
      </c>
      <c r="BC201" s="25">
        <v>1E-4</v>
      </c>
      <c r="BD201" s="24">
        <v>0</v>
      </c>
      <c r="BE201" s="26">
        <v>0</v>
      </c>
      <c r="BF201" s="34">
        <f t="shared" si="45"/>
        <v>0</v>
      </c>
      <c r="BG201" s="34">
        <f t="shared" si="46"/>
        <v>0</v>
      </c>
      <c r="BH201" s="26">
        <v>0</v>
      </c>
      <c r="BI201" s="26">
        <v>0</v>
      </c>
      <c r="BJ201" s="27">
        <v>0.94299999999999995</v>
      </c>
      <c r="BK201" s="27">
        <v>0.93242674792235936</v>
      </c>
      <c r="BL201" s="27" t="s">
        <v>2267</v>
      </c>
      <c r="BM201" s="27" t="s">
        <v>2268</v>
      </c>
      <c r="BN201" s="26"/>
      <c r="BO201" s="34">
        <v>1</v>
      </c>
      <c r="BP201" s="34"/>
      <c r="BQ201" s="34"/>
      <c r="BR201" s="34"/>
      <c r="BS201" s="34"/>
      <c r="BT201" s="34"/>
      <c r="BU201" s="34"/>
      <c r="BV201" s="34"/>
      <c r="BW201" s="34"/>
      <c r="BX201" s="34"/>
      <c r="BY201" s="34"/>
      <c r="BZ201" s="34"/>
      <c r="CA201" s="20"/>
      <c r="CB201" s="20"/>
      <c r="CC201" s="29">
        <v>46003</v>
      </c>
      <c r="CD201" s="35" t="s">
        <v>254</v>
      </c>
    </row>
    <row r="202" spans="1:82" s="18" customFormat="1" ht="66.75" customHeight="1" x14ac:dyDescent="0.25">
      <c r="A202" s="121">
        <v>198</v>
      </c>
      <c r="B202" s="141" t="s">
        <v>2269</v>
      </c>
      <c r="C202" s="6" t="s">
        <v>2270</v>
      </c>
      <c r="D202" s="6" t="s">
        <v>2271</v>
      </c>
      <c r="E202" s="75" t="s">
        <v>113</v>
      </c>
      <c r="F202" s="4" t="s">
        <v>81</v>
      </c>
      <c r="G202" s="33">
        <v>3</v>
      </c>
      <c r="H202" s="49" t="s">
        <v>309</v>
      </c>
      <c r="I202" s="49" t="s">
        <v>2201</v>
      </c>
      <c r="J202" s="6"/>
      <c r="K202" s="49"/>
      <c r="L202" s="49"/>
      <c r="M202" s="49" t="s">
        <v>136</v>
      </c>
      <c r="N202" s="49" t="s">
        <v>245</v>
      </c>
      <c r="O202" s="49" t="s">
        <v>213</v>
      </c>
      <c r="P202" s="6" t="s">
        <v>246</v>
      </c>
      <c r="Q202" s="49"/>
      <c r="R202" s="75" t="s">
        <v>91</v>
      </c>
      <c r="S202" s="33" t="s">
        <v>92</v>
      </c>
      <c r="T202" s="33" t="s">
        <v>93</v>
      </c>
      <c r="U202" s="78">
        <v>100</v>
      </c>
      <c r="V202" s="33" t="s">
        <v>94</v>
      </c>
      <c r="W202" s="33" t="s">
        <v>95</v>
      </c>
      <c r="X202" s="33">
        <v>2023</v>
      </c>
      <c r="Y202" s="33" t="s">
        <v>117</v>
      </c>
      <c r="Z202" s="33" t="s">
        <v>97</v>
      </c>
      <c r="AA202" s="33" t="s">
        <v>98</v>
      </c>
      <c r="AB202" s="49" t="s">
        <v>99</v>
      </c>
      <c r="AC202" s="48" t="s">
        <v>2272</v>
      </c>
      <c r="AD202" s="48" t="s">
        <v>2273</v>
      </c>
      <c r="AE202" s="6" t="s">
        <v>2262</v>
      </c>
      <c r="AF202" s="6" t="s">
        <v>2205</v>
      </c>
      <c r="AG202" s="6" t="s">
        <v>178</v>
      </c>
      <c r="AH202" s="49" t="s">
        <v>178</v>
      </c>
      <c r="AI202" s="6" t="s">
        <v>2274</v>
      </c>
      <c r="AJ202" s="6" t="s">
        <v>2219</v>
      </c>
      <c r="AK202" s="33" t="s">
        <v>97</v>
      </c>
      <c r="AL202" s="33" t="s">
        <v>97</v>
      </c>
      <c r="AM202" s="5"/>
      <c r="AN202" s="5"/>
      <c r="AO202" s="5" t="s">
        <v>2265</v>
      </c>
      <c r="AP202" s="5" t="s">
        <v>2275</v>
      </c>
      <c r="AQ202" s="49" t="s">
        <v>309</v>
      </c>
      <c r="AR202" s="20" t="s">
        <v>97</v>
      </c>
      <c r="AS202" s="20" t="s">
        <v>107</v>
      </c>
      <c r="AT202" s="20"/>
      <c r="AU202" s="24">
        <v>0.95</v>
      </c>
      <c r="AV202" s="24">
        <f t="shared" si="40"/>
        <v>0.76</v>
      </c>
      <c r="AW202" s="24">
        <f t="shared" si="41"/>
        <v>0.56999999999999995</v>
      </c>
      <c r="AX202" s="25">
        <v>1E-4</v>
      </c>
      <c r="AY202" s="24">
        <v>0</v>
      </c>
      <c r="AZ202" s="24">
        <f t="shared" si="42"/>
        <v>0.85499999999999998</v>
      </c>
      <c r="BA202" s="24">
        <f t="shared" si="43"/>
        <v>0.68400000000000005</v>
      </c>
      <c r="BB202" s="24">
        <f t="shared" si="44"/>
        <v>0.51300000000000001</v>
      </c>
      <c r="BC202" s="25">
        <v>1E-4</v>
      </c>
      <c r="BD202" s="24">
        <v>0</v>
      </c>
      <c r="BE202" s="26">
        <v>0</v>
      </c>
      <c r="BF202" s="34">
        <f t="shared" si="45"/>
        <v>0</v>
      </c>
      <c r="BG202" s="34">
        <f t="shared" si="46"/>
        <v>0</v>
      </c>
      <c r="BH202" s="26">
        <v>0</v>
      </c>
      <c r="BI202" s="26">
        <v>0</v>
      </c>
      <c r="BJ202" s="27">
        <v>0.94</v>
      </c>
      <c r="BK202" s="27">
        <v>0.94572301720641905</v>
      </c>
      <c r="BL202" s="27" t="s">
        <v>2276</v>
      </c>
      <c r="BM202" s="27" t="s">
        <v>2277</v>
      </c>
      <c r="BN202" s="26"/>
      <c r="BO202" s="34">
        <v>1</v>
      </c>
      <c r="BP202" s="34"/>
      <c r="BQ202" s="34"/>
      <c r="BR202" s="34"/>
      <c r="BS202" s="34"/>
      <c r="BT202" s="34"/>
      <c r="BU202" s="34"/>
      <c r="BV202" s="34"/>
      <c r="BW202" s="34"/>
      <c r="BX202" s="34"/>
      <c r="BY202" s="34"/>
      <c r="BZ202" s="34"/>
      <c r="CA202" s="20"/>
      <c r="CB202" s="20"/>
      <c r="CC202" s="29">
        <v>46003</v>
      </c>
      <c r="CD202" s="35" t="s">
        <v>254</v>
      </c>
    </row>
    <row r="203" spans="1:82" s="18" customFormat="1" ht="66.75" customHeight="1" x14ac:dyDescent="0.25">
      <c r="A203" s="87">
        <v>199</v>
      </c>
      <c r="B203" s="141" t="s">
        <v>2278</v>
      </c>
      <c r="C203" s="6" t="s">
        <v>2279</v>
      </c>
      <c r="D203" s="6" t="s">
        <v>2280</v>
      </c>
      <c r="E203" s="75" t="s">
        <v>113</v>
      </c>
      <c r="F203" s="4" t="s">
        <v>81</v>
      </c>
      <c r="G203" s="33">
        <v>5</v>
      </c>
      <c r="H203" s="49" t="s">
        <v>775</v>
      </c>
      <c r="I203" s="49" t="s">
        <v>2201</v>
      </c>
      <c r="J203" s="6" t="s">
        <v>115</v>
      </c>
      <c r="K203" s="49"/>
      <c r="L203" s="49"/>
      <c r="M203" s="49" t="s">
        <v>136</v>
      </c>
      <c r="N203" s="49" t="s">
        <v>89</v>
      </c>
      <c r="O203" s="49" t="s">
        <v>246</v>
      </c>
      <c r="P203" s="6" t="s">
        <v>2281</v>
      </c>
      <c r="Q203" s="49"/>
      <c r="R203" s="75" t="s">
        <v>91</v>
      </c>
      <c r="S203" s="33" t="s">
        <v>92</v>
      </c>
      <c r="T203" s="33" t="s">
        <v>93</v>
      </c>
      <c r="U203" s="78">
        <v>100</v>
      </c>
      <c r="V203" s="33" t="s">
        <v>94</v>
      </c>
      <c r="W203" s="33" t="s">
        <v>95</v>
      </c>
      <c r="X203" s="33">
        <v>2023</v>
      </c>
      <c r="Y203" s="33" t="s">
        <v>117</v>
      </c>
      <c r="Z203" s="33" t="s">
        <v>97</v>
      </c>
      <c r="AA203" s="33" t="s">
        <v>98</v>
      </c>
      <c r="AB203" s="49" t="s">
        <v>99</v>
      </c>
      <c r="AC203" s="48" t="s">
        <v>2282</v>
      </c>
      <c r="AD203" s="48" t="s">
        <v>2283</v>
      </c>
      <c r="AE203" s="6" t="s">
        <v>2284</v>
      </c>
      <c r="AF203" s="6" t="s">
        <v>2285</v>
      </c>
      <c r="AG203" s="6" t="s">
        <v>218</v>
      </c>
      <c r="AH203" s="49" t="s">
        <v>123</v>
      </c>
      <c r="AI203" s="6" t="s">
        <v>2286</v>
      </c>
      <c r="AJ203" s="6" t="s">
        <v>2283</v>
      </c>
      <c r="AK203" s="33" t="s">
        <v>97</v>
      </c>
      <c r="AL203" s="33" t="s">
        <v>97</v>
      </c>
      <c r="AM203" s="5"/>
      <c r="AN203" s="5"/>
      <c r="AO203" s="5" t="s">
        <v>2287</v>
      </c>
      <c r="AP203" s="5" t="s">
        <v>2288</v>
      </c>
      <c r="AQ203" s="49" t="s">
        <v>2289</v>
      </c>
      <c r="AR203" s="20" t="s">
        <v>97</v>
      </c>
      <c r="AS203" s="20" t="s">
        <v>107</v>
      </c>
      <c r="AT203" s="20"/>
      <c r="AU203" s="24">
        <v>0.4</v>
      </c>
      <c r="AV203" s="24">
        <f t="shared" si="40"/>
        <v>0.32000000000000006</v>
      </c>
      <c r="AW203" s="24">
        <f t="shared" si="41"/>
        <v>0.24</v>
      </c>
      <c r="AX203" s="25">
        <v>1E-4</v>
      </c>
      <c r="AY203" s="24">
        <v>0</v>
      </c>
      <c r="AZ203" s="24">
        <f t="shared" si="42"/>
        <v>0.36000000000000004</v>
      </c>
      <c r="BA203" s="24">
        <f t="shared" si="43"/>
        <v>0.28800000000000003</v>
      </c>
      <c r="BB203" s="24">
        <f t="shared" si="44"/>
        <v>0.21600000000000003</v>
      </c>
      <c r="BC203" s="25">
        <v>1E-4</v>
      </c>
      <c r="BD203" s="24">
        <v>0</v>
      </c>
      <c r="BE203" s="26">
        <v>0</v>
      </c>
      <c r="BF203" s="34">
        <f t="shared" si="45"/>
        <v>0</v>
      </c>
      <c r="BG203" s="34">
        <f t="shared" si="46"/>
        <v>0</v>
      </c>
      <c r="BH203" s="26">
        <v>0</v>
      </c>
      <c r="BI203" s="26">
        <v>0</v>
      </c>
      <c r="BJ203" s="27">
        <v>4.2000000000000003E-2</v>
      </c>
      <c r="BK203" s="27">
        <v>6.3834020179053569E-2</v>
      </c>
      <c r="BL203" s="27" t="s">
        <v>2290</v>
      </c>
      <c r="BM203" s="27" t="s">
        <v>2291</v>
      </c>
      <c r="BN203" s="26"/>
      <c r="BO203" s="34">
        <v>1</v>
      </c>
      <c r="BP203" s="34"/>
      <c r="BQ203" s="34"/>
      <c r="BR203" s="34"/>
      <c r="BS203" s="34"/>
      <c r="BT203" s="34"/>
      <c r="BU203" s="34"/>
      <c r="BV203" s="34"/>
      <c r="BW203" s="34"/>
      <c r="BX203" s="34"/>
      <c r="BY203" s="34"/>
      <c r="BZ203" s="34"/>
      <c r="CA203" s="20"/>
      <c r="CB203" s="20"/>
      <c r="CC203" s="29">
        <v>46003</v>
      </c>
      <c r="CD203" s="35" t="s">
        <v>510</v>
      </c>
    </row>
    <row r="204" spans="1:82" s="18" customFormat="1" ht="66.75" customHeight="1" x14ac:dyDescent="0.25">
      <c r="A204" s="87">
        <v>200</v>
      </c>
      <c r="B204" s="141" t="s">
        <v>2292</v>
      </c>
      <c r="C204" s="6" t="s">
        <v>2293</v>
      </c>
      <c r="D204" s="6" t="s">
        <v>2294</v>
      </c>
      <c r="E204" s="75" t="s">
        <v>174</v>
      </c>
      <c r="F204" s="4" t="s">
        <v>81</v>
      </c>
      <c r="G204" s="33">
        <v>97</v>
      </c>
      <c r="H204" s="49" t="s">
        <v>775</v>
      </c>
      <c r="I204" s="49" t="s">
        <v>2295</v>
      </c>
      <c r="J204" s="6"/>
      <c r="K204" s="49"/>
      <c r="L204" s="49"/>
      <c r="M204" s="49" t="s">
        <v>136</v>
      </c>
      <c r="N204" s="49" t="s">
        <v>89</v>
      </c>
      <c r="O204" s="49" t="s">
        <v>1444</v>
      </c>
      <c r="P204" s="6" t="s">
        <v>2296</v>
      </c>
      <c r="Q204" s="49"/>
      <c r="R204" s="75" t="s">
        <v>91</v>
      </c>
      <c r="S204" s="33" t="s">
        <v>92</v>
      </c>
      <c r="T204" s="33" t="s">
        <v>93</v>
      </c>
      <c r="U204" s="78">
        <v>100</v>
      </c>
      <c r="V204" s="33" t="s">
        <v>94</v>
      </c>
      <c r="W204" s="33" t="s">
        <v>95</v>
      </c>
      <c r="X204" s="33">
        <v>2021</v>
      </c>
      <c r="Y204" s="33" t="s">
        <v>117</v>
      </c>
      <c r="Z204" s="33" t="s">
        <v>95</v>
      </c>
      <c r="AA204" s="33" t="s">
        <v>973</v>
      </c>
      <c r="AB204" s="49" t="s">
        <v>99</v>
      </c>
      <c r="AC204" s="48" t="s">
        <v>2297</v>
      </c>
      <c r="AD204" s="79" t="s">
        <v>2298</v>
      </c>
      <c r="AE204" s="6" t="s">
        <v>2299</v>
      </c>
      <c r="AF204" s="6" t="s">
        <v>2300</v>
      </c>
      <c r="AG204" s="6" t="s">
        <v>2301</v>
      </c>
      <c r="AH204" s="6" t="s">
        <v>123</v>
      </c>
      <c r="AI204" s="6" t="s">
        <v>2302</v>
      </c>
      <c r="AJ204" s="6" t="s">
        <v>2303</v>
      </c>
      <c r="AK204" s="5" t="s">
        <v>2304</v>
      </c>
      <c r="AL204" s="5" t="s">
        <v>2304</v>
      </c>
      <c r="AM204" s="5" t="s">
        <v>2305</v>
      </c>
      <c r="AN204" s="5" t="s">
        <v>470</v>
      </c>
      <c r="AO204" s="5" t="s">
        <v>2306</v>
      </c>
      <c r="AP204" s="5" t="s">
        <v>2307</v>
      </c>
      <c r="AQ204" s="6" t="s">
        <v>2308</v>
      </c>
      <c r="AR204" s="20" t="s">
        <v>97</v>
      </c>
      <c r="AS204" s="20" t="s">
        <v>107</v>
      </c>
      <c r="AT204" s="20"/>
      <c r="AU204" s="24">
        <v>0.8</v>
      </c>
      <c r="AV204" s="24">
        <f t="shared" si="40"/>
        <v>0.64000000000000012</v>
      </c>
      <c r="AW204" s="24">
        <f t="shared" si="41"/>
        <v>0.48</v>
      </c>
      <c r="AX204" s="25">
        <v>1E-4</v>
      </c>
      <c r="AY204" s="24">
        <v>0</v>
      </c>
      <c r="AZ204" s="24">
        <f t="shared" si="42"/>
        <v>0.72000000000000008</v>
      </c>
      <c r="BA204" s="24">
        <f t="shared" si="43"/>
        <v>0.57600000000000007</v>
      </c>
      <c r="BB204" s="24">
        <f t="shared" si="44"/>
        <v>0.43200000000000005</v>
      </c>
      <c r="BC204" s="25">
        <v>1E-4</v>
      </c>
      <c r="BD204" s="24">
        <v>0</v>
      </c>
      <c r="BE204" s="34">
        <v>10</v>
      </c>
      <c r="BF204" s="34">
        <f t="shared" si="45"/>
        <v>8</v>
      </c>
      <c r="BG204" s="34">
        <f t="shared" si="46"/>
        <v>6</v>
      </c>
      <c r="BH204" s="26">
        <v>1</v>
      </c>
      <c r="BI204" s="26">
        <v>0</v>
      </c>
      <c r="BJ204" s="27">
        <v>0.30499999999999999</v>
      </c>
      <c r="BK204" s="27">
        <v>0.29196591600730371</v>
      </c>
      <c r="BL204" s="27" t="s">
        <v>2104</v>
      </c>
      <c r="BM204" s="27" t="s">
        <v>2222</v>
      </c>
      <c r="BN204" s="26"/>
      <c r="BO204" s="34">
        <v>1</v>
      </c>
      <c r="BP204" s="34"/>
      <c r="BQ204" s="34"/>
      <c r="BR204" s="34"/>
      <c r="BS204" s="34">
        <v>1</v>
      </c>
      <c r="BT204" s="34"/>
      <c r="BU204" s="34"/>
      <c r="BV204" s="34"/>
      <c r="BW204" s="34"/>
      <c r="BX204" s="34"/>
      <c r="BY204" s="34"/>
      <c r="BZ204" s="34">
        <v>1</v>
      </c>
      <c r="CA204" s="20" t="s">
        <v>2295</v>
      </c>
      <c r="CB204" s="20" t="s">
        <v>2295</v>
      </c>
      <c r="CC204" s="46">
        <v>46006</v>
      </c>
      <c r="CD204" s="40" t="s">
        <v>2309</v>
      </c>
    </row>
    <row r="205" spans="1:82" s="18" customFormat="1" ht="66.75" customHeight="1" x14ac:dyDescent="0.25">
      <c r="A205" s="121">
        <v>201</v>
      </c>
      <c r="B205" s="141" t="s">
        <v>2310</v>
      </c>
      <c r="C205" s="6" t="s">
        <v>2311</v>
      </c>
      <c r="D205" s="6" t="s">
        <v>2312</v>
      </c>
      <c r="E205" s="75" t="s">
        <v>174</v>
      </c>
      <c r="F205" s="4" t="s">
        <v>81</v>
      </c>
      <c r="G205" s="33" t="s">
        <v>84</v>
      </c>
      <c r="H205" s="49" t="s">
        <v>775</v>
      </c>
      <c r="I205" s="49" t="s">
        <v>2295</v>
      </c>
      <c r="J205" s="6"/>
      <c r="K205" s="49"/>
      <c r="L205" s="49"/>
      <c r="M205" s="49" t="s">
        <v>88</v>
      </c>
      <c r="N205" s="49" t="s">
        <v>89</v>
      </c>
      <c r="O205" s="49" t="s">
        <v>1444</v>
      </c>
      <c r="P205" s="6" t="s">
        <v>2296</v>
      </c>
      <c r="Q205" s="49"/>
      <c r="R205" s="75" t="s">
        <v>175</v>
      </c>
      <c r="S205" s="33" t="s">
        <v>92</v>
      </c>
      <c r="T205" s="33" t="s">
        <v>93</v>
      </c>
      <c r="U205" s="78">
        <v>100</v>
      </c>
      <c r="V205" s="33" t="s">
        <v>94</v>
      </c>
      <c r="W205" s="33" t="s">
        <v>95</v>
      </c>
      <c r="X205" s="33">
        <v>2023</v>
      </c>
      <c r="Y205" s="33" t="s">
        <v>117</v>
      </c>
      <c r="Z205" s="33" t="s">
        <v>95</v>
      </c>
      <c r="AA205" s="33" t="s">
        <v>973</v>
      </c>
      <c r="AB205" s="49" t="s">
        <v>99</v>
      </c>
      <c r="AC205" s="48" t="s">
        <v>2313</v>
      </c>
      <c r="AD205" s="79" t="s">
        <v>2314</v>
      </c>
      <c r="AE205" s="2" t="s">
        <v>2315</v>
      </c>
      <c r="AF205" s="2" t="s">
        <v>2316</v>
      </c>
      <c r="AG205" s="6" t="s">
        <v>178</v>
      </c>
      <c r="AH205" s="6" t="s">
        <v>123</v>
      </c>
      <c r="AI205" s="6" t="s">
        <v>2317</v>
      </c>
      <c r="AJ205" s="6" t="s">
        <v>2318</v>
      </c>
      <c r="AK205" s="5" t="s">
        <v>2319</v>
      </c>
      <c r="AL205" s="5" t="s">
        <v>2320</v>
      </c>
      <c r="AM205" s="5" t="s">
        <v>2321</v>
      </c>
      <c r="AN205" s="5"/>
      <c r="AO205" s="5" t="s">
        <v>2322</v>
      </c>
      <c r="AP205" s="5" t="s">
        <v>2323</v>
      </c>
      <c r="AQ205" s="6" t="s">
        <v>2308</v>
      </c>
      <c r="AR205" s="20" t="s">
        <v>97</v>
      </c>
      <c r="AS205" s="20" t="s">
        <v>107</v>
      </c>
      <c r="AT205" s="20"/>
      <c r="AU205" s="24">
        <v>0.3</v>
      </c>
      <c r="AV205" s="24">
        <f t="shared" si="40"/>
        <v>0.24</v>
      </c>
      <c r="AW205" s="24">
        <f t="shared" si="41"/>
        <v>0.18</v>
      </c>
      <c r="AX205" s="25">
        <v>1E-4</v>
      </c>
      <c r="AY205" s="24">
        <v>0</v>
      </c>
      <c r="AZ205" s="24">
        <f t="shared" si="42"/>
        <v>0.27</v>
      </c>
      <c r="BA205" s="24">
        <f t="shared" si="43"/>
        <v>0.21600000000000003</v>
      </c>
      <c r="BB205" s="24">
        <f t="shared" si="44"/>
        <v>0.16200000000000001</v>
      </c>
      <c r="BC205" s="25">
        <v>1E-4</v>
      </c>
      <c r="BD205" s="24">
        <v>0</v>
      </c>
      <c r="BE205" s="34">
        <v>30</v>
      </c>
      <c r="BF205" s="34">
        <f t="shared" si="45"/>
        <v>24</v>
      </c>
      <c r="BG205" s="34">
        <f t="shared" si="46"/>
        <v>18</v>
      </c>
      <c r="BH205" s="26">
        <v>1</v>
      </c>
      <c r="BI205" s="26">
        <v>0</v>
      </c>
      <c r="BJ205" s="27">
        <v>0.25800000000000001</v>
      </c>
      <c r="BK205" s="27">
        <v>0.21907036472188887</v>
      </c>
      <c r="BL205" s="27" t="s">
        <v>2324</v>
      </c>
      <c r="BM205" s="27" t="s">
        <v>2325</v>
      </c>
      <c r="BN205" s="26"/>
      <c r="BO205" s="34"/>
      <c r="BP205" s="34"/>
      <c r="BQ205" s="34"/>
      <c r="BR205" s="34"/>
      <c r="BS205" s="34"/>
      <c r="BT205" s="34"/>
      <c r="BU205" s="34"/>
      <c r="BV205" s="34"/>
      <c r="BW205" s="34"/>
      <c r="BX205" s="34"/>
      <c r="BY205" s="34"/>
      <c r="BZ205" s="34">
        <v>1</v>
      </c>
      <c r="CA205" s="20" t="s">
        <v>2295</v>
      </c>
      <c r="CB205" s="20" t="s">
        <v>2295</v>
      </c>
      <c r="CC205" s="46">
        <v>46006</v>
      </c>
      <c r="CD205" s="40" t="s">
        <v>2326</v>
      </c>
    </row>
    <row r="206" spans="1:82" s="18" customFormat="1" ht="66.75" customHeight="1" x14ac:dyDescent="0.25">
      <c r="A206" s="87">
        <v>202</v>
      </c>
      <c r="B206" s="141" t="s">
        <v>2327</v>
      </c>
      <c r="C206" s="6" t="s">
        <v>2328</v>
      </c>
      <c r="D206" s="6" t="s">
        <v>2329</v>
      </c>
      <c r="E206" s="75" t="s">
        <v>113</v>
      </c>
      <c r="F206" s="4" t="s">
        <v>81</v>
      </c>
      <c r="G206" s="33">
        <v>95</v>
      </c>
      <c r="H206" s="49" t="s">
        <v>775</v>
      </c>
      <c r="I206" s="49" t="s">
        <v>2295</v>
      </c>
      <c r="J206" s="6"/>
      <c r="K206" s="49"/>
      <c r="L206" s="49"/>
      <c r="M206" s="49" t="s">
        <v>136</v>
      </c>
      <c r="N206" s="49" t="s">
        <v>89</v>
      </c>
      <c r="O206" s="49" t="s">
        <v>579</v>
      </c>
      <c r="P206" s="6" t="s">
        <v>2296</v>
      </c>
      <c r="Q206" s="49"/>
      <c r="R206" s="75" t="s">
        <v>91</v>
      </c>
      <c r="S206" s="33" t="s">
        <v>92</v>
      </c>
      <c r="T206" s="33" t="s">
        <v>93</v>
      </c>
      <c r="U206" s="78">
        <v>100</v>
      </c>
      <c r="V206" s="33" t="s">
        <v>94</v>
      </c>
      <c r="W206" s="33" t="s">
        <v>95</v>
      </c>
      <c r="X206" s="33">
        <v>2023</v>
      </c>
      <c r="Y206" s="33" t="s">
        <v>117</v>
      </c>
      <c r="Z206" s="33" t="s">
        <v>95</v>
      </c>
      <c r="AA206" s="33" t="s">
        <v>973</v>
      </c>
      <c r="AB206" s="49" t="s">
        <v>99</v>
      </c>
      <c r="AC206" s="48" t="s">
        <v>2330</v>
      </c>
      <c r="AD206" s="79" t="s">
        <v>2331</v>
      </c>
      <c r="AE206" s="6" t="s">
        <v>2332</v>
      </c>
      <c r="AF206" s="6" t="s">
        <v>121</v>
      </c>
      <c r="AG206" s="6" t="s">
        <v>218</v>
      </c>
      <c r="AH206" s="49" t="s">
        <v>123</v>
      </c>
      <c r="AI206" s="6" t="s">
        <v>2333</v>
      </c>
      <c r="AJ206" s="6" t="s">
        <v>2334</v>
      </c>
      <c r="AK206" s="33" t="s">
        <v>2304</v>
      </c>
      <c r="AL206" s="33" t="s">
        <v>2304</v>
      </c>
      <c r="AM206" s="5" t="s">
        <v>2321</v>
      </c>
      <c r="AN206" s="5"/>
      <c r="AO206" s="5" t="s">
        <v>2335</v>
      </c>
      <c r="AP206" s="5" t="s">
        <v>2336</v>
      </c>
      <c r="AQ206" s="6" t="s">
        <v>2337</v>
      </c>
      <c r="AR206" s="20" t="s">
        <v>97</v>
      </c>
      <c r="AS206" s="20" t="s">
        <v>107</v>
      </c>
      <c r="AT206" s="20"/>
      <c r="AU206" s="24">
        <v>0.2</v>
      </c>
      <c r="AV206" s="24">
        <f t="shared" si="40"/>
        <v>0.16000000000000003</v>
      </c>
      <c r="AW206" s="24">
        <f t="shared" si="41"/>
        <v>0.12</v>
      </c>
      <c r="AX206" s="25">
        <v>1E-4</v>
      </c>
      <c r="AY206" s="24">
        <v>0</v>
      </c>
      <c r="AZ206" s="24">
        <f t="shared" si="42"/>
        <v>0.18000000000000002</v>
      </c>
      <c r="BA206" s="24">
        <f t="shared" si="43"/>
        <v>0.14400000000000002</v>
      </c>
      <c r="BB206" s="24">
        <f t="shared" si="44"/>
        <v>0.10800000000000001</v>
      </c>
      <c r="BC206" s="25">
        <v>1E-4</v>
      </c>
      <c r="BD206" s="24">
        <v>0</v>
      </c>
      <c r="BE206" s="26">
        <v>0</v>
      </c>
      <c r="BF206" s="34">
        <f t="shared" si="45"/>
        <v>0</v>
      </c>
      <c r="BG206" s="34">
        <f t="shared" si="46"/>
        <v>0</v>
      </c>
      <c r="BH206" s="26">
        <v>0</v>
      </c>
      <c r="BI206" s="26">
        <v>0</v>
      </c>
      <c r="BJ206" s="27">
        <v>0.111</v>
      </c>
      <c r="BK206" s="27">
        <v>9.4874053667339378E-2</v>
      </c>
      <c r="BL206" s="27" t="s">
        <v>2338</v>
      </c>
      <c r="BM206" s="27" t="s">
        <v>2339</v>
      </c>
      <c r="BN206" s="26"/>
      <c r="BO206" s="34">
        <v>1</v>
      </c>
      <c r="BP206" s="34"/>
      <c r="BQ206" s="34"/>
      <c r="BR206" s="34"/>
      <c r="BS206" s="34"/>
      <c r="BT206" s="34"/>
      <c r="BU206" s="34"/>
      <c r="BV206" s="34"/>
      <c r="BW206" s="34"/>
      <c r="BX206" s="34"/>
      <c r="BY206" s="34"/>
      <c r="BZ206" s="34"/>
      <c r="CA206" s="20"/>
      <c r="CB206" s="20"/>
      <c r="CC206" s="29">
        <v>46003</v>
      </c>
      <c r="CD206" s="40" t="s">
        <v>2340</v>
      </c>
    </row>
    <row r="207" spans="1:82" s="18" customFormat="1" ht="66.75" customHeight="1" x14ac:dyDescent="0.25">
      <c r="A207" s="87">
        <v>203</v>
      </c>
      <c r="B207" s="141" t="s">
        <v>2341</v>
      </c>
      <c r="C207" s="6" t="s">
        <v>2342</v>
      </c>
      <c r="D207" s="6" t="s">
        <v>2343</v>
      </c>
      <c r="E207" s="75" t="s">
        <v>113</v>
      </c>
      <c r="F207" s="4" t="s">
        <v>81</v>
      </c>
      <c r="G207" s="33">
        <v>90</v>
      </c>
      <c r="H207" s="49" t="s">
        <v>775</v>
      </c>
      <c r="I207" s="49" t="s">
        <v>2295</v>
      </c>
      <c r="J207" s="6"/>
      <c r="K207" s="49"/>
      <c r="L207" s="49"/>
      <c r="M207" s="49" t="s">
        <v>136</v>
      </c>
      <c r="N207" s="49" t="s">
        <v>89</v>
      </c>
      <c r="O207" s="49" t="s">
        <v>1444</v>
      </c>
      <c r="P207" s="6" t="s">
        <v>2296</v>
      </c>
      <c r="Q207" s="49"/>
      <c r="R207" s="75" t="s">
        <v>91</v>
      </c>
      <c r="S207" s="33" t="s">
        <v>92</v>
      </c>
      <c r="T207" s="33" t="s">
        <v>93</v>
      </c>
      <c r="U207" s="78">
        <v>100</v>
      </c>
      <c r="V207" s="33" t="s">
        <v>94</v>
      </c>
      <c r="W207" s="33" t="s">
        <v>95</v>
      </c>
      <c r="X207" s="33">
        <v>2023</v>
      </c>
      <c r="Y207" s="33" t="s">
        <v>117</v>
      </c>
      <c r="Z207" s="33" t="s">
        <v>95</v>
      </c>
      <c r="AA207" s="33" t="s">
        <v>973</v>
      </c>
      <c r="AB207" s="49" t="s">
        <v>99</v>
      </c>
      <c r="AC207" s="48" t="s">
        <v>2344</v>
      </c>
      <c r="AD207" s="79" t="s">
        <v>2331</v>
      </c>
      <c r="AE207" s="6" t="s">
        <v>2345</v>
      </c>
      <c r="AF207" s="6" t="s">
        <v>121</v>
      </c>
      <c r="AG207" s="6" t="s">
        <v>2346</v>
      </c>
      <c r="AH207" s="49" t="s">
        <v>123</v>
      </c>
      <c r="AI207" s="6" t="s">
        <v>2347</v>
      </c>
      <c r="AJ207" s="6" t="s">
        <v>2334</v>
      </c>
      <c r="AK207" s="33" t="s">
        <v>2304</v>
      </c>
      <c r="AL207" s="33" t="s">
        <v>2304</v>
      </c>
      <c r="AM207" s="5" t="s">
        <v>2321</v>
      </c>
      <c r="AN207" s="5"/>
      <c r="AO207" s="5" t="s">
        <v>2348</v>
      </c>
      <c r="AP207" s="5" t="s">
        <v>2336</v>
      </c>
      <c r="AQ207" s="6" t="s">
        <v>2337</v>
      </c>
      <c r="AR207" s="20" t="s">
        <v>97</v>
      </c>
      <c r="AS207" s="20" t="s">
        <v>107</v>
      </c>
      <c r="AT207" s="20"/>
      <c r="AU207" s="24">
        <v>0.2</v>
      </c>
      <c r="AV207" s="24">
        <f t="shared" si="40"/>
        <v>0.16000000000000003</v>
      </c>
      <c r="AW207" s="24">
        <f t="shared" si="41"/>
        <v>0.12</v>
      </c>
      <c r="AX207" s="25">
        <v>1E-4</v>
      </c>
      <c r="AY207" s="24">
        <v>0</v>
      </c>
      <c r="AZ207" s="24">
        <f t="shared" si="42"/>
        <v>0.18000000000000002</v>
      </c>
      <c r="BA207" s="24">
        <f t="shared" si="43"/>
        <v>0.14400000000000002</v>
      </c>
      <c r="BB207" s="24">
        <f t="shared" si="44"/>
        <v>0.10800000000000001</v>
      </c>
      <c r="BC207" s="25">
        <v>1E-4</v>
      </c>
      <c r="BD207" s="24">
        <v>0</v>
      </c>
      <c r="BE207" s="26">
        <v>0</v>
      </c>
      <c r="BF207" s="34">
        <f t="shared" si="45"/>
        <v>0</v>
      </c>
      <c r="BG207" s="34">
        <f t="shared" si="46"/>
        <v>0</v>
      </c>
      <c r="BH207" s="26">
        <v>0</v>
      </c>
      <c r="BI207" s="26">
        <v>0</v>
      </c>
      <c r="BJ207" s="27">
        <v>2.7E-2</v>
      </c>
      <c r="BK207" s="27">
        <v>2.0087345570255523E-2</v>
      </c>
      <c r="BL207" s="27" t="s">
        <v>2349</v>
      </c>
      <c r="BM207" s="27" t="s">
        <v>2350</v>
      </c>
      <c r="BN207" s="26"/>
      <c r="BO207" s="34">
        <v>1</v>
      </c>
      <c r="BP207" s="34"/>
      <c r="BQ207" s="34"/>
      <c r="BR207" s="34"/>
      <c r="BS207" s="34"/>
      <c r="BT207" s="34"/>
      <c r="BU207" s="34"/>
      <c r="BV207" s="34"/>
      <c r="BW207" s="34"/>
      <c r="BX207" s="34"/>
      <c r="BY207" s="34"/>
      <c r="BZ207" s="34"/>
      <c r="CA207" s="20"/>
      <c r="CB207" s="20"/>
      <c r="CC207" s="29">
        <v>46003</v>
      </c>
      <c r="CD207" s="40" t="s">
        <v>2340</v>
      </c>
    </row>
    <row r="208" spans="1:82" s="18" customFormat="1" ht="66.75" customHeight="1" x14ac:dyDescent="0.25">
      <c r="A208" s="121">
        <v>204</v>
      </c>
      <c r="B208" s="141" t="s">
        <v>2351</v>
      </c>
      <c r="C208" s="6" t="s">
        <v>2352</v>
      </c>
      <c r="D208" s="6" t="s">
        <v>2353</v>
      </c>
      <c r="E208" s="75" t="s">
        <v>113</v>
      </c>
      <c r="F208" s="4" t="s">
        <v>81</v>
      </c>
      <c r="G208" s="33">
        <v>89</v>
      </c>
      <c r="H208" s="49" t="s">
        <v>775</v>
      </c>
      <c r="I208" s="49" t="s">
        <v>2295</v>
      </c>
      <c r="J208" s="6"/>
      <c r="K208" s="49"/>
      <c r="L208" s="49"/>
      <c r="M208" s="49" t="s">
        <v>136</v>
      </c>
      <c r="N208" s="49" t="s">
        <v>89</v>
      </c>
      <c r="O208" s="49" t="s">
        <v>1444</v>
      </c>
      <c r="P208" s="6" t="s">
        <v>2296</v>
      </c>
      <c r="Q208" s="49"/>
      <c r="R208" s="75" t="s">
        <v>91</v>
      </c>
      <c r="S208" s="33" t="s">
        <v>92</v>
      </c>
      <c r="T208" s="33" t="s">
        <v>93</v>
      </c>
      <c r="U208" s="78">
        <v>100</v>
      </c>
      <c r="V208" s="33" t="s">
        <v>94</v>
      </c>
      <c r="W208" s="33" t="s">
        <v>95</v>
      </c>
      <c r="X208" s="33">
        <v>2023</v>
      </c>
      <c r="Y208" s="33" t="s">
        <v>117</v>
      </c>
      <c r="Z208" s="33" t="s">
        <v>95</v>
      </c>
      <c r="AA208" s="33" t="s">
        <v>973</v>
      </c>
      <c r="AB208" s="49" t="s">
        <v>99</v>
      </c>
      <c r="AC208" s="48" t="s">
        <v>2354</v>
      </c>
      <c r="AD208" s="79" t="s">
        <v>2331</v>
      </c>
      <c r="AE208" s="6" t="s">
        <v>2355</v>
      </c>
      <c r="AF208" s="6" t="s">
        <v>121</v>
      </c>
      <c r="AG208" s="6" t="s">
        <v>1600</v>
      </c>
      <c r="AH208" s="49" t="s">
        <v>123</v>
      </c>
      <c r="AI208" s="6" t="s">
        <v>2356</v>
      </c>
      <c r="AJ208" s="6" t="s">
        <v>2334</v>
      </c>
      <c r="AK208" s="33" t="s">
        <v>2304</v>
      </c>
      <c r="AL208" s="33" t="s">
        <v>2304</v>
      </c>
      <c r="AM208" s="5" t="s">
        <v>2321</v>
      </c>
      <c r="AN208" s="5"/>
      <c r="AO208" s="5" t="s">
        <v>2357</v>
      </c>
      <c r="AP208" s="5" t="s">
        <v>2336</v>
      </c>
      <c r="AQ208" s="6" t="s">
        <v>2337</v>
      </c>
      <c r="AR208" s="20" t="s">
        <v>97</v>
      </c>
      <c r="AS208" s="20" t="s">
        <v>107</v>
      </c>
      <c r="AT208" s="20"/>
      <c r="AU208" s="24">
        <v>0.2</v>
      </c>
      <c r="AV208" s="24">
        <f t="shared" si="40"/>
        <v>0.16000000000000003</v>
      </c>
      <c r="AW208" s="24">
        <f t="shared" si="41"/>
        <v>0.12</v>
      </c>
      <c r="AX208" s="25">
        <v>1E-4</v>
      </c>
      <c r="AY208" s="24">
        <v>0</v>
      </c>
      <c r="AZ208" s="24">
        <f t="shared" si="42"/>
        <v>0.18000000000000002</v>
      </c>
      <c r="BA208" s="24">
        <f t="shared" si="43"/>
        <v>0.14400000000000002</v>
      </c>
      <c r="BB208" s="24">
        <f t="shared" si="44"/>
        <v>0.10800000000000001</v>
      </c>
      <c r="BC208" s="25">
        <v>1E-4</v>
      </c>
      <c r="BD208" s="24">
        <v>0</v>
      </c>
      <c r="BE208" s="26">
        <v>0</v>
      </c>
      <c r="BF208" s="34">
        <f t="shared" si="45"/>
        <v>0</v>
      </c>
      <c r="BG208" s="34">
        <f t="shared" si="46"/>
        <v>0</v>
      </c>
      <c r="BH208" s="26">
        <v>0</v>
      </c>
      <c r="BI208" s="26">
        <v>0</v>
      </c>
      <c r="BJ208" s="27">
        <v>9.7000000000000003E-2</v>
      </c>
      <c r="BK208" s="27">
        <v>9.5648738401084885E-2</v>
      </c>
      <c r="BL208" s="27" t="s">
        <v>2358</v>
      </c>
      <c r="BM208" s="27" t="s">
        <v>2359</v>
      </c>
      <c r="BN208" s="26"/>
      <c r="BO208" s="34">
        <v>1</v>
      </c>
      <c r="BP208" s="34"/>
      <c r="BQ208" s="34"/>
      <c r="BR208" s="34"/>
      <c r="BS208" s="34"/>
      <c r="BT208" s="34"/>
      <c r="BU208" s="34"/>
      <c r="BV208" s="34"/>
      <c r="BW208" s="34"/>
      <c r="BX208" s="34"/>
      <c r="BY208" s="34"/>
      <c r="BZ208" s="34"/>
      <c r="CA208" s="20"/>
      <c r="CB208" s="20"/>
      <c r="CC208" s="29">
        <v>46003</v>
      </c>
      <c r="CD208" s="40" t="s">
        <v>2340</v>
      </c>
    </row>
    <row r="209" spans="1:82" s="18" customFormat="1" ht="66.75" customHeight="1" x14ac:dyDescent="0.25">
      <c r="A209" s="87">
        <v>205</v>
      </c>
      <c r="B209" s="141" t="s">
        <v>2360</v>
      </c>
      <c r="C209" s="6" t="s">
        <v>2361</v>
      </c>
      <c r="D209" s="6" t="s">
        <v>2362</v>
      </c>
      <c r="E209" s="75" t="s">
        <v>113</v>
      </c>
      <c r="F209" s="4" t="s">
        <v>81</v>
      </c>
      <c r="G209" s="33" t="s">
        <v>2363</v>
      </c>
      <c r="H209" s="49" t="s">
        <v>775</v>
      </c>
      <c r="I209" s="49" t="s">
        <v>2295</v>
      </c>
      <c r="J209" s="6"/>
      <c r="K209" s="49"/>
      <c r="L209" s="49"/>
      <c r="M209" s="49" t="s">
        <v>136</v>
      </c>
      <c r="N209" s="49" t="s">
        <v>89</v>
      </c>
      <c r="O209" s="49" t="s">
        <v>1444</v>
      </c>
      <c r="P209" s="6" t="s">
        <v>2296</v>
      </c>
      <c r="Q209" s="49"/>
      <c r="R209" s="75" t="s">
        <v>91</v>
      </c>
      <c r="S209" s="33" t="s">
        <v>92</v>
      </c>
      <c r="T209" s="33" t="s">
        <v>93</v>
      </c>
      <c r="U209" s="78">
        <v>100</v>
      </c>
      <c r="V209" s="33" t="s">
        <v>94</v>
      </c>
      <c r="W209" s="33" t="s">
        <v>95</v>
      </c>
      <c r="X209" s="33">
        <v>2023</v>
      </c>
      <c r="Y209" s="33" t="s">
        <v>117</v>
      </c>
      <c r="Z209" s="33" t="s">
        <v>95</v>
      </c>
      <c r="AA209" s="33" t="s">
        <v>973</v>
      </c>
      <c r="AB209" s="49" t="s">
        <v>99</v>
      </c>
      <c r="AC209" s="48" t="s">
        <v>2364</v>
      </c>
      <c r="AD209" s="79" t="s">
        <v>2331</v>
      </c>
      <c r="AE209" s="6" t="s">
        <v>2365</v>
      </c>
      <c r="AF209" s="6" t="s">
        <v>121</v>
      </c>
      <c r="AG209" s="6" t="s">
        <v>1042</v>
      </c>
      <c r="AH209" s="49" t="s">
        <v>123</v>
      </c>
      <c r="AI209" s="6" t="s">
        <v>2366</v>
      </c>
      <c r="AJ209" s="6" t="s">
        <v>2334</v>
      </c>
      <c r="AK209" s="33" t="s">
        <v>2304</v>
      </c>
      <c r="AL209" s="33" t="s">
        <v>2304</v>
      </c>
      <c r="AM209" s="5" t="s">
        <v>2321</v>
      </c>
      <c r="AN209" s="5"/>
      <c r="AO209" s="5" t="s">
        <v>2367</v>
      </c>
      <c r="AP209" s="5" t="s">
        <v>2336</v>
      </c>
      <c r="AQ209" s="6" t="s">
        <v>2337</v>
      </c>
      <c r="AR209" s="20" t="s">
        <v>97</v>
      </c>
      <c r="AS209" s="20" t="s">
        <v>107</v>
      </c>
      <c r="AT209" s="20"/>
      <c r="AU209" s="24">
        <v>0.2</v>
      </c>
      <c r="AV209" s="24">
        <f t="shared" si="40"/>
        <v>0.16000000000000003</v>
      </c>
      <c r="AW209" s="24">
        <f t="shared" si="41"/>
        <v>0.12</v>
      </c>
      <c r="AX209" s="25">
        <v>1E-4</v>
      </c>
      <c r="AY209" s="24">
        <v>0</v>
      </c>
      <c r="AZ209" s="24">
        <f t="shared" si="42"/>
        <v>0.18000000000000002</v>
      </c>
      <c r="BA209" s="24">
        <f t="shared" si="43"/>
        <v>0.14400000000000002</v>
      </c>
      <c r="BB209" s="24">
        <f t="shared" si="44"/>
        <v>0.10800000000000001</v>
      </c>
      <c r="BC209" s="25">
        <v>1E-4</v>
      </c>
      <c r="BD209" s="24">
        <v>0</v>
      </c>
      <c r="BE209" s="26">
        <v>0</v>
      </c>
      <c r="BF209" s="34">
        <f t="shared" si="45"/>
        <v>0</v>
      </c>
      <c r="BG209" s="34">
        <f t="shared" si="46"/>
        <v>0</v>
      </c>
      <c r="BH209" s="26">
        <v>0</v>
      </c>
      <c r="BI209" s="26">
        <v>0</v>
      </c>
      <c r="BJ209" s="27">
        <v>3.5000000000000003E-2</v>
      </c>
      <c r="BK209" s="27">
        <v>4.9805127548024047E-2</v>
      </c>
      <c r="BL209" s="27" t="s">
        <v>2368</v>
      </c>
      <c r="BM209" s="27" t="s">
        <v>2369</v>
      </c>
      <c r="BN209" s="26"/>
      <c r="BO209" s="34">
        <v>1</v>
      </c>
      <c r="BP209" s="34"/>
      <c r="BQ209" s="34"/>
      <c r="BR209" s="34"/>
      <c r="BS209" s="34"/>
      <c r="BT209" s="34"/>
      <c r="BU209" s="34"/>
      <c r="BV209" s="34"/>
      <c r="BW209" s="34"/>
      <c r="BX209" s="34"/>
      <c r="BY209" s="34"/>
      <c r="BZ209" s="34"/>
      <c r="CA209" s="20"/>
      <c r="CB209" s="20"/>
      <c r="CC209" s="29">
        <v>46003</v>
      </c>
      <c r="CD209" s="40" t="s">
        <v>2340</v>
      </c>
    </row>
    <row r="210" spans="1:82" s="18" customFormat="1" ht="66.75" customHeight="1" x14ac:dyDescent="0.25">
      <c r="A210" s="87">
        <v>206</v>
      </c>
      <c r="B210" s="141" t="s">
        <v>2370</v>
      </c>
      <c r="C210" s="6" t="s">
        <v>2371</v>
      </c>
      <c r="D210" s="6" t="s">
        <v>2372</v>
      </c>
      <c r="E210" s="75" t="s">
        <v>113</v>
      </c>
      <c r="F210" s="4" t="s">
        <v>81</v>
      </c>
      <c r="G210" s="33">
        <v>93</v>
      </c>
      <c r="H210" s="49" t="s">
        <v>775</v>
      </c>
      <c r="I210" s="49" t="s">
        <v>2295</v>
      </c>
      <c r="J210" s="6"/>
      <c r="K210" s="49"/>
      <c r="L210" s="49"/>
      <c r="M210" s="49" t="s">
        <v>136</v>
      </c>
      <c r="N210" s="49" t="s">
        <v>89</v>
      </c>
      <c r="O210" s="49" t="s">
        <v>1444</v>
      </c>
      <c r="P210" s="6" t="s">
        <v>2296</v>
      </c>
      <c r="Q210" s="49"/>
      <c r="R210" s="75" t="s">
        <v>91</v>
      </c>
      <c r="S210" s="33" t="s">
        <v>92</v>
      </c>
      <c r="T210" s="33" t="s">
        <v>93</v>
      </c>
      <c r="U210" s="78">
        <v>100</v>
      </c>
      <c r="V210" s="33" t="s">
        <v>94</v>
      </c>
      <c r="W210" s="33" t="s">
        <v>95</v>
      </c>
      <c r="X210" s="33">
        <v>2023</v>
      </c>
      <c r="Y210" s="33" t="s">
        <v>117</v>
      </c>
      <c r="Z210" s="33" t="s">
        <v>95</v>
      </c>
      <c r="AA210" s="33" t="s">
        <v>973</v>
      </c>
      <c r="AB210" s="49" t="s">
        <v>99</v>
      </c>
      <c r="AC210" s="48" t="s">
        <v>2373</v>
      </c>
      <c r="AD210" s="79" t="s">
        <v>2331</v>
      </c>
      <c r="AE210" s="6" t="s">
        <v>2374</v>
      </c>
      <c r="AF210" s="6" t="s">
        <v>121</v>
      </c>
      <c r="AG210" s="6" t="s">
        <v>1042</v>
      </c>
      <c r="AH210" s="49" t="s">
        <v>123</v>
      </c>
      <c r="AI210" s="6" t="s">
        <v>2375</v>
      </c>
      <c r="AJ210" s="6" t="s">
        <v>2334</v>
      </c>
      <c r="AK210" s="33" t="s">
        <v>2304</v>
      </c>
      <c r="AL210" s="33" t="s">
        <v>2304</v>
      </c>
      <c r="AM210" s="5" t="s">
        <v>2321</v>
      </c>
      <c r="AN210" s="5"/>
      <c r="AO210" s="5" t="s">
        <v>2376</v>
      </c>
      <c r="AP210" s="5" t="s">
        <v>2336</v>
      </c>
      <c r="AQ210" s="6" t="s">
        <v>2337</v>
      </c>
      <c r="AR210" s="20" t="s">
        <v>97</v>
      </c>
      <c r="AS210" s="20" t="s">
        <v>107</v>
      </c>
      <c r="AT210" s="20"/>
      <c r="AU210" s="24">
        <v>0.2</v>
      </c>
      <c r="AV210" s="24">
        <f t="shared" si="40"/>
        <v>0.16000000000000003</v>
      </c>
      <c r="AW210" s="24">
        <f t="shared" si="41"/>
        <v>0.12</v>
      </c>
      <c r="AX210" s="25">
        <v>1E-4</v>
      </c>
      <c r="AY210" s="24">
        <v>0</v>
      </c>
      <c r="AZ210" s="24">
        <f t="shared" si="42"/>
        <v>0.18000000000000002</v>
      </c>
      <c r="BA210" s="24">
        <f t="shared" si="43"/>
        <v>0.14400000000000002</v>
      </c>
      <c r="BB210" s="24">
        <f t="shared" si="44"/>
        <v>0.10800000000000001</v>
      </c>
      <c r="BC210" s="25">
        <v>1E-4</v>
      </c>
      <c r="BD210" s="24">
        <v>0</v>
      </c>
      <c r="BE210" s="26">
        <v>0</v>
      </c>
      <c r="BF210" s="34">
        <f t="shared" si="45"/>
        <v>0</v>
      </c>
      <c r="BG210" s="34">
        <f t="shared" si="46"/>
        <v>0</v>
      </c>
      <c r="BH210" s="26">
        <v>0</v>
      </c>
      <c r="BI210" s="26">
        <v>0</v>
      </c>
      <c r="BJ210" s="27">
        <v>4.2999999999999997E-2</v>
      </c>
      <c r="BK210" s="27">
        <v>3.8132000726100096E-2</v>
      </c>
      <c r="BL210" s="27" t="s">
        <v>2377</v>
      </c>
      <c r="BM210" s="27" t="s">
        <v>2378</v>
      </c>
      <c r="BN210" s="26"/>
      <c r="BO210" s="34">
        <v>1</v>
      </c>
      <c r="BP210" s="34"/>
      <c r="BQ210" s="34"/>
      <c r="BR210" s="34"/>
      <c r="BS210" s="34"/>
      <c r="BT210" s="34"/>
      <c r="BU210" s="34"/>
      <c r="BV210" s="34"/>
      <c r="BW210" s="34"/>
      <c r="BX210" s="34"/>
      <c r="BY210" s="34"/>
      <c r="BZ210" s="34"/>
      <c r="CA210" s="20"/>
      <c r="CB210" s="20"/>
      <c r="CC210" s="29">
        <v>46003</v>
      </c>
      <c r="CD210" s="40" t="s">
        <v>2340</v>
      </c>
    </row>
    <row r="211" spans="1:82" s="18" customFormat="1" ht="66.75" customHeight="1" x14ac:dyDescent="0.25">
      <c r="A211" s="121">
        <v>207</v>
      </c>
      <c r="B211" s="141" t="s">
        <v>2379</v>
      </c>
      <c r="C211" s="6" t="s">
        <v>2380</v>
      </c>
      <c r="D211" s="6" t="s">
        <v>2381</v>
      </c>
      <c r="E211" s="75" t="s">
        <v>113</v>
      </c>
      <c r="F211" s="4" t="s">
        <v>81</v>
      </c>
      <c r="G211" s="33" t="s">
        <v>84</v>
      </c>
      <c r="H211" s="49" t="s">
        <v>364</v>
      </c>
      <c r="I211" s="49" t="s">
        <v>2295</v>
      </c>
      <c r="J211" s="6"/>
      <c r="K211" s="49"/>
      <c r="L211" s="49"/>
      <c r="M211" s="49" t="s">
        <v>88</v>
      </c>
      <c r="N211" s="49" t="s">
        <v>89</v>
      </c>
      <c r="O211" s="49" t="s">
        <v>116</v>
      </c>
      <c r="P211" s="6" t="s">
        <v>2382</v>
      </c>
      <c r="Q211" s="49"/>
      <c r="R211" s="75" t="s">
        <v>91</v>
      </c>
      <c r="S211" s="33" t="s">
        <v>92</v>
      </c>
      <c r="T211" s="33" t="s">
        <v>93</v>
      </c>
      <c r="U211" s="78">
        <v>100</v>
      </c>
      <c r="V211" s="33" t="s">
        <v>94</v>
      </c>
      <c r="W211" s="33" t="s">
        <v>95</v>
      </c>
      <c r="X211" s="33">
        <v>2023</v>
      </c>
      <c r="Y211" s="33" t="s">
        <v>117</v>
      </c>
      <c r="Z211" s="33" t="s">
        <v>185</v>
      </c>
      <c r="AA211" s="33" t="s">
        <v>973</v>
      </c>
      <c r="AB211" s="49" t="s">
        <v>99</v>
      </c>
      <c r="AC211" s="48" t="s">
        <v>2383</v>
      </c>
      <c r="AD211" s="79" t="s">
        <v>2384</v>
      </c>
      <c r="AE211" s="6" t="s">
        <v>2385</v>
      </c>
      <c r="AF211" s="6" t="s">
        <v>121</v>
      </c>
      <c r="AG211" s="6" t="s">
        <v>218</v>
      </c>
      <c r="AH211" s="49" t="s">
        <v>123</v>
      </c>
      <c r="AI211" s="6" t="s">
        <v>2386</v>
      </c>
      <c r="AJ211" s="6" t="s">
        <v>2387</v>
      </c>
      <c r="AK211" s="33" t="s">
        <v>97</v>
      </c>
      <c r="AL211" s="33" t="s">
        <v>97</v>
      </c>
      <c r="AM211" s="5" t="s">
        <v>221</v>
      </c>
      <c r="AN211" s="5"/>
      <c r="AO211" s="5" t="s">
        <v>2388</v>
      </c>
      <c r="AP211" s="5" t="s">
        <v>2389</v>
      </c>
      <c r="AQ211" s="6" t="s">
        <v>2390</v>
      </c>
      <c r="AR211" s="20" t="s">
        <v>97</v>
      </c>
      <c r="AS211" s="20" t="s">
        <v>107</v>
      </c>
      <c r="AT211" s="20"/>
      <c r="AU211" s="24">
        <v>0.4</v>
      </c>
      <c r="AV211" s="24">
        <f t="shared" si="40"/>
        <v>0.32000000000000006</v>
      </c>
      <c r="AW211" s="24">
        <f t="shared" si="41"/>
        <v>0.24</v>
      </c>
      <c r="AX211" s="25">
        <v>1E-4</v>
      </c>
      <c r="AY211" s="24">
        <v>0</v>
      </c>
      <c r="AZ211" s="24">
        <f t="shared" si="42"/>
        <v>0.36000000000000004</v>
      </c>
      <c r="BA211" s="24">
        <f t="shared" si="43"/>
        <v>0.28800000000000003</v>
      </c>
      <c r="BB211" s="24">
        <f t="shared" si="44"/>
        <v>0.21600000000000003</v>
      </c>
      <c r="BC211" s="25">
        <v>1E-4</v>
      </c>
      <c r="BD211" s="24">
        <v>0</v>
      </c>
      <c r="BE211" s="26">
        <v>0</v>
      </c>
      <c r="BF211" s="34">
        <f t="shared" si="45"/>
        <v>0</v>
      </c>
      <c r="BG211" s="34">
        <f t="shared" si="46"/>
        <v>0</v>
      </c>
      <c r="BH211" s="26">
        <v>0</v>
      </c>
      <c r="BI211" s="26">
        <v>0</v>
      </c>
      <c r="BJ211" s="27">
        <v>0.34100000000000003</v>
      </c>
      <c r="BK211" s="27">
        <v>0.29244999298264374</v>
      </c>
      <c r="BL211" s="27" t="s">
        <v>2391</v>
      </c>
      <c r="BM211" s="27" t="s">
        <v>2392</v>
      </c>
      <c r="BN211" s="26"/>
      <c r="BO211" s="34"/>
      <c r="BP211" s="34"/>
      <c r="BQ211" s="34"/>
      <c r="BR211" s="34"/>
      <c r="BS211" s="34"/>
      <c r="BT211" s="34"/>
      <c r="BU211" s="34"/>
      <c r="BV211" s="34"/>
      <c r="BW211" s="34"/>
      <c r="BX211" s="34"/>
      <c r="BY211" s="34"/>
      <c r="BZ211" s="34"/>
      <c r="CA211" s="20"/>
      <c r="CB211" s="20"/>
      <c r="CC211" s="29">
        <v>46003</v>
      </c>
      <c r="CD211" s="40" t="s">
        <v>2393</v>
      </c>
    </row>
    <row r="212" spans="1:82" s="18" customFormat="1" ht="128.25" customHeight="1" x14ac:dyDescent="0.25">
      <c r="A212" s="87">
        <v>208</v>
      </c>
      <c r="B212" s="141" t="s">
        <v>2394</v>
      </c>
      <c r="C212" s="6" t="s">
        <v>2395</v>
      </c>
      <c r="D212" s="6" t="s">
        <v>2396</v>
      </c>
      <c r="E212" s="75" t="s">
        <v>174</v>
      </c>
      <c r="F212" s="4" t="s">
        <v>81</v>
      </c>
      <c r="G212" s="33" t="s">
        <v>84</v>
      </c>
      <c r="H212" s="49" t="s">
        <v>364</v>
      </c>
      <c r="I212" s="49" t="s">
        <v>2295</v>
      </c>
      <c r="J212" s="6"/>
      <c r="K212" s="49"/>
      <c r="L212" s="49"/>
      <c r="M212" s="49" t="s">
        <v>88</v>
      </c>
      <c r="N212" s="49" t="s">
        <v>89</v>
      </c>
      <c r="O212" s="49" t="s">
        <v>116</v>
      </c>
      <c r="P212" s="6" t="s">
        <v>2382</v>
      </c>
      <c r="Q212" s="49"/>
      <c r="R212" s="75" t="s">
        <v>175</v>
      </c>
      <c r="S212" s="33" t="s">
        <v>92</v>
      </c>
      <c r="T212" s="33" t="s">
        <v>93</v>
      </c>
      <c r="U212" s="78">
        <v>100</v>
      </c>
      <c r="V212" s="33" t="s">
        <v>94</v>
      </c>
      <c r="W212" s="33" t="s">
        <v>95</v>
      </c>
      <c r="X212" s="33">
        <v>2023</v>
      </c>
      <c r="Y212" s="33" t="s">
        <v>117</v>
      </c>
      <c r="Z212" s="33" t="s">
        <v>185</v>
      </c>
      <c r="AA212" s="33" t="s">
        <v>973</v>
      </c>
      <c r="AB212" s="49" t="s">
        <v>99</v>
      </c>
      <c r="AC212" s="48" t="s">
        <v>2397</v>
      </c>
      <c r="AD212" s="79" t="s">
        <v>7555</v>
      </c>
      <c r="AE212" s="6" t="s">
        <v>2385</v>
      </c>
      <c r="AF212" s="6" t="s">
        <v>2398</v>
      </c>
      <c r="AG212" s="6" t="s">
        <v>178</v>
      </c>
      <c r="AH212" s="6" t="s">
        <v>123</v>
      </c>
      <c r="AI212" s="6" t="s">
        <v>2399</v>
      </c>
      <c r="AJ212" s="6" t="s">
        <v>2400</v>
      </c>
      <c r="AK212" s="33" t="s">
        <v>97</v>
      </c>
      <c r="AL212" s="33" t="s">
        <v>97</v>
      </c>
      <c r="AM212" s="5" t="s">
        <v>221</v>
      </c>
      <c r="AN212" s="5"/>
      <c r="AO212" s="5" t="s">
        <v>2401</v>
      </c>
      <c r="AP212" s="5" t="s">
        <v>2402</v>
      </c>
      <c r="AQ212" s="6" t="s">
        <v>2308</v>
      </c>
      <c r="AR212" s="20" t="s">
        <v>97</v>
      </c>
      <c r="AS212" s="20" t="s">
        <v>107</v>
      </c>
      <c r="AT212" s="20"/>
      <c r="AU212" s="24">
        <v>0.25</v>
      </c>
      <c r="AV212" s="24">
        <f t="shared" si="40"/>
        <v>0.2</v>
      </c>
      <c r="AW212" s="24">
        <f t="shared" si="41"/>
        <v>0.15</v>
      </c>
      <c r="AX212" s="25">
        <v>1E-4</v>
      </c>
      <c r="AY212" s="24">
        <v>0</v>
      </c>
      <c r="AZ212" s="24">
        <f t="shared" si="42"/>
        <v>0.22500000000000001</v>
      </c>
      <c r="BA212" s="24">
        <f t="shared" si="43"/>
        <v>0.18000000000000002</v>
      </c>
      <c r="BB212" s="24">
        <f t="shared" si="44"/>
        <v>0.13500000000000001</v>
      </c>
      <c r="BC212" s="25">
        <v>1E-4</v>
      </c>
      <c r="BD212" s="24">
        <v>0</v>
      </c>
      <c r="BE212" s="34">
        <v>10</v>
      </c>
      <c r="BF212" s="34">
        <f t="shared" si="45"/>
        <v>8</v>
      </c>
      <c r="BG212" s="34">
        <f t="shared" si="46"/>
        <v>6</v>
      </c>
      <c r="BH212" s="26">
        <v>1</v>
      </c>
      <c r="BI212" s="26">
        <v>0</v>
      </c>
      <c r="BJ212" s="27">
        <v>0.192</v>
      </c>
      <c r="BK212" s="27">
        <v>0.23999262189278445</v>
      </c>
      <c r="BL212" s="27" t="s">
        <v>2403</v>
      </c>
      <c r="BM212" s="27" t="s">
        <v>2003</v>
      </c>
      <c r="BN212" s="26"/>
      <c r="BO212" s="34"/>
      <c r="BP212" s="34"/>
      <c r="BQ212" s="34"/>
      <c r="BR212" s="34"/>
      <c r="BS212" s="34"/>
      <c r="BT212" s="34"/>
      <c r="BU212" s="34"/>
      <c r="BV212" s="34"/>
      <c r="BW212" s="34"/>
      <c r="BX212" s="34"/>
      <c r="BY212" s="34"/>
      <c r="BZ212" s="34">
        <v>1</v>
      </c>
      <c r="CA212" s="20" t="s">
        <v>2295</v>
      </c>
      <c r="CB212" s="20" t="s">
        <v>2295</v>
      </c>
      <c r="CC212" s="219">
        <v>46097</v>
      </c>
      <c r="CD212" s="36" t="s">
        <v>7568</v>
      </c>
    </row>
    <row r="213" spans="1:82" s="18" customFormat="1" ht="66.75" customHeight="1" x14ac:dyDescent="0.25">
      <c r="A213" s="87">
        <v>209</v>
      </c>
      <c r="B213" s="141" t="s">
        <v>2404</v>
      </c>
      <c r="C213" s="6" t="s">
        <v>7379</v>
      </c>
      <c r="D213" s="6" t="s">
        <v>2405</v>
      </c>
      <c r="E213" s="75" t="s">
        <v>174</v>
      </c>
      <c r="F213" s="4" t="s">
        <v>81</v>
      </c>
      <c r="G213" s="33" t="s">
        <v>84</v>
      </c>
      <c r="H213" s="49" t="s">
        <v>364</v>
      </c>
      <c r="I213" s="49" t="s">
        <v>2295</v>
      </c>
      <c r="J213" s="6"/>
      <c r="K213" s="49"/>
      <c r="L213" s="49"/>
      <c r="M213" s="49" t="s">
        <v>88</v>
      </c>
      <c r="N213" s="49" t="s">
        <v>89</v>
      </c>
      <c r="O213" s="49" t="s">
        <v>1444</v>
      </c>
      <c r="P213" s="6" t="s">
        <v>2296</v>
      </c>
      <c r="Q213" s="49"/>
      <c r="R213" s="75" t="s">
        <v>91</v>
      </c>
      <c r="S213" s="33" t="s">
        <v>92</v>
      </c>
      <c r="T213" s="33" t="s">
        <v>93</v>
      </c>
      <c r="U213" s="78">
        <v>100</v>
      </c>
      <c r="V213" s="33" t="s">
        <v>94</v>
      </c>
      <c r="W213" s="33" t="s">
        <v>95</v>
      </c>
      <c r="X213" s="33">
        <v>2023</v>
      </c>
      <c r="Y213" s="33" t="s">
        <v>117</v>
      </c>
      <c r="Z213" s="33" t="s">
        <v>95</v>
      </c>
      <c r="AA213" s="33" t="s">
        <v>973</v>
      </c>
      <c r="AB213" s="49" t="s">
        <v>99</v>
      </c>
      <c r="AC213" s="48" t="s">
        <v>2406</v>
      </c>
      <c r="AD213" s="79" t="s">
        <v>2407</v>
      </c>
      <c r="AE213" s="2" t="s">
        <v>2408</v>
      </c>
      <c r="AF213" s="2" t="s">
        <v>2409</v>
      </c>
      <c r="AG213" s="6" t="s">
        <v>2301</v>
      </c>
      <c r="AH213" s="6" t="s">
        <v>123</v>
      </c>
      <c r="AI213" s="6" t="s">
        <v>2410</v>
      </c>
      <c r="AJ213" s="6" t="s">
        <v>2411</v>
      </c>
      <c r="AK213" s="5" t="s">
        <v>2412</v>
      </c>
      <c r="AL213" s="5" t="s">
        <v>2412</v>
      </c>
      <c r="AM213" s="5" t="s">
        <v>2413</v>
      </c>
      <c r="AN213" s="5"/>
      <c r="AO213" s="5" t="s">
        <v>2414</v>
      </c>
      <c r="AP213" s="5" t="s">
        <v>2415</v>
      </c>
      <c r="AQ213" s="6" t="s">
        <v>2308</v>
      </c>
      <c r="AR213" s="20" t="s">
        <v>97</v>
      </c>
      <c r="AS213" s="20" t="s">
        <v>107</v>
      </c>
      <c r="AT213" s="20"/>
      <c r="AU213" s="24">
        <v>0.4</v>
      </c>
      <c r="AV213" s="24">
        <f t="shared" si="40"/>
        <v>0.32000000000000006</v>
      </c>
      <c r="AW213" s="24">
        <f t="shared" si="41"/>
        <v>0.24</v>
      </c>
      <c r="AX213" s="25">
        <v>1E-4</v>
      </c>
      <c r="AY213" s="24">
        <v>0</v>
      </c>
      <c r="AZ213" s="24">
        <f t="shared" si="42"/>
        <v>0.36000000000000004</v>
      </c>
      <c r="BA213" s="24">
        <f t="shared" si="43"/>
        <v>0.28800000000000003</v>
      </c>
      <c r="BB213" s="24">
        <f t="shared" si="44"/>
        <v>0.21600000000000003</v>
      </c>
      <c r="BC213" s="25">
        <v>1E-4</v>
      </c>
      <c r="BD213" s="24">
        <v>0</v>
      </c>
      <c r="BE213" s="26">
        <v>10</v>
      </c>
      <c r="BF213" s="34">
        <f t="shared" si="45"/>
        <v>8</v>
      </c>
      <c r="BG213" s="34">
        <f t="shared" si="46"/>
        <v>6</v>
      </c>
      <c r="BH213" s="26">
        <v>1</v>
      </c>
      <c r="BI213" s="26">
        <v>0</v>
      </c>
      <c r="BJ213" s="27">
        <v>8.4000000000000005E-2</v>
      </c>
      <c r="BK213" s="27">
        <v>0.13851959361393323</v>
      </c>
      <c r="BL213" s="27" t="s">
        <v>2416</v>
      </c>
      <c r="BM213" s="27" t="s">
        <v>2417</v>
      </c>
      <c r="BN213" s="26"/>
      <c r="BO213" s="34"/>
      <c r="BP213" s="34"/>
      <c r="BQ213" s="34"/>
      <c r="BR213" s="34"/>
      <c r="BS213" s="34"/>
      <c r="BT213" s="34"/>
      <c r="BU213" s="34"/>
      <c r="BV213" s="34"/>
      <c r="BW213" s="34"/>
      <c r="BX213" s="34"/>
      <c r="BY213" s="34"/>
      <c r="BZ213" s="34"/>
      <c r="CA213" s="20"/>
      <c r="CB213" s="20"/>
      <c r="CC213" s="46">
        <v>46006</v>
      </c>
      <c r="CD213" s="11" t="s">
        <v>2418</v>
      </c>
    </row>
    <row r="214" spans="1:82" s="18" customFormat="1" ht="66.75" customHeight="1" x14ac:dyDescent="0.25">
      <c r="A214" s="121">
        <v>210</v>
      </c>
      <c r="B214" s="141" t="s">
        <v>2419</v>
      </c>
      <c r="C214" s="6" t="s">
        <v>2420</v>
      </c>
      <c r="D214" s="6" t="s">
        <v>2421</v>
      </c>
      <c r="E214" s="75" t="s">
        <v>113</v>
      </c>
      <c r="F214" s="4" t="s">
        <v>81</v>
      </c>
      <c r="G214" s="33" t="s">
        <v>84</v>
      </c>
      <c r="H214" s="49" t="s">
        <v>775</v>
      </c>
      <c r="I214" s="49" t="s">
        <v>2295</v>
      </c>
      <c r="J214" s="6"/>
      <c r="K214" s="49"/>
      <c r="L214" s="49"/>
      <c r="M214" s="49" t="s">
        <v>88</v>
      </c>
      <c r="N214" s="49" t="s">
        <v>89</v>
      </c>
      <c r="O214" s="49" t="s">
        <v>116</v>
      </c>
      <c r="P214" s="6" t="s">
        <v>2382</v>
      </c>
      <c r="Q214" s="49"/>
      <c r="R214" s="75" t="s">
        <v>91</v>
      </c>
      <c r="S214" s="33" t="s">
        <v>92</v>
      </c>
      <c r="T214" s="33" t="s">
        <v>93</v>
      </c>
      <c r="U214" s="78">
        <v>100</v>
      </c>
      <c r="V214" s="33" t="s">
        <v>94</v>
      </c>
      <c r="W214" s="33" t="s">
        <v>95</v>
      </c>
      <c r="X214" s="33">
        <v>2023</v>
      </c>
      <c r="Y214" s="33" t="s">
        <v>117</v>
      </c>
      <c r="Z214" s="33" t="s">
        <v>185</v>
      </c>
      <c r="AA214" s="33" t="s">
        <v>973</v>
      </c>
      <c r="AB214" s="49" t="s">
        <v>99</v>
      </c>
      <c r="AC214" s="48" t="s">
        <v>2422</v>
      </c>
      <c r="AD214" s="79" t="s">
        <v>2423</v>
      </c>
      <c r="AE214" s="6" t="s">
        <v>2424</v>
      </c>
      <c r="AF214" s="6" t="s">
        <v>2425</v>
      </c>
      <c r="AG214" s="6" t="s">
        <v>218</v>
      </c>
      <c r="AH214" s="49" t="s">
        <v>123</v>
      </c>
      <c r="AI214" s="6" t="s">
        <v>2426</v>
      </c>
      <c r="AJ214" s="6" t="s">
        <v>2427</v>
      </c>
      <c r="AK214" s="33" t="s">
        <v>2428</v>
      </c>
      <c r="AL214" s="33" t="s">
        <v>2428</v>
      </c>
      <c r="AM214" s="5" t="s">
        <v>2321</v>
      </c>
      <c r="AN214" s="5"/>
      <c r="AO214" s="5" t="s">
        <v>2429</v>
      </c>
      <c r="AP214" s="5" t="s">
        <v>2430</v>
      </c>
      <c r="AQ214" s="6" t="s">
        <v>2390</v>
      </c>
      <c r="AR214" s="20" t="s">
        <v>97</v>
      </c>
      <c r="AS214" s="20" t="s">
        <v>107</v>
      </c>
      <c r="AT214" s="20"/>
      <c r="AU214" s="24">
        <v>0.7</v>
      </c>
      <c r="AV214" s="24">
        <f t="shared" si="40"/>
        <v>0.55999999999999994</v>
      </c>
      <c r="AW214" s="24">
        <f t="shared" si="41"/>
        <v>0.42</v>
      </c>
      <c r="AX214" s="25">
        <v>1E-4</v>
      </c>
      <c r="AY214" s="24">
        <v>0</v>
      </c>
      <c r="AZ214" s="24">
        <f t="shared" si="42"/>
        <v>0.63</v>
      </c>
      <c r="BA214" s="24">
        <f t="shared" si="43"/>
        <v>0.504</v>
      </c>
      <c r="BB214" s="24">
        <f t="shared" si="44"/>
        <v>0.378</v>
      </c>
      <c r="BC214" s="25">
        <v>1E-4</v>
      </c>
      <c r="BD214" s="24">
        <v>0</v>
      </c>
      <c r="BE214" s="26">
        <v>0</v>
      </c>
      <c r="BF214" s="34">
        <f t="shared" si="45"/>
        <v>0</v>
      </c>
      <c r="BG214" s="34">
        <f t="shared" si="46"/>
        <v>0</v>
      </c>
      <c r="BH214" s="26">
        <v>0</v>
      </c>
      <c r="BI214" s="26">
        <v>0</v>
      </c>
      <c r="BJ214" s="27">
        <v>0.69899999999999995</v>
      </c>
      <c r="BK214" s="27">
        <v>0.63999584507490592</v>
      </c>
      <c r="BL214" s="27" t="s">
        <v>2431</v>
      </c>
      <c r="BM214" s="27" t="s">
        <v>2432</v>
      </c>
      <c r="BN214" s="26"/>
      <c r="BO214" s="34"/>
      <c r="BP214" s="34"/>
      <c r="BQ214" s="34"/>
      <c r="BR214" s="34"/>
      <c r="BS214" s="34"/>
      <c r="BT214" s="34"/>
      <c r="BU214" s="34"/>
      <c r="BV214" s="34"/>
      <c r="BW214" s="34"/>
      <c r="BX214" s="34"/>
      <c r="BY214" s="34"/>
      <c r="BZ214" s="34"/>
      <c r="CA214" s="20"/>
      <c r="CB214" s="20"/>
      <c r="CC214" s="29">
        <v>45747</v>
      </c>
      <c r="CD214" s="35" t="s">
        <v>2433</v>
      </c>
    </row>
    <row r="215" spans="1:82" s="18" customFormat="1" ht="66.75" customHeight="1" x14ac:dyDescent="0.25">
      <c r="A215" s="87">
        <v>211</v>
      </c>
      <c r="B215" s="141" t="s">
        <v>2434</v>
      </c>
      <c r="C215" s="6" t="s">
        <v>2435</v>
      </c>
      <c r="D215" s="6" t="s">
        <v>2436</v>
      </c>
      <c r="E215" s="75" t="s">
        <v>174</v>
      </c>
      <c r="F215" s="4" t="s">
        <v>81</v>
      </c>
      <c r="G215" s="33" t="s">
        <v>84</v>
      </c>
      <c r="H215" s="49" t="s">
        <v>775</v>
      </c>
      <c r="I215" s="49" t="s">
        <v>2295</v>
      </c>
      <c r="J215" s="6"/>
      <c r="K215" s="49"/>
      <c r="L215" s="49"/>
      <c r="M215" s="49" t="s">
        <v>88</v>
      </c>
      <c r="N215" s="49" t="s">
        <v>89</v>
      </c>
      <c r="O215" s="49" t="s">
        <v>116</v>
      </c>
      <c r="P215" s="6" t="s">
        <v>2382</v>
      </c>
      <c r="Q215" s="49"/>
      <c r="R215" s="75" t="s">
        <v>175</v>
      </c>
      <c r="S215" s="33" t="s">
        <v>92</v>
      </c>
      <c r="T215" s="33" t="s">
        <v>93</v>
      </c>
      <c r="U215" s="78">
        <v>100</v>
      </c>
      <c r="V215" s="33" t="s">
        <v>94</v>
      </c>
      <c r="W215" s="33" t="s">
        <v>95</v>
      </c>
      <c r="X215" s="33">
        <v>2023</v>
      </c>
      <c r="Y215" s="33" t="s">
        <v>117</v>
      </c>
      <c r="Z215" s="33" t="s">
        <v>185</v>
      </c>
      <c r="AA215" s="33" t="s">
        <v>973</v>
      </c>
      <c r="AB215" s="49" t="s">
        <v>99</v>
      </c>
      <c r="AC215" s="48" t="s">
        <v>2437</v>
      </c>
      <c r="AD215" s="79" t="s">
        <v>2438</v>
      </c>
      <c r="AE215" s="6" t="s">
        <v>2385</v>
      </c>
      <c r="AF215" s="6" t="s">
        <v>2425</v>
      </c>
      <c r="AG215" s="6" t="s">
        <v>178</v>
      </c>
      <c r="AH215" s="6" t="s">
        <v>123</v>
      </c>
      <c r="AI215" s="6" t="s">
        <v>2439</v>
      </c>
      <c r="AJ215" s="6" t="s">
        <v>2440</v>
      </c>
      <c r="AK215" s="5" t="s">
        <v>2428</v>
      </c>
      <c r="AL215" s="5" t="s">
        <v>2428</v>
      </c>
      <c r="AM215" s="5" t="s">
        <v>2321</v>
      </c>
      <c r="AN215" s="5" t="s">
        <v>470</v>
      </c>
      <c r="AO215" s="5" t="s">
        <v>2441</v>
      </c>
      <c r="AP215" s="5" t="s">
        <v>2442</v>
      </c>
      <c r="AQ215" s="49" t="s">
        <v>2443</v>
      </c>
      <c r="AR215" s="20" t="s">
        <v>97</v>
      </c>
      <c r="AS215" s="20" t="s">
        <v>107</v>
      </c>
      <c r="AT215" s="20"/>
      <c r="AU215" s="24">
        <v>0.4</v>
      </c>
      <c r="AV215" s="24">
        <f t="shared" si="40"/>
        <v>0.32000000000000006</v>
      </c>
      <c r="AW215" s="24">
        <f t="shared" si="41"/>
        <v>0.24</v>
      </c>
      <c r="AX215" s="25">
        <v>1E-4</v>
      </c>
      <c r="AY215" s="24">
        <v>0</v>
      </c>
      <c r="AZ215" s="24">
        <f t="shared" si="42"/>
        <v>0.36000000000000004</v>
      </c>
      <c r="BA215" s="24">
        <f t="shared" si="43"/>
        <v>0.28800000000000003</v>
      </c>
      <c r="BB215" s="24">
        <f t="shared" si="44"/>
        <v>0.21600000000000003</v>
      </c>
      <c r="BC215" s="25">
        <v>1E-4</v>
      </c>
      <c r="BD215" s="24">
        <v>0</v>
      </c>
      <c r="BE215" s="34">
        <v>10</v>
      </c>
      <c r="BF215" s="34">
        <f t="shared" si="45"/>
        <v>8</v>
      </c>
      <c r="BG215" s="34">
        <f t="shared" si="46"/>
        <v>6</v>
      </c>
      <c r="BH215" s="26">
        <v>1</v>
      </c>
      <c r="BI215" s="26">
        <v>0</v>
      </c>
      <c r="BJ215" s="27">
        <v>0.36699999999999999</v>
      </c>
      <c r="BK215" s="27">
        <v>0.3550893681541018</v>
      </c>
      <c r="BL215" s="27" t="s">
        <v>2444</v>
      </c>
      <c r="BM215" s="27" t="s">
        <v>2445</v>
      </c>
      <c r="BN215" s="26"/>
      <c r="BO215" s="34"/>
      <c r="BP215" s="34"/>
      <c r="BQ215" s="34"/>
      <c r="BR215" s="34"/>
      <c r="BS215" s="34"/>
      <c r="BT215" s="34"/>
      <c r="BU215" s="34"/>
      <c r="BV215" s="34"/>
      <c r="BW215" s="34"/>
      <c r="BX215" s="34"/>
      <c r="BY215" s="34"/>
      <c r="BZ215" s="34">
        <v>1</v>
      </c>
      <c r="CA215" s="20" t="s">
        <v>2295</v>
      </c>
      <c r="CB215" s="20" t="s">
        <v>2295</v>
      </c>
      <c r="CC215" s="109">
        <v>46090</v>
      </c>
      <c r="CD215" s="40" t="s">
        <v>7533</v>
      </c>
    </row>
    <row r="216" spans="1:82" s="18" customFormat="1" ht="66.75" customHeight="1" x14ac:dyDescent="0.25">
      <c r="A216" s="87">
        <v>212</v>
      </c>
      <c r="B216" s="141" t="s">
        <v>2446</v>
      </c>
      <c r="C216" s="6" t="s">
        <v>2447</v>
      </c>
      <c r="D216" s="6" t="s">
        <v>2448</v>
      </c>
      <c r="E216" s="75" t="s">
        <v>174</v>
      </c>
      <c r="F216" s="4" t="s">
        <v>81</v>
      </c>
      <c r="G216" s="33" t="s">
        <v>84</v>
      </c>
      <c r="H216" s="49" t="s">
        <v>775</v>
      </c>
      <c r="I216" s="49" t="s">
        <v>2295</v>
      </c>
      <c r="J216" s="6"/>
      <c r="K216" s="49"/>
      <c r="L216" s="49"/>
      <c r="M216" s="49" t="s">
        <v>88</v>
      </c>
      <c r="N216" s="49" t="s">
        <v>89</v>
      </c>
      <c r="O216" s="49" t="s">
        <v>1444</v>
      </c>
      <c r="P216" s="6" t="s">
        <v>2296</v>
      </c>
      <c r="Q216" s="49"/>
      <c r="R216" s="75" t="s">
        <v>91</v>
      </c>
      <c r="S216" s="33" t="s">
        <v>92</v>
      </c>
      <c r="T216" s="33" t="s">
        <v>93</v>
      </c>
      <c r="U216" s="78">
        <v>100</v>
      </c>
      <c r="V216" s="33" t="s">
        <v>94</v>
      </c>
      <c r="W216" s="33" t="s">
        <v>95</v>
      </c>
      <c r="X216" s="33">
        <v>2021</v>
      </c>
      <c r="Y216" s="33" t="s">
        <v>117</v>
      </c>
      <c r="Z216" s="33" t="s">
        <v>95</v>
      </c>
      <c r="AA216" s="33" t="s">
        <v>973</v>
      </c>
      <c r="AB216" s="49" t="s">
        <v>99</v>
      </c>
      <c r="AC216" s="48" t="s">
        <v>2449</v>
      </c>
      <c r="AD216" s="79" t="s">
        <v>2450</v>
      </c>
      <c r="AE216" s="6" t="s">
        <v>2451</v>
      </c>
      <c r="AF216" s="94" t="s">
        <v>2452</v>
      </c>
      <c r="AG216" s="6" t="s">
        <v>2301</v>
      </c>
      <c r="AH216" s="6" t="s">
        <v>123</v>
      </c>
      <c r="AI216" s="6" t="s">
        <v>2453</v>
      </c>
      <c r="AJ216" s="6" t="s">
        <v>2454</v>
      </c>
      <c r="AK216" s="5" t="s">
        <v>2304</v>
      </c>
      <c r="AL216" s="5" t="s">
        <v>2304</v>
      </c>
      <c r="AM216" s="5" t="s">
        <v>2305</v>
      </c>
      <c r="AN216" s="5"/>
      <c r="AO216" s="5" t="s">
        <v>2455</v>
      </c>
      <c r="AP216" s="5" t="s">
        <v>2456</v>
      </c>
      <c r="AQ216" s="6" t="s">
        <v>2443</v>
      </c>
      <c r="AR216" s="20" t="s">
        <v>97</v>
      </c>
      <c r="AS216" s="20" t="s">
        <v>107</v>
      </c>
      <c r="AT216" s="20"/>
      <c r="AU216" s="24">
        <v>0.7</v>
      </c>
      <c r="AV216" s="24">
        <f t="shared" si="40"/>
        <v>0.55999999999999994</v>
      </c>
      <c r="AW216" s="24">
        <f t="shared" si="41"/>
        <v>0.42</v>
      </c>
      <c r="AX216" s="25">
        <v>1E-4</v>
      </c>
      <c r="AY216" s="24">
        <v>0</v>
      </c>
      <c r="AZ216" s="24">
        <f t="shared" si="42"/>
        <v>0.63</v>
      </c>
      <c r="BA216" s="24">
        <f t="shared" si="43"/>
        <v>0.504</v>
      </c>
      <c r="BB216" s="24">
        <f t="shared" si="44"/>
        <v>0.378</v>
      </c>
      <c r="BC216" s="25">
        <v>1E-4</v>
      </c>
      <c r="BD216" s="24">
        <v>0</v>
      </c>
      <c r="BE216" s="34">
        <v>30</v>
      </c>
      <c r="BF216" s="34">
        <f t="shared" si="45"/>
        <v>24</v>
      </c>
      <c r="BG216" s="34">
        <f t="shared" si="46"/>
        <v>18</v>
      </c>
      <c r="BH216" s="26">
        <v>1</v>
      </c>
      <c r="BI216" s="26">
        <v>0</v>
      </c>
      <c r="BJ216" s="27">
        <v>0.41599999999999998</v>
      </c>
      <c r="BK216" s="27">
        <v>0.38069936343091759</v>
      </c>
      <c r="BL216" s="27" t="s">
        <v>2457</v>
      </c>
      <c r="BM216" s="27" t="s">
        <v>2458</v>
      </c>
      <c r="BN216" s="26"/>
      <c r="BO216" s="34"/>
      <c r="BP216" s="34"/>
      <c r="BQ216" s="34"/>
      <c r="BR216" s="34"/>
      <c r="BS216" s="34"/>
      <c r="BT216" s="34"/>
      <c r="BU216" s="34"/>
      <c r="BV216" s="34"/>
      <c r="BW216" s="34"/>
      <c r="BX216" s="34"/>
      <c r="BY216" s="34"/>
      <c r="BZ216" s="34">
        <v>1</v>
      </c>
      <c r="CA216" s="20" t="s">
        <v>2295</v>
      </c>
      <c r="CB216" s="20" t="s">
        <v>2295</v>
      </c>
      <c r="CC216" s="46">
        <v>46006</v>
      </c>
      <c r="CD216" s="40" t="s">
        <v>2459</v>
      </c>
    </row>
    <row r="217" spans="1:82" s="18" customFormat="1" ht="66.75" customHeight="1" x14ac:dyDescent="0.25">
      <c r="A217" s="121">
        <v>213</v>
      </c>
      <c r="B217" s="141" t="s">
        <v>2460</v>
      </c>
      <c r="C217" s="6" t="s">
        <v>2461</v>
      </c>
      <c r="D217" s="6" t="s">
        <v>2462</v>
      </c>
      <c r="E217" s="75" t="s">
        <v>113</v>
      </c>
      <c r="F217" s="4" t="s">
        <v>81</v>
      </c>
      <c r="G217" s="33" t="s">
        <v>84</v>
      </c>
      <c r="H217" s="49" t="s">
        <v>775</v>
      </c>
      <c r="I217" s="49" t="s">
        <v>2295</v>
      </c>
      <c r="J217" s="6"/>
      <c r="K217" s="49"/>
      <c r="L217" s="49"/>
      <c r="M217" s="49" t="s">
        <v>88</v>
      </c>
      <c r="N217" s="49" t="s">
        <v>89</v>
      </c>
      <c r="O217" s="49" t="s">
        <v>1444</v>
      </c>
      <c r="P217" s="6" t="s">
        <v>2296</v>
      </c>
      <c r="Q217" s="49"/>
      <c r="R217" s="75" t="s">
        <v>91</v>
      </c>
      <c r="S217" s="33" t="s">
        <v>92</v>
      </c>
      <c r="T217" s="33" t="s">
        <v>93</v>
      </c>
      <c r="U217" s="78">
        <v>100</v>
      </c>
      <c r="V217" s="33" t="s">
        <v>94</v>
      </c>
      <c r="W217" s="33" t="s">
        <v>95</v>
      </c>
      <c r="X217" s="33">
        <v>2023</v>
      </c>
      <c r="Y217" s="33" t="s">
        <v>117</v>
      </c>
      <c r="Z217" s="33" t="s">
        <v>95</v>
      </c>
      <c r="AA217" s="33" t="s">
        <v>973</v>
      </c>
      <c r="AB217" s="49" t="s">
        <v>99</v>
      </c>
      <c r="AC217" s="48" t="s">
        <v>2463</v>
      </c>
      <c r="AD217" s="79" t="s">
        <v>2464</v>
      </c>
      <c r="AE217" s="6" t="s">
        <v>2465</v>
      </c>
      <c r="AF217" s="6" t="s">
        <v>121</v>
      </c>
      <c r="AG217" s="6" t="s">
        <v>2301</v>
      </c>
      <c r="AH217" s="49" t="s">
        <v>123</v>
      </c>
      <c r="AI217" s="6" t="s">
        <v>2466</v>
      </c>
      <c r="AJ217" s="6" t="s">
        <v>2467</v>
      </c>
      <c r="AK217" s="33" t="s">
        <v>2304</v>
      </c>
      <c r="AL217" s="33" t="s">
        <v>2304</v>
      </c>
      <c r="AM217" s="5" t="s">
        <v>2305</v>
      </c>
      <c r="AN217" s="5"/>
      <c r="AO217" s="5" t="s">
        <v>2468</v>
      </c>
      <c r="AP217" s="5" t="s">
        <v>2469</v>
      </c>
      <c r="AQ217" s="6" t="s">
        <v>2337</v>
      </c>
      <c r="AR217" s="20" t="s">
        <v>97</v>
      </c>
      <c r="AS217" s="20" t="s">
        <v>107</v>
      </c>
      <c r="AT217" s="20"/>
      <c r="AU217" s="24">
        <v>0.7</v>
      </c>
      <c r="AV217" s="24">
        <f t="shared" si="40"/>
        <v>0.55999999999999994</v>
      </c>
      <c r="AW217" s="24">
        <f t="shared" si="41"/>
        <v>0.42</v>
      </c>
      <c r="AX217" s="25">
        <v>1E-4</v>
      </c>
      <c r="AY217" s="24">
        <v>0</v>
      </c>
      <c r="AZ217" s="24">
        <f t="shared" si="42"/>
        <v>0.63</v>
      </c>
      <c r="BA217" s="24">
        <f t="shared" si="43"/>
        <v>0.504</v>
      </c>
      <c r="BB217" s="24">
        <f t="shared" si="44"/>
        <v>0.378</v>
      </c>
      <c r="BC217" s="25">
        <v>1E-4</v>
      </c>
      <c r="BD217" s="24">
        <v>0</v>
      </c>
      <c r="BE217" s="26">
        <v>0</v>
      </c>
      <c r="BF217" s="34">
        <f t="shared" si="45"/>
        <v>0</v>
      </c>
      <c r="BG217" s="34">
        <f t="shared" si="46"/>
        <v>0</v>
      </c>
      <c r="BH217" s="26">
        <v>0</v>
      </c>
      <c r="BI217" s="26">
        <v>0</v>
      </c>
      <c r="BJ217" s="27">
        <v>0.74299999999999999</v>
      </c>
      <c r="BK217" s="27">
        <v>0.69824561403508767</v>
      </c>
      <c r="BL217" s="27" t="s">
        <v>2470</v>
      </c>
      <c r="BM217" s="27" t="s">
        <v>2471</v>
      </c>
      <c r="BN217" s="26"/>
      <c r="BO217" s="34"/>
      <c r="BP217" s="34"/>
      <c r="BQ217" s="34"/>
      <c r="BR217" s="34"/>
      <c r="BS217" s="34"/>
      <c r="BT217" s="34"/>
      <c r="BU217" s="34"/>
      <c r="BV217" s="34"/>
      <c r="BW217" s="34"/>
      <c r="BX217" s="34"/>
      <c r="BY217" s="34"/>
      <c r="BZ217" s="34"/>
      <c r="CA217" s="20"/>
      <c r="CB217" s="20"/>
      <c r="CC217" s="29">
        <v>46003</v>
      </c>
      <c r="CD217" s="35" t="s">
        <v>2472</v>
      </c>
    </row>
    <row r="218" spans="1:82" s="18" customFormat="1" ht="66.75" customHeight="1" x14ac:dyDescent="0.25">
      <c r="A218" s="87">
        <v>214</v>
      </c>
      <c r="B218" s="141" t="s">
        <v>2473</v>
      </c>
      <c r="C218" s="6" t="s">
        <v>2474</v>
      </c>
      <c r="D218" s="6" t="s">
        <v>2475</v>
      </c>
      <c r="E218" s="75" t="s">
        <v>113</v>
      </c>
      <c r="F218" s="4" t="s">
        <v>81</v>
      </c>
      <c r="G218" s="33" t="s">
        <v>84</v>
      </c>
      <c r="H218" s="49" t="s">
        <v>775</v>
      </c>
      <c r="I218" s="49" t="s">
        <v>2295</v>
      </c>
      <c r="J218" s="6"/>
      <c r="K218" s="49"/>
      <c r="L218" s="49"/>
      <c r="M218" s="49" t="s">
        <v>88</v>
      </c>
      <c r="N218" s="49" t="s">
        <v>89</v>
      </c>
      <c r="O218" s="49" t="s">
        <v>1444</v>
      </c>
      <c r="P218" s="6" t="s">
        <v>2296</v>
      </c>
      <c r="Q218" s="49"/>
      <c r="R218" s="75" t="s">
        <v>91</v>
      </c>
      <c r="S218" s="33" t="s">
        <v>92</v>
      </c>
      <c r="T218" s="33" t="s">
        <v>93</v>
      </c>
      <c r="U218" s="78">
        <v>100</v>
      </c>
      <c r="V218" s="33" t="s">
        <v>94</v>
      </c>
      <c r="W218" s="33" t="s">
        <v>95</v>
      </c>
      <c r="X218" s="33">
        <v>2023</v>
      </c>
      <c r="Y218" s="33" t="s">
        <v>117</v>
      </c>
      <c r="Z218" s="33" t="s">
        <v>95</v>
      </c>
      <c r="AA218" s="33" t="s">
        <v>973</v>
      </c>
      <c r="AB218" s="49" t="s">
        <v>99</v>
      </c>
      <c r="AC218" s="48" t="s">
        <v>2476</v>
      </c>
      <c r="AD218" s="79" t="s">
        <v>2477</v>
      </c>
      <c r="AE218" s="6" t="s">
        <v>2299</v>
      </c>
      <c r="AF218" s="6" t="s">
        <v>121</v>
      </c>
      <c r="AG218" s="6" t="s">
        <v>2301</v>
      </c>
      <c r="AH218" s="49" t="s">
        <v>123</v>
      </c>
      <c r="AI218" s="6" t="s">
        <v>2478</v>
      </c>
      <c r="AJ218" s="6" t="s">
        <v>2479</v>
      </c>
      <c r="AK218" s="33" t="s">
        <v>2304</v>
      </c>
      <c r="AL218" s="33" t="s">
        <v>2304</v>
      </c>
      <c r="AM218" s="5" t="s">
        <v>2305</v>
      </c>
      <c r="AN218" s="5"/>
      <c r="AO218" s="5" t="s">
        <v>2480</v>
      </c>
      <c r="AP218" s="5" t="s">
        <v>2481</v>
      </c>
      <c r="AQ218" s="6" t="s">
        <v>2337</v>
      </c>
      <c r="AR218" s="20" t="s">
        <v>97</v>
      </c>
      <c r="AS218" s="20" t="s">
        <v>107</v>
      </c>
      <c r="AT218" s="20"/>
      <c r="AU218" s="24">
        <v>0.7</v>
      </c>
      <c r="AV218" s="24">
        <f t="shared" si="40"/>
        <v>0.55999999999999994</v>
      </c>
      <c r="AW218" s="24">
        <f t="shared" si="41"/>
        <v>0.42</v>
      </c>
      <c r="AX218" s="25">
        <v>1E-4</v>
      </c>
      <c r="AY218" s="24">
        <v>0</v>
      </c>
      <c r="AZ218" s="24">
        <f t="shared" si="42"/>
        <v>0.63</v>
      </c>
      <c r="BA218" s="24">
        <f t="shared" si="43"/>
        <v>0.504</v>
      </c>
      <c r="BB218" s="24">
        <f t="shared" si="44"/>
        <v>0.378</v>
      </c>
      <c r="BC218" s="25">
        <v>1E-4</v>
      </c>
      <c r="BD218" s="24">
        <v>0</v>
      </c>
      <c r="BE218" s="26">
        <v>0</v>
      </c>
      <c r="BF218" s="34">
        <f t="shared" si="45"/>
        <v>0</v>
      </c>
      <c r="BG218" s="34">
        <f t="shared" si="46"/>
        <v>0</v>
      </c>
      <c r="BH218" s="26">
        <v>0</v>
      </c>
      <c r="BI218" s="26">
        <v>0</v>
      </c>
      <c r="BJ218" s="27">
        <v>0.54500000000000004</v>
      </c>
      <c r="BK218" s="27">
        <v>0.51313485113835378</v>
      </c>
      <c r="BL218" s="27" t="s">
        <v>2482</v>
      </c>
      <c r="BM218" s="27" t="s">
        <v>2483</v>
      </c>
      <c r="BN218" s="26"/>
      <c r="BO218" s="34"/>
      <c r="BP218" s="34"/>
      <c r="BQ218" s="34"/>
      <c r="BR218" s="34"/>
      <c r="BS218" s="34"/>
      <c r="BT218" s="34"/>
      <c r="BU218" s="34"/>
      <c r="BV218" s="34"/>
      <c r="BW218" s="34"/>
      <c r="BX218" s="34"/>
      <c r="BY218" s="34"/>
      <c r="BZ218" s="34"/>
      <c r="CA218" s="20"/>
      <c r="CB218" s="20"/>
      <c r="CC218" s="29">
        <v>46003</v>
      </c>
      <c r="CD218" s="35" t="s">
        <v>2484</v>
      </c>
    </row>
    <row r="219" spans="1:82" s="18" customFormat="1" ht="66.75" customHeight="1" x14ac:dyDescent="0.25">
      <c r="A219" s="87">
        <v>215</v>
      </c>
      <c r="B219" s="141" t="s">
        <v>2485</v>
      </c>
      <c r="C219" s="6" t="s">
        <v>2486</v>
      </c>
      <c r="D219" s="6" t="s">
        <v>2487</v>
      </c>
      <c r="E219" s="75" t="s">
        <v>113</v>
      </c>
      <c r="F219" s="4" t="s">
        <v>81</v>
      </c>
      <c r="G219" s="33" t="s">
        <v>84</v>
      </c>
      <c r="H219" s="49" t="s">
        <v>775</v>
      </c>
      <c r="I219" s="49" t="s">
        <v>2295</v>
      </c>
      <c r="J219" s="6"/>
      <c r="K219" s="49"/>
      <c r="L219" s="49"/>
      <c r="M219" s="49" t="s">
        <v>88</v>
      </c>
      <c r="N219" s="49" t="s">
        <v>89</v>
      </c>
      <c r="O219" s="49" t="s">
        <v>1444</v>
      </c>
      <c r="P219" s="6" t="s">
        <v>2296</v>
      </c>
      <c r="Q219" s="49"/>
      <c r="R219" s="75" t="s">
        <v>91</v>
      </c>
      <c r="S219" s="33" t="s">
        <v>92</v>
      </c>
      <c r="T219" s="33" t="s">
        <v>93</v>
      </c>
      <c r="U219" s="78">
        <v>100</v>
      </c>
      <c r="V219" s="33" t="s">
        <v>94</v>
      </c>
      <c r="W219" s="33" t="s">
        <v>95</v>
      </c>
      <c r="X219" s="33">
        <v>2023</v>
      </c>
      <c r="Y219" s="33" t="s">
        <v>117</v>
      </c>
      <c r="Z219" s="33" t="s">
        <v>95</v>
      </c>
      <c r="AA219" s="33" t="s">
        <v>973</v>
      </c>
      <c r="AB219" s="49" t="s">
        <v>99</v>
      </c>
      <c r="AC219" s="48" t="s">
        <v>2488</v>
      </c>
      <c r="AD219" s="79" t="s">
        <v>2489</v>
      </c>
      <c r="AE219" s="6" t="s">
        <v>2299</v>
      </c>
      <c r="AF219" s="6" t="s">
        <v>121</v>
      </c>
      <c r="AG219" s="6" t="s">
        <v>2301</v>
      </c>
      <c r="AH219" s="49" t="s">
        <v>123</v>
      </c>
      <c r="AI219" s="6" t="s">
        <v>2490</v>
      </c>
      <c r="AJ219" s="6" t="s">
        <v>2491</v>
      </c>
      <c r="AK219" s="33" t="s">
        <v>2304</v>
      </c>
      <c r="AL219" s="33" t="s">
        <v>2304</v>
      </c>
      <c r="AM219" s="5" t="s">
        <v>2305</v>
      </c>
      <c r="AN219" s="5"/>
      <c r="AO219" s="5" t="s">
        <v>2492</v>
      </c>
      <c r="AP219" s="5" t="s">
        <v>2493</v>
      </c>
      <c r="AQ219" s="6" t="s">
        <v>2337</v>
      </c>
      <c r="AR219" s="20" t="s">
        <v>97</v>
      </c>
      <c r="AS219" s="20" t="s">
        <v>107</v>
      </c>
      <c r="AT219" s="20"/>
      <c r="AU219" s="24">
        <v>0.7</v>
      </c>
      <c r="AV219" s="24">
        <f t="shared" si="40"/>
        <v>0.55999999999999994</v>
      </c>
      <c r="AW219" s="24">
        <f t="shared" si="41"/>
        <v>0.42</v>
      </c>
      <c r="AX219" s="25">
        <v>1E-4</v>
      </c>
      <c r="AY219" s="24">
        <v>0</v>
      </c>
      <c r="AZ219" s="24">
        <f t="shared" si="42"/>
        <v>0.63</v>
      </c>
      <c r="BA219" s="24">
        <f t="shared" si="43"/>
        <v>0.504</v>
      </c>
      <c r="BB219" s="24">
        <f t="shared" si="44"/>
        <v>0.378</v>
      </c>
      <c r="BC219" s="25">
        <v>1E-4</v>
      </c>
      <c r="BD219" s="24">
        <v>0</v>
      </c>
      <c r="BE219" s="26">
        <v>0</v>
      </c>
      <c r="BF219" s="34">
        <f t="shared" si="45"/>
        <v>0</v>
      </c>
      <c r="BG219" s="34">
        <f t="shared" si="46"/>
        <v>0</v>
      </c>
      <c r="BH219" s="26">
        <v>0</v>
      </c>
      <c r="BI219" s="26">
        <v>0</v>
      </c>
      <c r="BJ219" s="27">
        <v>0.47299999999999998</v>
      </c>
      <c r="BK219" s="27">
        <v>0.40083121680905104</v>
      </c>
      <c r="BL219" s="27" t="s">
        <v>339</v>
      </c>
      <c r="BM219" s="27" t="s">
        <v>2494</v>
      </c>
      <c r="BN219" s="26"/>
      <c r="BO219" s="34"/>
      <c r="BP219" s="34"/>
      <c r="BQ219" s="34"/>
      <c r="BR219" s="34"/>
      <c r="BS219" s="34"/>
      <c r="BT219" s="34"/>
      <c r="BU219" s="34"/>
      <c r="BV219" s="34"/>
      <c r="BW219" s="34"/>
      <c r="BX219" s="34"/>
      <c r="BY219" s="34"/>
      <c r="BZ219" s="34"/>
      <c r="CA219" s="20"/>
      <c r="CB219" s="20"/>
      <c r="CC219" s="29">
        <v>46003</v>
      </c>
      <c r="CD219" s="35" t="s">
        <v>2484</v>
      </c>
    </row>
    <row r="220" spans="1:82" s="18" customFormat="1" ht="66.75" customHeight="1" x14ac:dyDescent="0.25">
      <c r="A220" s="121">
        <v>216</v>
      </c>
      <c r="B220" s="141" t="s">
        <v>2495</v>
      </c>
      <c r="C220" s="6" t="s">
        <v>2496</v>
      </c>
      <c r="D220" s="6" t="s">
        <v>2497</v>
      </c>
      <c r="E220" s="75" t="s">
        <v>113</v>
      </c>
      <c r="F220" s="4" t="s">
        <v>81</v>
      </c>
      <c r="G220" s="33" t="s">
        <v>84</v>
      </c>
      <c r="H220" s="49" t="s">
        <v>775</v>
      </c>
      <c r="I220" s="49" t="s">
        <v>2295</v>
      </c>
      <c r="J220" s="6"/>
      <c r="K220" s="49"/>
      <c r="L220" s="49"/>
      <c r="M220" s="49" t="s">
        <v>88</v>
      </c>
      <c r="N220" s="49" t="s">
        <v>89</v>
      </c>
      <c r="O220" s="49" t="s">
        <v>1444</v>
      </c>
      <c r="P220" s="6" t="s">
        <v>2296</v>
      </c>
      <c r="Q220" s="49"/>
      <c r="R220" s="75" t="s">
        <v>91</v>
      </c>
      <c r="S220" s="33" t="s">
        <v>92</v>
      </c>
      <c r="T220" s="33" t="s">
        <v>93</v>
      </c>
      <c r="U220" s="78">
        <v>100</v>
      </c>
      <c r="V220" s="33" t="s">
        <v>94</v>
      </c>
      <c r="W220" s="33" t="s">
        <v>95</v>
      </c>
      <c r="X220" s="33">
        <v>2023</v>
      </c>
      <c r="Y220" s="33" t="s">
        <v>117</v>
      </c>
      <c r="Z220" s="33" t="s">
        <v>95</v>
      </c>
      <c r="AA220" s="33" t="s">
        <v>973</v>
      </c>
      <c r="AB220" s="49" t="s">
        <v>99</v>
      </c>
      <c r="AC220" s="48" t="s">
        <v>2498</v>
      </c>
      <c r="AD220" s="79" t="s">
        <v>2499</v>
      </c>
      <c r="AE220" s="6" t="s">
        <v>2299</v>
      </c>
      <c r="AF220" s="6" t="s">
        <v>121</v>
      </c>
      <c r="AG220" s="6" t="s">
        <v>2301</v>
      </c>
      <c r="AH220" s="49" t="s">
        <v>123</v>
      </c>
      <c r="AI220" s="6" t="s">
        <v>2500</v>
      </c>
      <c r="AJ220" s="6" t="s">
        <v>2501</v>
      </c>
      <c r="AK220" s="33" t="s">
        <v>2304</v>
      </c>
      <c r="AL220" s="33" t="s">
        <v>2304</v>
      </c>
      <c r="AM220" s="5" t="s">
        <v>2305</v>
      </c>
      <c r="AN220" s="5"/>
      <c r="AO220" s="5" t="s">
        <v>2502</v>
      </c>
      <c r="AP220" s="5" t="s">
        <v>2503</v>
      </c>
      <c r="AQ220" s="6" t="s">
        <v>2337</v>
      </c>
      <c r="AR220" s="20" t="s">
        <v>97</v>
      </c>
      <c r="AS220" s="20" t="s">
        <v>107</v>
      </c>
      <c r="AT220" s="20"/>
      <c r="AU220" s="24">
        <v>0.7</v>
      </c>
      <c r="AV220" s="24">
        <f t="shared" si="40"/>
        <v>0.55999999999999994</v>
      </c>
      <c r="AW220" s="24">
        <f t="shared" si="41"/>
        <v>0.42</v>
      </c>
      <c r="AX220" s="25">
        <v>1E-4</v>
      </c>
      <c r="AY220" s="24">
        <v>0</v>
      </c>
      <c r="AZ220" s="24">
        <f t="shared" si="42"/>
        <v>0.63</v>
      </c>
      <c r="BA220" s="24">
        <f t="shared" si="43"/>
        <v>0.504</v>
      </c>
      <c r="BB220" s="24">
        <f t="shared" si="44"/>
        <v>0.378</v>
      </c>
      <c r="BC220" s="25">
        <v>1E-4</v>
      </c>
      <c r="BD220" s="24">
        <v>0</v>
      </c>
      <c r="BE220" s="26">
        <v>0</v>
      </c>
      <c r="BF220" s="34">
        <f t="shared" si="45"/>
        <v>0</v>
      </c>
      <c r="BG220" s="34">
        <f t="shared" si="46"/>
        <v>0</v>
      </c>
      <c r="BH220" s="26">
        <v>0</v>
      </c>
      <c r="BI220" s="26">
        <v>0</v>
      </c>
      <c r="BJ220" s="27">
        <v>0.55400000000000005</v>
      </c>
      <c r="BK220" s="27">
        <v>0.52272727272727271</v>
      </c>
      <c r="BL220" s="27" t="s">
        <v>2504</v>
      </c>
      <c r="BM220" s="27" t="s">
        <v>2505</v>
      </c>
      <c r="BN220" s="26"/>
      <c r="BO220" s="34"/>
      <c r="BP220" s="34"/>
      <c r="BQ220" s="34"/>
      <c r="BR220" s="34"/>
      <c r="BS220" s="34"/>
      <c r="BT220" s="34"/>
      <c r="BU220" s="34"/>
      <c r="BV220" s="34"/>
      <c r="BW220" s="34"/>
      <c r="BX220" s="34"/>
      <c r="BY220" s="34"/>
      <c r="BZ220" s="34"/>
      <c r="CA220" s="20"/>
      <c r="CB220" s="20"/>
      <c r="CC220" s="29">
        <v>46003</v>
      </c>
      <c r="CD220" s="35" t="s">
        <v>2484</v>
      </c>
    </row>
    <row r="221" spans="1:82" s="18" customFormat="1" ht="66.75" customHeight="1" x14ac:dyDescent="0.25">
      <c r="A221" s="87">
        <v>217</v>
      </c>
      <c r="B221" s="141" t="s">
        <v>2506</v>
      </c>
      <c r="C221" s="6" t="s">
        <v>2507</v>
      </c>
      <c r="D221" s="6" t="s">
        <v>2508</v>
      </c>
      <c r="E221" s="75" t="s">
        <v>113</v>
      </c>
      <c r="F221" s="4" t="s">
        <v>81</v>
      </c>
      <c r="G221" s="33" t="s">
        <v>84</v>
      </c>
      <c r="H221" s="49" t="s">
        <v>775</v>
      </c>
      <c r="I221" s="49" t="s">
        <v>2295</v>
      </c>
      <c r="J221" s="6"/>
      <c r="K221" s="49"/>
      <c r="L221" s="49"/>
      <c r="M221" s="49" t="s">
        <v>88</v>
      </c>
      <c r="N221" s="49" t="s">
        <v>89</v>
      </c>
      <c r="O221" s="49" t="s">
        <v>1444</v>
      </c>
      <c r="P221" s="6" t="s">
        <v>2296</v>
      </c>
      <c r="Q221" s="49"/>
      <c r="R221" s="75" t="s">
        <v>91</v>
      </c>
      <c r="S221" s="33" t="s">
        <v>92</v>
      </c>
      <c r="T221" s="33" t="s">
        <v>93</v>
      </c>
      <c r="U221" s="78">
        <v>100</v>
      </c>
      <c r="V221" s="33" t="s">
        <v>94</v>
      </c>
      <c r="W221" s="33" t="s">
        <v>95</v>
      </c>
      <c r="X221" s="33">
        <v>2023</v>
      </c>
      <c r="Y221" s="33" t="s">
        <v>117</v>
      </c>
      <c r="Z221" s="33" t="s">
        <v>95</v>
      </c>
      <c r="AA221" s="33" t="s">
        <v>973</v>
      </c>
      <c r="AB221" s="49" t="s">
        <v>99</v>
      </c>
      <c r="AC221" s="48" t="s">
        <v>2509</v>
      </c>
      <c r="AD221" s="79" t="s">
        <v>2510</v>
      </c>
      <c r="AE221" s="6" t="s">
        <v>2299</v>
      </c>
      <c r="AF221" s="6" t="s">
        <v>121</v>
      </c>
      <c r="AG221" s="6" t="s">
        <v>2301</v>
      </c>
      <c r="AH221" s="49" t="s">
        <v>123</v>
      </c>
      <c r="AI221" s="6" t="s">
        <v>2511</v>
      </c>
      <c r="AJ221" s="6" t="s">
        <v>2512</v>
      </c>
      <c r="AK221" s="33" t="s">
        <v>2304</v>
      </c>
      <c r="AL221" s="33" t="s">
        <v>2304</v>
      </c>
      <c r="AM221" s="5" t="s">
        <v>2305</v>
      </c>
      <c r="AN221" s="5"/>
      <c r="AO221" s="5" t="s">
        <v>2513</v>
      </c>
      <c r="AP221" s="5" t="s">
        <v>2514</v>
      </c>
      <c r="AQ221" s="6" t="s">
        <v>2337</v>
      </c>
      <c r="AR221" s="20" t="s">
        <v>97</v>
      </c>
      <c r="AS221" s="20" t="s">
        <v>107</v>
      </c>
      <c r="AT221" s="20"/>
      <c r="AU221" s="24">
        <v>0.7</v>
      </c>
      <c r="AV221" s="24">
        <f t="shared" si="40"/>
        <v>0.55999999999999994</v>
      </c>
      <c r="AW221" s="24">
        <f t="shared" si="41"/>
        <v>0.42</v>
      </c>
      <c r="AX221" s="25">
        <v>1E-4</v>
      </c>
      <c r="AY221" s="24">
        <v>0</v>
      </c>
      <c r="AZ221" s="24">
        <f t="shared" si="42"/>
        <v>0.63</v>
      </c>
      <c r="BA221" s="24">
        <f t="shared" si="43"/>
        <v>0.504</v>
      </c>
      <c r="BB221" s="24">
        <f t="shared" si="44"/>
        <v>0.378</v>
      </c>
      <c r="BC221" s="25">
        <v>1E-4</v>
      </c>
      <c r="BD221" s="24">
        <v>0</v>
      </c>
      <c r="BE221" s="26">
        <v>0</v>
      </c>
      <c r="BF221" s="34">
        <f t="shared" si="45"/>
        <v>0</v>
      </c>
      <c r="BG221" s="34">
        <f t="shared" si="46"/>
        <v>0</v>
      </c>
      <c r="BH221" s="26">
        <v>0</v>
      </c>
      <c r="BI221" s="26">
        <v>0</v>
      </c>
      <c r="BJ221" s="27">
        <v>0.51400000000000001</v>
      </c>
      <c r="BK221" s="27">
        <v>0.45041726472493554</v>
      </c>
      <c r="BL221" s="27" t="s">
        <v>2515</v>
      </c>
      <c r="BM221" s="27" t="s">
        <v>2516</v>
      </c>
      <c r="BN221" s="26"/>
      <c r="BO221" s="34"/>
      <c r="BP221" s="34"/>
      <c r="BQ221" s="34"/>
      <c r="BR221" s="34"/>
      <c r="BS221" s="34"/>
      <c r="BT221" s="34"/>
      <c r="BU221" s="34"/>
      <c r="BV221" s="34"/>
      <c r="BW221" s="34"/>
      <c r="BX221" s="34"/>
      <c r="BY221" s="34"/>
      <c r="BZ221" s="34"/>
      <c r="CA221" s="20"/>
      <c r="CB221" s="20"/>
      <c r="CC221" s="29">
        <v>46003</v>
      </c>
      <c r="CD221" s="35" t="s">
        <v>2484</v>
      </c>
    </row>
    <row r="222" spans="1:82" s="18" customFormat="1" ht="66.75" customHeight="1" x14ac:dyDescent="0.25">
      <c r="A222" s="87">
        <v>218</v>
      </c>
      <c r="B222" s="141" t="s">
        <v>2517</v>
      </c>
      <c r="C222" s="6" t="s">
        <v>2518</v>
      </c>
      <c r="D222" s="6" t="s">
        <v>2519</v>
      </c>
      <c r="E222" s="75" t="s">
        <v>113</v>
      </c>
      <c r="F222" s="4" t="s">
        <v>81</v>
      </c>
      <c r="G222" s="33" t="s">
        <v>84</v>
      </c>
      <c r="H222" s="49" t="s">
        <v>775</v>
      </c>
      <c r="I222" s="49" t="s">
        <v>2295</v>
      </c>
      <c r="J222" s="6"/>
      <c r="K222" s="49"/>
      <c r="L222" s="49"/>
      <c r="M222" s="49" t="s">
        <v>88</v>
      </c>
      <c r="N222" s="49" t="s">
        <v>89</v>
      </c>
      <c r="O222" s="49" t="s">
        <v>1444</v>
      </c>
      <c r="P222" s="6" t="s">
        <v>2296</v>
      </c>
      <c r="Q222" s="49"/>
      <c r="R222" s="75" t="s">
        <v>91</v>
      </c>
      <c r="S222" s="33" t="s">
        <v>92</v>
      </c>
      <c r="T222" s="33" t="s">
        <v>93</v>
      </c>
      <c r="U222" s="78">
        <v>100</v>
      </c>
      <c r="V222" s="33" t="s">
        <v>94</v>
      </c>
      <c r="W222" s="33" t="s">
        <v>95</v>
      </c>
      <c r="X222" s="33">
        <v>2023</v>
      </c>
      <c r="Y222" s="33" t="s">
        <v>117</v>
      </c>
      <c r="Z222" s="33" t="s">
        <v>95</v>
      </c>
      <c r="AA222" s="33" t="s">
        <v>973</v>
      </c>
      <c r="AB222" s="49" t="s">
        <v>99</v>
      </c>
      <c r="AC222" s="48" t="s">
        <v>2520</v>
      </c>
      <c r="AD222" s="79" t="s">
        <v>2521</v>
      </c>
      <c r="AE222" s="6" t="s">
        <v>2299</v>
      </c>
      <c r="AF222" s="6" t="s">
        <v>121</v>
      </c>
      <c r="AG222" s="6" t="s">
        <v>2301</v>
      </c>
      <c r="AH222" s="49" t="s">
        <v>123</v>
      </c>
      <c r="AI222" s="6" t="s">
        <v>2522</v>
      </c>
      <c r="AJ222" s="6" t="s">
        <v>2523</v>
      </c>
      <c r="AK222" s="33" t="s">
        <v>2304</v>
      </c>
      <c r="AL222" s="33" t="s">
        <v>2304</v>
      </c>
      <c r="AM222" s="5" t="s">
        <v>2305</v>
      </c>
      <c r="AN222" s="5"/>
      <c r="AO222" s="5" t="s">
        <v>2524</v>
      </c>
      <c r="AP222" s="5" t="s">
        <v>2525</v>
      </c>
      <c r="AQ222" s="6" t="s">
        <v>2337</v>
      </c>
      <c r="AR222" s="20" t="s">
        <v>97</v>
      </c>
      <c r="AS222" s="20" t="s">
        <v>107</v>
      </c>
      <c r="AT222" s="20"/>
      <c r="AU222" s="24">
        <v>0.7</v>
      </c>
      <c r="AV222" s="24">
        <f t="shared" si="40"/>
        <v>0.55999999999999994</v>
      </c>
      <c r="AW222" s="24">
        <f t="shared" si="41"/>
        <v>0.42</v>
      </c>
      <c r="AX222" s="25">
        <v>1E-4</v>
      </c>
      <c r="AY222" s="24">
        <v>0</v>
      </c>
      <c r="AZ222" s="24">
        <f t="shared" si="42"/>
        <v>0.63</v>
      </c>
      <c r="BA222" s="24">
        <f t="shared" si="43"/>
        <v>0.504</v>
      </c>
      <c r="BB222" s="24">
        <f t="shared" si="44"/>
        <v>0.378</v>
      </c>
      <c r="BC222" s="25">
        <v>1E-4</v>
      </c>
      <c r="BD222" s="24">
        <v>0</v>
      </c>
      <c r="BE222" s="26">
        <v>0</v>
      </c>
      <c r="BF222" s="34">
        <f t="shared" si="45"/>
        <v>0</v>
      </c>
      <c r="BG222" s="34">
        <f t="shared" si="46"/>
        <v>0</v>
      </c>
      <c r="BH222" s="26">
        <v>0</v>
      </c>
      <c r="BI222" s="26">
        <v>0</v>
      </c>
      <c r="BJ222" s="27">
        <v>0.53200000000000003</v>
      </c>
      <c r="BK222" s="27">
        <v>0.46150627615062761</v>
      </c>
      <c r="BL222" s="27" t="s">
        <v>2526</v>
      </c>
      <c r="BM222" s="27" t="s">
        <v>2527</v>
      </c>
      <c r="BN222" s="26"/>
      <c r="BO222" s="34"/>
      <c r="BP222" s="34"/>
      <c r="BQ222" s="34"/>
      <c r="BR222" s="34"/>
      <c r="BS222" s="34"/>
      <c r="BT222" s="34"/>
      <c r="BU222" s="34"/>
      <c r="BV222" s="34"/>
      <c r="BW222" s="34"/>
      <c r="BX222" s="34"/>
      <c r="BY222" s="34"/>
      <c r="BZ222" s="34"/>
      <c r="CA222" s="20"/>
      <c r="CB222" s="20"/>
      <c r="CC222" s="29">
        <v>46003</v>
      </c>
      <c r="CD222" s="35" t="s">
        <v>2484</v>
      </c>
    </row>
    <row r="223" spans="1:82" s="18" customFormat="1" ht="66.75" customHeight="1" x14ac:dyDescent="0.25">
      <c r="A223" s="121">
        <v>219</v>
      </c>
      <c r="B223" s="141" t="s">
        <v>2528</v>
      </c>
      <c r="C223" s="6" t="s">
        <v>2529</v>
      </c>
      <c r="D223" s="6" t="s">
        <v>2530</v>
      </c>
      <c r="E223" s="75" t="s">
        <v>113</v>
      </c>
      <c r="F223" s="4" t="s">
        <v>81</v>
      </c>
      <c r="G223" s="33" t="s">
        <v>84</v>
      </c>
      <c r="H223" s="49" t="s">
        <v>775</v>
      </c>
      <c r="I223" s="49" t="s">
        <v>2295</v>
      </c>
      <c r="J223" s="6"/>
      <c r="K223" s="49"/>
      <c r="L223" s="49"/>
      <c r="M223" s="49" t="s">
        <v>88</v>
      </c>
      <c r="N223" s="49" t="s">
        <v>89</v>
      </c>
      <c r="O223" s="49" t="s">
        <v>1444</v>
      </c>
      <c r="P223" s="6" t="s">
        <v>2296</v>
      </c>
      <c r="Q223" s="49"/>
      <c r="R223" s="75" t="s">
        <v>91</v>
      </c>
      <c r="S223" s="33" t="s">
        <v>92</v>
      </c>
      <c r="T223" s="33" t="s">
        <v>93</v>
      </c>
      <c r="U223" s="78">
        <v>100</v>
      </c>
      <c r="V223" s="33" t="s">
        <v>94</v>
      </c>
      <c r="W223" s="33" t="s">
        <v>95</v>
      </c>
      <c r="X223" s="33">
        <v>2023</v>
      </c>
      <c r="Y223" s="33" t="s">
        <v>117</v>
      </c>
      <c r="Z223" s="33" t="s">
        <v>95</v>
      </c>
      <c r="AA223" s="33" t="s">
        <v>973</v>
      </c>
      <c r="AB223" s="49" t="s">
        <v>99</v>
      </c>
      <c r="AC223" s="48" t="s">
        <v>2531</v>
      </c>
      <c r="AD223" s="79" t="s">
        <v>2532</v>
      </c>
      <c r="AE223" s="6" t="s">
        <v>2299</v>
      </c>
      <c r="AF223" s="6" t="s">
        <v>121</v>
      </c>
      <c r="AG223" s="6" t="s">
        <v>2301</v>
      </c>
      <c r="AH223" s="49" t="s">
        <v>123</v>
      </c>
      <c r="AI223" s="6" t="s">
        <v>2533</v>
      </c>
      <c r="AJ223" s="6" t="s">
        <v>2534</v>
      </c>
      <c r="AK223" s="33" t="s">
        <v>2304</v>
      </c>
      <c r="AL223" s="33" t="s">
        <v>2304</v>
      </c>
      <c r="AM223" s="5" t="s">
        <v>2305</v>
      </c>
      <c r="AN223" s="5"/>
      <c r="AO223" s="5" t="s">
        <v>2535</v>
      </c>
      <c r="AP223" s="5" t="s">
        <v>2536</v>
      </c>
      <c r="AQ223" s="6" t="s">
        <v>2337</v>
      </c>
      <c r="AR223" s="20" t="s">
        <v>97</v>
      </c>
      <c r="AS223" s="20" t="s">
        <v>107</v>
      </c>
      <c r="AT223" s="20"/>
      <c r="AU223" s="24">
        <v>0.7</v>
      </c>
      <c r="AV223" s="24">
        <f t="shared" si="40"/>
        <v>0.55999999999999994</v>
      </c>
      <c r="AW223" s="24">
        <f t="shared" si="41"/>
        <v>0.42</v>
      </c>
      <c r="AX223" s="25">
        <v>1E-4</v>
      </c>
      <c r="AY223" s="24">
        <v>0</v>
      </c>
      <c r="AZ223" s="24">
        <f t="shared" si="42"/>
        <v>0.63</v>
      </c>
      <c r="BA223" s="24">
        <f t="shared" si="43"/>
        <v>0.504</v>
      </c>
      <c r="BB223" s="24">
        <f t="shared" si="44"/>
        <v>0.378</v>
      </c>
      <c r="BC223" s="25">
        <v>1E-4</v>
      </c>
      <c r="BD223" s="24">
        <v>0</v>
      </c>
      <c r="BE223" s="26">
        <v>0</v>
      </c>
      <c r="BF223" s="34">
        <f t="shared" si="45"/>
        <v>0</v>
      </c>
      <c r="BG223" s="34">
        <f t="shared" si="46"/>
        <v>0</v>
      </c>
      <c r="BH223" s="26">
        <v>0</v>
      </c>
      <c r="BI223" s="26">
        <v>0</v>
      </c>
      <c r="BJ223" s="27">
        <v>0.55900000000000005</v>
      </c>
      <c r="BK223" s="27">
        <v>0.49411933448078027</v>
      </c>
      <c r="BL223" s="27" t="s">
        <v>2537</v>
      </c>
      <c r="BM223" s="27" t="s">
        <v>2538</v>
      </c>
      <c r="BN223" s="26"/>
      <c r="BO223" s="34"/>
      <c r="BP223" s="34"/>
      <c r="BQ223" s="34"/>
      <c r="BR223" s="34"/>
      <c r="BS223" s="34"/>
      <c r="BT223" s="34"/>
      <c r="BU223" s="34"/>
      <c r="BV223" s="34"/>
      <c r="BW223" s="34"/>
      <c r="BX223" s="34"/>
      <c r="BY223" s="34"/>
      <c r="BZ223" s="34"/>
      <c r="CA223" s="20"/>
      <c r="CB223" s="20"/>
      <c r="CC223" s="29">
        <v>46003</v>
      </c>
      <c r="CD223" s="35" t="s">
        <v>2484</v>
      </c>
    </row>
    <row r="224" spans="1:82" s="18" customFormat="1" ht="66.75" customHeight="1" x14ac:dyDescent="0.25">
      <c r="A224" s="87">
        <v>220</v>
      </c>
      <c r="B224" s="141" t="s">
        <v>2539</v>
      </c>
      <c r="C224" s="6" t="s">
        <v>2540</v>
      </c>
      <c r="D224" s="6" t="s">
        <v>2541</v>
      </c>
      <c r="E224" s="75" t="s">
        <v>113</v>
      </c>
      <c r="F224" s="4" t="s">
        <v>81</v>
      </c>
      <c r="G224" s="33" t="s">
        <v>84</v>
      </c>
      <c r="H224" s="49" t="s">
        <v>775</v>
      </c>
      <c r="I224" s="49" t="s">
        <v>2295</v>
      </c>
      <c r="J224" s="6"/>
      <c r="K224" s="49"/>
      <c r="L224" s="49"/>
      <c r="M224" s="49" t="s">
        <v>88</v>
      </c>
      <c r="N224" s="49" t="s">
        <v>89</v>
      </c>
      <c r="O224" s="49" t="s">
        <v>1444</v>
      </c>
      <c r="P224" s="6" t="s">
        <v>2296</v>
      </c>
      <c r="Q224" s="49"/>
      <c r="R224" s="75" t="s">
        <v>91</v>
      </c>
      <c r="S224" s="33" t="s">
        <v>92</v>
      </c>
      <c r="T224" s="33" t="s">
        <v>93</v>
      </c>
      <c r="U224" s="78">
        <v>100</v>
      </c>
      <c r="V224" s="33" t="s">
        <v>94</v>
      </c>
      <c r="W224" s="33" t="s">
        <v>95</v>
      </c>
      <c r="X224" s="33">
        <v>2023</v>
      </c>
      <c r="Y224" s="33" t="s">
        <v>117</v>
      </c>
      <c r="Z224" s="33" t="s">
        <v>95</v>
      </c>
      <c r="AA224" s="33" t="s">
        <v>973</v>
      </c>
      <c r="AB224" s="49" t="s">
        <v>99</v>
      </c>
      <c r="AC224" s="48" t="s">
        <v>2542</v>
      </c>
      <c r="AD224" s="79" t="s">
        <v>2543</v>
      </c>
      <c r="AE224" s="6" t="s">
        <v>2299</v>
      </c>
      <c r="AF224" s="6" t="s">
        <v>121</v>
      </c>
      <c r="AG224" s="6" t="s">
        <v>2301</v>
      </c>
      <c r="AH224" s="49" t="s">
        <v>123</v>
      </c>
      <c r="AI224" s="6" t="s">
        <v>2544</v>
      </c>
      <c r="AJ224" s="6" t="s">
        <v>2545</v>
      </c>
      <c r="AK224" s="33" t="s">
        <v>2304</v>
      </c>
      <c r="AL224" s="33" t="s">
        <v>2304</v>
      </c>
      <c r="AM224" s="5" t="s">
        <v>2305</v>
      </c>
      <c r="AN224" s="5"/>
      <c r="AO224" s="5" t="s">
        <v>2546</v>
      </c>
      <c r="AP224" s="5" t="s">
        <v>2547</v>
      </c>
      <c r="AQ224" s="6" t="s">
        <v>2337</v>
      </c>
      <c r="AR224" s="20" t="s">
        <v>97</v>
      </c>
      <c r="AS224" s="20" t="s">
        <v>107</v>
      </c>
      <c r="AT224" s="20"/>
      <c r="AU224" s="24">
        <v>0.7</v>
      </c>
      <c r="AV224" s="24">
        <f t="shared" si="40"/>
        <v>0.55999999999999994</v>
      </c>
      <c r="AW224" s="24">
        <f t="shared" si="41"/>
        <v>0.42</v>
      </c>
      <c r="AX224" s="25">
        <v>1E-4</v>
      </c>
      <c r="AY224" s="24">
        <v>0</v>
      </c>
      <c r="AZ224" s="24">
        <f t="shared" si="42"/>
        <v>0.63</v>
      </c>
      <c r="BA224" s="24">
        <f t="shared" si="43"/>
        <v>0.504</v>
      </c>
      <c r="BB224" s="24">
        <f t="shared" si="44"/>
        <v>0.378</v>
      </c>
      <c r="BC224" s="25">
        <v>1E-4</v>
      </c>
      <c r="BD224" s="24">
        <v>0</v>
      </c>
      <c r="BE224" s="26">
        <v>0</v>
      </c>
      <c r="BF224" s="34">
        <f t="shared" si="45"/>
        <v>0</v>
      </c>
      <c r="BG224" s="34">
        <f t="shared" si="46"/>
        <v>0</v>
      </c>
      <c r="BH224" s="26">
        <v>0</v>
      </c>
      <c r="BI224" s="26">
        <v>0</v>
      </c>
      <c r="BJ224" s="27">
        <v>0.45200000000000001</v>
      </c>
      <c r="BK224" s="27">
        <v>0.33138489208633093</v>
      </c>
      <c r="BL224" s="27" t="s">
        <v>2548</v>
      </c>
      <c r="BM224" s="27" t="s">
        <v>2549</v>
      </c>
      <c r="BN224" s="26"/>
      <c r="BO224" s="34"/>
      <c r="BP224" s="34"/>
      <c r="BQ224" s="34"/>
      <c r="BR224" s="34"/>
      <c r="BS224" s="34"/>
      <c r="BT224" s="34"/>
      <c r="BU224" s="34"/>
      <c r="BV224" s="34"/>
      <c r="BW224" s="34"/>
      <c r="BX224" s="34"/>
      <c r="BY224" s="34"/>
      <c r="BZ224" s="34"/>
      <c r="CA224" s="20"/>
      <c r="CB224" s="20"/>
      <c r="CC224" s="29">
        <v>46003</v>
      </c>
      <c r="CD224" s="35" t="s">
        <v>2484</v>
      </c>
    </row>
    <row r="225" spans="1:82" s="18" customFormat="1" ht="123" customHeight="1" x14ac:dyDescent="0.25">
      <c r="A225" s="87">
        <v>221</v>
      </c>
      <c r="B225" s="141" t="s">
        <v>2550</v>
      </c>
      <c r="C225" s="6" t="s">
        <v>2551</v>
      </c>
      <c r="D225" s="6" t="s">
        <v>2552</v>
      </c>
      <c r="E225" s="75" t="s">
        <v>174</v>
      </c>
      <c r="F225" s="4" t="s">
        <v>81</v>
      </c>
      <c r="G225" s="33" t="s">
        <v>84</v>
      </c>
      <c r="H225" s="49" t="s">
        <v>775</v>
      </c>
      <c r="I225" s="49" t="s">
        <v>2295</v>
      </c>
      <c r="J225" s="6"/>
      <c r="K225" s="49"/>
      <c r="L225" s="49"/>
      <c r="M225" s="49" t="s">
        <v>88</v>
      </c>
      <c r="N225" s="49" t="s">
        <v>89</v>
      </c>
      <c r="O225" s="49" t="s">
        <v>1444</v>
      </c>
      <c r="P225" s="6" t="s">
        <v>2296</v>
      </c>
      <c r="Q225" s="49"/>
      <c r="R225" s="75" t="s">
        <v>91</v>
      </c>
      <c r="S225" s="33" t="s">
        <v>92</v>
      </c>
      <c r="T225" s="33" t="s">
        <v>93</v>
      </c>
      <c r="U225" s="78">
        <v>100</v>
      </c>
      <c r="V225" s="33" t="s">
        <v>94</v>
      </c>
      <c r="W225" s="33" t="s">
        <v>95</v>
      </c>
      <c r="X225" s="33">
        <v>2023</v>
      </c>
      <c r="Y225" s="33" t="s">
        <v>117</v>
      </c>
      <c r="Z225" s="33" t="s">
        <v>97</v>
      </c>
      <c r="AA225" s="33" t="s">
        <v>973</v>
      </c>
      <c r="AB225" s="49" t="s">
        <v>99</v>
      </c>
      <c r="AC225" s="48" t="s">
        <v>2553</v>
      </c>
      <c r="AD225" s="48" t="s">
        <v>2554</v>
      </c>
      <c r="AE225" s="6" t="s">
        <v>2555</v>
      </c>
      <c r="AF225" s="6" t="s">
        <v>2556</v>
      </c>
      <c r="AG225" s="6" t="s">
        <v>2301</v>
      </c>
      <c r="AH225" s="6" t="s">
        <v>1042</v>
      </c>
      <c r="AI225" s="6" t="s">
        <v>2557</v>
      </c>
      <c r="AJ225" s="6" t="s">
        <v>2558</v>
      </c>
      <c r="AK225" s="5" t="s">
        <v>2559</v>
      </c>
      <c r="AL225" s="5" t="s">
        <v>2560</v>
      </c>
      <c r="AM225" s="5" t="s">
        <v>221</v>
      </c>
      <c r="AN225" s="5" t="s">
        <v>470</v>
      </c>
      <c r="AO225" s="5" t="s">
        <v>2561</v>
      </c>
      <c r="AP225" s="5" t="s">
        <v>2562</v>
      </c>
      <c r="AQ225" s="6" t="s">
        <v>2563</v>
      </c>
      <c r="AR225" s="20" t="s">
        <v>97</v>
      </c>
      <c r="AS225" s="20" t="s">
        <v>107</v>
      </c>
      <c r="AT225" s="20"/>
      <c r="AU225" s="24">
        <v>0.7</v>
      </c>
      <c r="AV225" s="24">
        <f t="shared" si="40"/>
        <v>0.55999999999999994</v>
      </c>
      <c r="AW225" s="24">
        <f t="shared" si="41"/>
        <v>0.42</v>
      </c>
      <c r="AX225" s="25">
        <v>1E-4</v>
      </c>
      <c r="AY225" s="24">
        <v>0</v>
      </c>
      <c r="AZ225" s="24">
        <f t="shared" si="42"/>
        <v>0.63</v>
      </c>
      <c r="BA225" s="24">
        <f t="shared" si="43"/>
        <v>0.504</v>
      </c>
      <c r="BB225" s="24">
        <f t="shared" si="44"/>
        <v>0.378</v>
      </c>
      <c r="BC225" s="25">
        <v>1E-4</v>
      </c>
      <c r="BD225" s="24">
        <v>0</v>
      </c>
      <c r="BE225" s="34">
        <v>30</v>
      </c>
      <c r="BF225" s="34">
        <f t="shared" si="45"/>
        <v>24</v>
      </c>
      <c r="BG225" s="34">
        <f t="shared" si="46"/>
        <v>18</v>
      </c>
      <c r="BH225" s="26">
        <v>1</v>
      </c>
      <c r="BI225" s="26">
        <v>0</v>
      </c>
      <c r="BJ225" s="27">
        <v>0.47899999999999998</v>
      </c>
      <c r="BK225" s="27">
        <v>0.55268812235750753</v>
      </c>
      <c r="BL225" s="27" t="s">
        <v>2564</v>
      </c>
      <c r="BM225" s="27" t="s">
        <v>2565</v>
      </c>
      <c r="BN225" s="26"/>
      <c r="BO225" s="34"/>
      <c r="BP225" s="34"/>
      <c r="BQ225" s="34"/>
      <c r="BR225" s="34"/>
      <c r="BS225" s="34"/>
      <c r="BT225" s="34"/>
      <c r="BU225" s="34"/>
      <c r="BV225" s="34"/>
      <c r="BW225" s="34"/>
      <c r="BX225" s="34"/>
      <c r="BY225" s="34"/>
      <c r="BZ225" s="34">
        <v>1</v>
      </c>
      <c r="CA225" s="20" t="s">
        <v>2295</v>
      </c>
      <c r="CB225" s="20" t="s">
        <v>2295</v>
      </c>
      <c r="CC225" s="46">
        <v>46006</v>
      </c>
      <c r="CD225" s="40" t="s">
        <v>2566</v>
      </c>
    </row>
    <row r="226" spans="1:82" s="18" customFormat="1" ht="162.75" customHeight="1" x14ac:dyDescent="0.25">
      <c r="A226" s="121">
        <v>222</v>
      </c>
      <c r="B226" s="141" t="s">
        <v>2567</v>
      </c>
      <c r="C226" s="6" t="s">
        <v>2568</v>
      </c>
      <c r="D226" s="6" t="s">
        <v>2569</v>
      </c>
      <c r="E226" s="75" t="s">
        <v>113</v>
      </c>
      <c r="F226" s="4" t="s">
        <v>81</v>
      </c>
      <c r="G226" s="33" t="s">
        <v>84</v>
      </c>
      <c r="H226" s="49" t="s">
        <v>775</v>
      </c>
      <c r="I226" s="49" t="s">
        <v>2295</v>
      </c>
      <c r="J226" s="6"/>
      <c r="K226" s="49"/>
      <c r="L226" s="49"/>
      <c r="M226" s="49" t="s">
        <v>88</v>
      </c>
      <c r="N226" s="49" t="s">
        <v>89</v>
      </c>
      <c r="O226" s="49" t="s">
        <v>116</v>
      </c>
      <c r="P226" s="6" t="s">
        <v>2382</v>
      </c>
      <c r="Q226" s="49"/>
      <c r="R226" s="75" t="s">
        <v>91</v>
      </c>
      <c r="S226" s="33" t="s">
        <v>92</v>
      </c>
      <c r="T226" s="33" t="s">
        <v>93</v>
      </c>
      <c r="U226" s="78">
        <v>100</v>
      </c>
      <c r="V226" s="33" t="s">
        <v>94</v>
      </c>
      <c r="W226" s="33" t="s">
        <v>95</v>
      </c>
      <c r="X226" s="33">
        <v>2022</v>
      </c>
      <c r="Y226" s="33" t="s">
        <v>117</v>
      </c>
      <c r="Z226" s="33" t="s">
        <v>97</v>
      </c>
      <c r="AA226" s="33" t="s">
        <v>973</v>
      </c>
      <c r="AB226" s="49" t="s">
        <v>99</v>
      </c>
      <c r="AC226" s="48" t="s">
        <v>2570</v>
      </c>
      <c r="AD226" s="48" t="s">
        <v>2554</v>
      </c>
      <c r="AE226" s="6" t="s">
        <v>2571</v>
      </c>
      <c r="AF226" s="6" t="s">
        <v>2572</v>
      </c>
      <c r="AG226" s="6" t="s">
        <v>1042</v>
      </c>
      <c r="AH226" s="6" t="s">
        <v>1042</v>
      </c>
      <c r="AI226" s="6" t="s">
        <v>2573</v>
      </c>
      <c r="AJ226" s="6" t="s">
        <v>2574</v>
      </c>
      <c r="AK226" s="5" t="s">
        <v>2575</v>
      </c>
      <c r="AL226" s="5" t="s">
        <v>2576</v>
      </c>
      <c r="AM226" s="5" t="s">
        <v>2413</v>
      </c>
      <c r="AN226" s="5"/>
      <c r="AO226" s="5" t="s">
        <v>2577</v>
      </c>
      <c r="AP226" s="5" t="s">
        <v>2578</v>
      </c>
      <c r="AQ226" s="6" t="s">
        <v>2579</v>
      </c>
      <c r="AR226" s="20" t="s">
        <v>97</v>
      </c>
      <c r="AS226" s="20" t="s">
        <v>107</v>
      </c>
      <c r="AT226" s="20"/>
      <c r="AU226" s="24">
        <v>0.8</v>
      </c>
      <c r="AV226" s="24">
        <f t="shared" si="40"/>
        <v>0.64000000000000012</v>
      </c>
      <c r="AW226" s="24">
        <f t="shared" si="41"/>
        <v>0.48</v>
      </c>
      <c r="AX226" s="25">
        <v>1E-4</v>
      </c>
      <c r="AY226" s="24">
        <v>0</v>
      </c>
      <c r="AZ226" s="24">
        <f>+AU226*80%</f>
        <v>0.64000000000000012</v>
      </c>
      <c r="BA226" s="24">
        <f t="shared" si="43"/>
        <v>0.51200000000000012</v>
      </c>
      <c r="BB226" s="24">
        <f t="shared" si="44"/>
        <v>0.38400000000000006</v>
      </c>
      <c r="BC226" s="25">
        <v>1E-4</v>
      </c>
      <c r="BD226" s="24">
        <v>0</v>
      </c>
      <c r="BE226" s="26">
        <v>0</v>
      </c>
      <c r="BF226" s="34">
        <f t="shared" si="45"/>
        <v>0</v>
      </c>
      <c r="BG226" s="34">
        <f t="shared" si="46"/>
        <v>0</v>
      </c>
      <c r="BH226" s="26">
        <v>0</v>
      </c>
      <c r="BI226" s="26">
        <v>0</v>
      </c>
      <c r="BJ226" s="27">
        <v>0.432</v>
      </c>
      <c r="BK226" s="27">
        <v>0.44897687306831502</v>
      </c>
      <c r="BL226" s="27" t="s">
        <v>2580</v>
      </c>
      <c r="BM226" s="27" t="s">
        <v>2581</v>
      </c>
      <c r="BN226" s="26"/>
      <c r="BO226" s="34"/>
      <c r="BP226" s="34"/>
      <c r="BQ226" s="34"/>
      <c r="BR226" s="34"/>
      <c r="BS226" s="34"/>
      <c r="BT226" s="34"/>
      <c r="BU226" s="34"/>
      <c r="BV226" s="34"/>
      <c r="BW226" s="34"/>
      <c r="BX226" s="34"/>
      <c r="BY226" s="34"/>
      <c r="BZ226" s="34">
        <v>1</v>
      </c>
      <c r="CA226" s="20" t="s">
        <v>2295</v>
      </c>
      <c r="CB226" s="20" t="s">
        <v>2295</v>
      </c>
      <c r="CC226" s="46">
        <v>46006</v>
      </c>
      <c r="CD226" s="40" t="s">
        <v>2582</v>
      </c>
    </row>
    <row r="227" spans="1:82" s="18" customFormat="1" ht="66.75" customHeight="1" x14ac:dyDescent="0.25">
      <c r="A227" s="87">
        <v>223</v>
      </c>
      <c r="B227" s="141" t="s">
        <v>2583</v>
      </c>
      <c r="C227" s="6" t="s">
        <v>2584</v>
      </c>
      <c r="D227" s="6" t="s">
        <v>2585</v>
      </c>
      <c r="E227" s="75" t="s">
        <v>113</v>
      </c>
      <c r="F227" s="4" t="s">
        <v>81</v>
      </c>
      <c r="G227" s="33">
        <v>85</v>
      </c>
      <c r="H227" s="49" t="s">
        <v>775</v>
      </c>
      <c r="I227" s="49" t="s">
        <v>2295</v>
      </c>
      <c r="J227" s="6"/>
      <c r="K227" s="49"/>
      <c r="L227" s="49"/>
      <c r="M227" s="49" t="s">
        <v>136</v>
      </c>
      <c r="N227" s="49" t="s">
        <v>245</v>
      </c>
      <c r="O227" s="49" t="s">
        <v>246</v>
      </c>
      <c r="P227" s="6" t="s">
        <v>2586</v>
      </c>
      <c r="Q227" s="49"/>
      <c r="R227" s="75" t="s">
        <v>2587</v>
      </c>
      <c r="S227" s="33" t="s">
        <v>92</v>
      </c>
      <c r="T227" s="33" t="s">
        <v>2587</v>
      </c>
      <c r="U227" s="78">
        <v>1000</v>
      </c>
      <c r="V227" s="33" t="s">
        <v>94</v>
      </c>
      <c r="W227" s="33" t="s">
        <v>97</v>
      </c>
      <c r="X227" s="33">
        <v>2023</v>
      </c>
      <c r="Y227" s="33" t="s">
        <v>117</v>
      </c>
      <c r="Z227" s="33" t="s">
        <v>97</v>
      </c>
      <c r="AA227" s="33" t="s">
        <v>973</v>
      </c>
      <c r="AB227" s="49" t="s">
        <v>99</v>
      </c>
      <c r="AC227" s="48" t="s">
        <v>2588</v>
      </c>
      <c r="AD227" s="48" t="s">
        <v>2589</v>
      </c>
      <c r="AE227" s="6" t="s">
        <v>2590</v>
      </c>
      <c r="AF227" s="6" t="s">
        <v>121</v>
      </c>
      <c r="AG227" s="6" t="s">
        <v>178</v>
      </c>
      <c r="AH227" s="49" t="s">
        <v>178</v>
      </c>
      <c r="AI227" s="6" t="s">
        <v>2591</v>
      </c>
      <c r="AJ227" s="6" t="s">
        <v>2592</v>
      </c>
      <c r="AK227" s="33" t="s">
        <v>97</v>
      </c>
      <c r="AL227" s="33" t="s">
        <v>97</v>
      </c>
      <c r="AM227" s="5" t="s">
        <v>2593</v>
      </c>
      <c r="AN227" s="5"/>
      <c r="AO227" s="5"/>
      <c r="AP227" s="5" t="s">
        <v>2594</v>
      </c>
      <c r="AQ227" s="6" t="s">
        <v>2595</v>
      </c>
      <c r="AR227" s="20" t="s">
        <v>97</v>
      </c>
      <c r="AS227" s="20" t="s">
        <v>107</v>
      </c>
      <c r="AT227" s="20"/>
      <c r="AU227" s="24" t="s">
        <v>2596</v>
      </c>
      <c r="AV227" s="24"/>
      <c r="AW227" s="24"/>
      <c r="AX227" s="25" t="s">
        <v>2597</v>
      </c>
      <c r="AY227" s="24"/>
      <c r="AZ227" s="24" t="s">
        <v>2596</v>
      </c>
      <c r="BA227" s="24"/>
      <c r="BB227" s="24"/>
      <c r="BC227" s="25" t="s">
        <v>2597</v>
      </c>
      <c r="BD227" s="24"/>
      <c r="BE227" s="26">
        <v>0</v>
      </c>
      <c r="BF227" s="34">
        <f t="shared" si="45"/>
        <v>0</v>
      </c>
      <c r="BG227" s="34">
        <f t="shared" si="46"/>
        <v>0</v>
      </c>
      <c r="BH227" s="26">
        <v>0</v>
      </c>
      <c r="BI227" s="26">
        <v>0</v>
      </c>
      <c r="BJ227" s="20" t="s">
        <v>496</v>
      </c>
      <c r="BK227" s="27">
        <v>0</v>
      </c>
      <c r="BL227" s="27" t="s">
        <v>2598</v>
      </c>
      <c r="BM227" s="27" t="s">
        <v>2598</v>
      </c>
      <c r="BN227" s="26"/>
      <c r="BO227" s="34">
        <v>1</v>
      </c>
      <c r="BP227" s="34"/>
      <c r="BQ227" s="34"/>
      <c r="BR227" s="34"/>
      <c r="BS227" s="34"/>
      <c r="BT227" s="34"/>
      <c r="BU227" s="34"/>
      <c r="BV227" s="34"/>
      <c r="BW227" s="34"/>
      <c r="BX227" s="34"/>
      <c r="BY227" s="34"/>
      <c r="BZ227" s="34"/>
      <c r="CA227" s="20"/>
      <c r="CB227" s="20"/>
      <c r="CC227" s="29">
        <v>46003</v>
      </c>
      <c r="CD227" s="35" t="s">
        <v>2599</v>
      </c>
    </row>
    <row r="228" spans="1:82" s="18" customFormat="1" ht="66.75" customHeight="1" x14ac:dyDescent="0.25">
      <c r="A228" s="87">
        <v>224</v>
      </c>
      <c r="B228" s="141" t="s">
        <v>2600</v>
      </c>
      <c r="C228" s="6" t="s">
        <v>2601</v>
      </c>
      <c r="D228" s="6" t="s">
        <v>2602</v>
      </c>
      <c r="E228" s="75" t="s">
        <v>113</v>
      </c>
      <c r="F228" s="4" t="s">
        <v>81</v>
      </c>
      <c r="G228" s="33">
        <v>86</v>
      </c>
      <c r="H228" s="49" t="s">
        <v>775</v>
      </c>
      <c r="I228" s="49" t="s">
        <v>2295</v>
      </c>
      <c r="J228" s="6"/>
      <c r="K228" s="49"/>
      <c r="L228" s="49"/>
      <c r="M228" s="49" t="s">
        <v>136</v>
      </c>
      <c r="N228" s="49" t="s">
        <v>245</v>
      </c>
      <c r="O228" s="49" t="s">
        <v>246</v>
      </c>
      <c r="P228" s="6" t="s">
        <v>2586</v>
      </c>
      <c r="Q228" s="49"/>
      <c r="R228" s="75" t="s">
        <v>2587</v>
      </c>
      <c r="S228" s="33" t="s">
        <v>92</v>
      </c>
      <c r="T228" s="33" t="s">
        <v>2587</v>
      </c>
      <c r="U228" s="78">
        <v>1000</v>
      </c>
      <c r="V228" s="33" t="s">
        <v>94</v>
      </c>
      <c r="W228" s="33" t="s">
        <v>97</v>
      </c>
      <c r="X228" s="33">
        <v>2023</v>
      </c>
      <c r="Y228" s="33" t="s">
        <v>117</v>
      </c>
      <c r="Z228" s="33" t="s">
        <v>97</v>
      </c>
      <c r="AA228" s="33" t="s">
        <v>973</v>
      </c>
      <c r="AB228" s="49" t="s">
        <v>99</v>
      </c>
      <c r="AC228" s="48" t="s">
        <v>2603</v>
      </c>
      <c r="AD228" s="48" t="s">
        <v>2604</v>
      </c>
      <c r="AE228" s="49" t="s">
        <v>2590</v>
      </c>
      <c r="AF228" s="6" t="s">
        <v>121</v>
      </c>
      <c r="AG228" s="49" t="s">
        <v>178</v>
      </c>
      <c r="AH228" s="49" t="s">
        <v>178</v>
      </c>
      <c r="AI228" s="6" t="s">
        <v>2605</v>
      </c>
      <c r="AJ228" s="6" t="s">
        <v>2606</v>
      </c>
      <c r="AK228" s="33" t="s">
        <v>97</v>
      </c>
      <c r="AL228" s="33" t="s">
        <v>97</v>
      </c>
      <c r="AM228" s="5" t="s">
        <v>2607</v>
      </c>
      <c r="AN228" s="5"/>
      <c r="AO228" s="5"/>
      <c r="AP228" s="5" t="s">
        <v>2608</v>
      </c>
      <c r="AQ228" s="6" t="s">
        <v>2595</v>
      </c>
      <c r="AR228" s="20" t="s">
        <v>97</v>
      </c>
      <c r="AS228" s="20" t="s">
        <v>107</v>
      </c>
      <c r="AT228" s="20"/>
      <c r="AU228" s="24" t="s">
        <v>2609</v>
      </c>
      <c r="AV228" s="24"/>
      <c r="AW228" s="24"/>
      <c r="AX228" s="25" t="s">
        <v>2610</v>
      </c>
      <c r="AY228" s="24"/>
      <c r="AZ228" s="24" t="s">
        <v>2609</v>
      </c>
      <c r="BA228" s="24"/>
      <c r="BB228" s="24"/>
      <c r="BC228" s="25" t="s">
        <v>2610</v>
      </c>
      <c r="BD228" s="24"/>
      <c r="BE228" s="26">
        <v>0</v>
      </c>
      <c r="BF228" s="34">
        <f t="shared" si="45"/>
        <v>0</v>
      </c>
      <c r="BG228" s="34">
        <f t="shared" si="46"/>
        <v>0</v>
      </c>
      <c r="BH228" s="26">
        <v>0</v>
      </c>
      <c r="BI228" s="26">
        <v>0</v>
      </c>
      <c r="BJ228" s="20" t="s">
        <v>496</v>
      </c>
      <c r="BK228" s="27">
        <v>0</v>
      </c>
      <c r="BL228" s="27" t="s">
        <v>2598</v>
      </c>
      <c r="BM228" s="27" t="s">
        <v>2598</v>
      </c>
      <c r="BN228" s="26"/>
      <c r="BO228" s="34">
        <v>1</v>
      </c>
      <c r="BP228" s="34"/>
      <c r="BQ228" s="34"/>
      <c r="BR228" s="34"/>
      <c r="BS228" s="34"/>
      <c r="BT228" s="34"/>
      <c r="BU228" s="34"/>
      <c r="BV228" s="34"/>
      <c r="BW228" s="34"/>
      <c r="BX228" s="34"/>
      <c r="BY228" s="34"/>
      <c r="BZ228" s="34"/>
      <c r="CA228" s="20"/>
      <c r="CB228" s="20"/>
      <c r="CC228" s="29">
        <v>46003</v>
      </c>
      <c r="CD228" s="35" t="s">
        <v>2599</v>
      </c>
    </row>
    <row r="229" spans="1:82" s="18" customFormat="1" ht="66.75" customHeight="1" x14ac:dyDescent="0.25">
      <c r="A229" s="121">
        <v>225</v>
      </c>
      <c r="B229" s="141" t="s">
        <v>2611</v>
      </c>
      <c r="C229" s="6" t="s">
        <v>2612</v>
      </c>
      <c r="D229" s="6" t="s">
        <v>2613</v>
      </c>
      <c r="E229" s="75" t="s">
        <v>113</v>
      </c>
      <c r="F229" s="4" t="s">
        <v>81</v>
      </c>
      <c r="G229" s="33">
        <v>87</v>
      </c>
      <c r="H229" s="49" t="s">
        <v>423</v>
      </c>
      <c r="I229" s="49" t="s">
        <v>2295</v>
      </c>
      <c r="J229" s="6"/>
      <c r="K229" s="49"/>
      <c r="L229" s="49"/>
      <c r="M229" s="49" t="s">
        <v>136</v>
      </c>
      <c r="N229" s="49" t="s">
        <v>245</v>
      </c>
      <c r="O229" s="49" t="s">
        <v>246</v>
      </c>
      <c r="P229" s="6" t="s">
        <v>2586</v>
      </c>
      <c r="Q229" s="49"/>
      <c r="R229" s="75" t="s">
        <v>2587</v>
      </c>
      <c r="S229" s="33" t="s">
        <v>92</v>
      </c>
      <c r="T229" s="33" t="s">
        <v>2587</v>
      </c>
      <c r="U229" s="78">
        <v>1000</v>
      </c>
      <c r="V229" s="33" t="s">
        <v>94</v>
      </c>
      <c r="W229" s="33" t="s">
        <v>97</v>
      </c>
      <c r="X229" s="33">
        <v>2023</v>
      </c>
      <c r="Y229" s="33" t="s">
        <v>117</v>
      </c>
      <c r="Z229" s="33" t="s">
        <v>97</v>
      </c>
      <c r="AA229" s="33" t="s">
        <v>973</v>
      </c>
      <c r="AB229" s="49" t="s">
        <v>99</v>
      </c>
      <c r="AC229" s="48" t="s">
        <v>2614</v>
      </c>
      <c r="AD229" s="48" t="s">
        <v>2615</v>
      </c>
      <c r="AE229" s="49" t="s">
        <v>2590</v>
      </c>
      <c r="AF229" s="6" t="s">
        <v>121</v>
      </c>
      <c r="AG229" s="49" t="s">
        <v>178</v>
      </c>
      <c r="AH229" s="49" t="s">
        <v>178</v>
      </c>
      <c r="AI229" s="6" t="s">
        <v>2616</v>
      </c>
      <c r="AJ229" s="6" t="s">
        <v>2615</v>
      </c>
      <c r="AK229" s="33" t="s">
        <v>97</v>
      </c>
      <c r="AL229" s="33" t="s">
        <v>97</v>
      </c>
      <c r="AM229" s="5" t="s">
        <v>2607</v>
      </c>
      <c r="AN229" s="5"/>
      <c r="AO229" s="5"/>
      <c r="AP229" s="5" t="s">
        <v>2617</v>
      </c>
      <c r="AQ229" s="6" t="s">
        <v>2595</v>
      </c>
      <c r="AR229" s="20" t="s">
        <v>97</v>
      </c>
      <c r="AS229" s="20" t="s">
        <v>107</v>
      </c>
      <c r="AT229" s="20"/>
      <c r="AU229" s="24" t="s">
        <v>2618</v>
      </c>
      <c r="AV229" s="24"/>
      <c r="AW229" s="24"/>
      <c r="AX229" s="25" t="s">
        <v>2619</v>
      </c>
      <c r="AY229" s="24"/>
      <c r="AZ229" s="24" t="s">
        <v>2618</v>
      </c>
      <c r="BA229" s="24"/>
      <c r="BB229" s="24"/>
      <c r="BC229" s="25" t="s">
        <v>2619</v>
      </c>
      <c r="BD229" s="24"/>
      <c r="BE229" s="26">
        <v>0</v>
      </c>
      <c r="BF229" s="34">
        <f t="shared" si="45"/>
        <v>0</v>
      </c>
      <c r="BG229" s="34">
        <f t="shared" si="46"/>
        <v>0</v>
      </c>
      <c r="BH229" s="26">
        <v>0</v>
      </c>
      <c r="BI229" s="26">
        <v>0</v>
      </c>
      <c r="BJ229" s="20" t="s">
        <v>496</v>
      </c>
      <c r="BK229" s="27">
        <v>0</v>
      </c>
      <c r="BL229" s="27" t="s">
        <v>2598</v>
      </c>
      <c r="BM229" s="27" t="s">
        <v>2598</v>
      </c>
      <c r="BN229" s="26"/>
      <c r="BO229" s="34">
        <v>1</v>
      </c>
      <c r="BP229" s="34"/>
      <c r="BQ229" s="34"/>
      <c r="BR229" s="34"/>
      <c r="BS229" s="34"/>
      <c r="BT229" s="34"/>
      <c r="BU229" s="34"/>
      <c r="BV229" s="34"/>
      <c r="BW229" s="34"/>
      <c r="BX229" s="34"/>
      <c r="BY229" s="34"/>
      <c r="BZ229" s="34"/>
      <c r="CA229" s="20"/>
      <c r="CB229" s="20"/>
      <c r="CC229" s="29">
        <v>46003</v>
      </c>
      <c r="CD229" s="35" t="s">
        <v>2599</v>
      </c>
    </row>
    <row r="230" spans="1:82" s="18" customFormat="1" ht="66.75" customHeight="1" x14ac:dyDescent="0.25">
      <c r="A230" s="87">
        <v>226</v>
      </c>
      <c r="B230" s="141" t="s">
        <v>2620</v>
      </c>
      <c r="C230" s="6" t="s">
        <v>2621</v>
      </c>
      <c r="D230" s="6" t="s">
        <v>2622</v>
      </c>
      <c r="E230" s="75" t="s">
        <v>113</v>
      </c>
      <c r="F230" s="4" t="s">
        <v>81</v>
      </c>
      <c r="G230" s="33">
        <v>88</v>
      </c>
      <c r="H230" s="49" t="s">
        <v>775</v>
      </c>
      <c r="I230" s="49" t="s">
        <v>2295</v>
      </c>
      <c r="J230" s="6"/>
      <c r="K230" s="49"/>
      <c r="L230" s="49"/>
      <c r="M230" s="49" t="s">
        <v>136</v>
      </c>
      <c r="N230" s="49" t="s">
        <v>245</v>
      </c>
      <c r="O230" s="49" t="s">
        <v>246</v>
      </c>
      <c r="P230" s="6" t="s">
        <v>2586</v>
      </c>
      <c r="Q230" s="49"/>
      <c r="R230" s="75" t="s">
        <v>2587</v>
      </c>
      <c r="S230" s="33" t="s">
        <v>92</v>
      </c>
      <c r="T230" s="33" t="s">
        <v>2587</v>
      </c>
      <c r="U230" s="78">
        <v>1000</v>
      </c>
      <c r="V230" s="33" t="s">
        <v>94</v>
      </c>
      <c r="W230" s="33" t="s">
        <v>97</v>
      </c>
      <c r="X230" s="33">
        <v>2023</v>
      </c>
      <c r="Y230" s="33" t="s">
        <v>117</v>
      </c>
      <c r="Z230" s="33" t="s">
        <v>97</v>
      </c>
      <c r="AA230" s="33" t="s">
        <v>973</v>
      </c>
      <c r="AB230" s="49" t="s">
        <v>99</v>
      </c>
      <c r="AC230" s="48" t="s">
        <v>2623</v>
      </c>
      <c r="AD230" s="48" t="s">
        <v>2624</v>
      </c>
      <c r="AE230" s="49" t="s">
        <v>2590</v>
      </c>
      <c r="AF230" s="6" t="s">
        <v>121</v>
      </c>
      <c r="AG230" s="49" t="s">
        <v>178</v>
      </c>
      <c r="AH230" s="49" t="s">
        <v>178</v>
      </c>
      <c r="AI230" s="6" t="s">
        <v>2625</v>
      </c>
      <c r="AJ230" s="6" t="s">
        <v>2626</v>
      </c>
      <c r="AK230" s="33" t="s">
        <v>97</v>
      </c>
      <c r="AL230" s="33" t="s">
        <v>97</v>
      </c>
      <c r="AM230" s="5" t="s">
        <v>2607</v>
      </c>
      <c r="AN230" s="5"/>
      <c r="AO230" s="5"/>
      <c r="AP230" s="5" t="s">
        <v>2627</v>
      </c>
      <c r="AQ230" s="6" t="s">
        <v>2595</v>
      </c>
      <c r="AR230" s="20" t="s">
        <v>97</v>
      </c>
      <c r="AS230" s="20" t="s">
        <v>107</v>
      </c>
      <c r="AT230" s="20"/>
      <c r="AU230" s="24" t="s">
        <v>2618</v>
      </c>
      <c r="AV230" s="24"/>
      <c r="AW230" s="24"/>
      <c r="AX230" s="25" t="s">
        <v>2619</v>
      </c>
      <c r="AY230" s="24"/>
      <c r="AZ230" s="24" t="s">
        <v>2618</v>
      </c>
      <c r="BA230" s="24"/>
      <c r="BB230" s="24"/>
      <c r="BC230" s="25" t="s">
        <v>2619</v>
      </c>
      <c r="BD230" s="24"/>
      <c r="BE230" s="26">
        <v>0</v>
      </c>
      <c r="BF230" s="34">
        <f t="shared" si="45"/>
        <v>0</v>
      </c>
      <c r="BG230" s="34">
        <f t="shared" si="46"/>
        <v>0</v>
      </c>
      <c r="BH230" s="26">
        <v>0</v>
      </c>
      <c r="BI230" s="26">
        <v>0</v>
      </c>
      <c r="BJ230" s="20" t="s">
        <v>496</v>
      </c>
      <c r="BK230" s="27">
        <v>0</v>
      </c>
      <c r="BL230" s="27" t="s">
        <v>2598</v>
      </c>
      <c r="BM230" s="27" t="s">
        <v>2598</v>
      </c>
      <c r="BN230" s="26"/>
      <c r="BO230" s="34">
        <v>1</v>
      </c>
      <c r="BP230" s="34"/>
      <c r="BQ230" s="34"/>
      <c r="BR230" s="34"/>
      <c r="BS230" s="34"/>
      <c r="BT230" s="34"/>
      <c r="BU230" s="34"/>
      <c r="BV230" s="34"/>
      <c r="BW230" s="34"/>
      <c r="BX230" s="34"/>
      <c r="BY230" s="34"/>
      <c r="BZ230" s="34"/>
      <c r="CA230" s="20"/>
      <c r="CB230" s="20"/>
      <c r="CC230" s="29">
        <v>46003</v>
      </c>
      <c r="CD230" s="35" t="s">
        <v>2599</v>
      </c>
    </row>
    <row r="231" spans="1:82" s="18" customFormat="1" ht="66.75" customHeight="1" x14ac:dyDescent="0.25">
      <c r="A231" s="87">
        <v>227</v>
      </c>
      <c r="B231" s="141" t="s">
        <v>2628</v>
      </c>
      <c r="C231" s="6" t="s">
        <v>2629</v>
      </c>
      <c r="D231" s="6" t="s">
        <v>2630</v>
      </c>
      <c r="E231" s="75" t="s">
        <v>113</v>
      </c>
      <c r="F231" s="4" t="s">
        <v>81</v>
      </c>
      <c r="G231" s="33" t="s">
        <v>84</v>
      </c>
      <c r="H231" s="49" t="s">
        <v>775</v>
      </c>
      <c r="I231" s="49" t="s">
        <v>2295</v>
      </c>
      <c r="J231" s="6"/>
      <c r="K231" s="49"/>
      <c r="L231" s="49"/>
      <c r="M231" s="49" t="s">
        <v>88</v>
      </c>
      <c r="N231" s="49" t="s">
        <v>89</v>
      </c>
      <c r="O231" s="49" t="s">
        <v>116</v>
      </c>
      <c r="P231" s="6" t="s">
        <v>2382</v>
      </c>
      <c r="Q231" s="49"/>
      <c r="R231" s="75" t="s">
        <v>91</v>
      </c>
      <c r="S231" s="33" t="s">
        <v>92</v>
      </c>
      <c r="T231" s="33" t="s">
        <v>93</v>
      </c>
      <c r="U231" s="78">
        <v>100</v>
      </c>
      <c r="V231" s="33" t="s">
        <v>94</v>
      </c>
      <c r="W231" s="33" t="s">
        <v>95</v>
      </c>
      <c r="X231" s="33">
        <v>2023</v>
      </c>
      <c r="Y231" s="33" t="s">
        <v>117</v>
      </c>
      <c r="Z231" s="33" t="s">
        <v>185</v>
      </c>
      <c r="AA231" s="33" t="s">
        <v>1011</v>
      </c>
      <c r="AB231" s="49" t="s">
        <v>99</v>
      </c>
      <c r="AC231" s="48" t="s">
        <v>2631</v>
      </c>
      <c r="AD231" s="79" t="s">
        <v>2632</v>
      </c>
      <c r="AE231" s="6" t="s">
        <v>2633</v>
      </c>
      <c r="AF231" s="49" t="s">
        <v>121</v>
      </c>
      <c r="AG231" s="49" t="s">
        <v>218</v>
      </c>
      <c r="AH231" s="49" t="s">
        <v>123</v>
      </c>
      <c r="AI231" s="6" t="s">
        <v>2634</v>
      </c>
      <c r="AJ231" s="6" t="s">
        <v>2635</v>
      </c>
      <c r="AK231" s="33" t="s">
        <v>97</v>
      </c>
      <c r="AL231" s="33" t="s">
        <v>97</v>
      </c>
      <c r="AM231" s="5" t="s">
        <v>221</v>
      </c>
      <c r="AN231" s="5"/>
      <c r="AO231" s="5" t="s">
        <v>2636</v>
      </c>
      <c r="AP231" s="5" t="s">
        <v>2637</v>
      </c>
      <c r="AQ231" s="6" t="s">
        <v>2390</v>
      </c>
      <c r="AR231" s="20" t="s">
        <v>97</v>
      </c>
      <c r="AS231" s="20" t="s">
        <v>107</v>
      </c>
      <c r="AT231" s="20"/>
      <c r="AU231" s="24">
        <v>0.15</v>
      </c>
      <c r="AV231" s="24">
        <f>+AU231*80%</f>
        <v>0.12</v>
      </c>
      <c r="AW231" s="24">
        <f>+AU231*60%</f>
        <v>0.09</v>
      </c>
      <c r="AX231" s="25">
        <v>1E-4</v>
      </c>
      <c r="AY231" s="24">
        <v>0</v>
      </c>
      <c r="AZ231" s="24">
        <f t="shared" ref="AZ231:AZ244" si="47">+AU231*90%</f>
        <v>0.13500000000000001</v>
      </c>
      <c r="BA231" s="24">
        <f t="shared" ref="BA231:BA266" si="48">AZ231*80%</f>
        <v>0.10800000000000001</v>
      </c>
      <c r="BB231" s="24">
        <f t="shared" ref="BB231:BB266" si="49">AZ231*60%</f>
        <v>8.1000000000000003E-2</v>
      </c>
      <c r="BC231" s="25">
        <v>1E-4</v>
      </c>
      <c r="BD231" s="24">
        <v>0</v>
      </c>
      <c r="BE231" s="26">
        <v>0</v>
      </c>
      <c r="BF231" s="34">
        <f t="shared" si="45"/>
        <v>0</v>
      </c>
      <c r="BG231" s="34">
        <f t="shared" si="46"/>
        <v>0</v>
      </c>
      <c r="BH231" s="26">
        <v>0</v>
      </c>
      <c r="BI231" s="26">
        <v>0</v>
      </c>
      <c r="BJ231" s="27">
        <v>0.11600000000000001</v>
      </c>
      <c r="BK231" s="27">
        <v>0.12304106692813863</v>
      </c>
      <c r="BL231" s="27" t="s">
        <v>2638</v>
      </c>
      <c r="BM231" s="27" t="s">
        <v>2639</v>
      </c>
      <c r="BN231" s="26"/>
      <c r="BO231" s="34"/>
      <c r="BP231" s="34"/>
      <c r="BQ231" s="34"/>
      <c r="BR231" s="34"/>
      <c r="BS231" s="34"/>
      <c r="BT231" s="34"/>
      <c r="BU231" s="34"/>
      <c r="BV231" s="34"/>
      <c r="BW231" s="34"/>
      <c r="BX231" s="34"/>
      <c r="BY231" s="34"/>
      <c r="BZ231" s="34"/>
      <c r="CA231" s="20"/>
      <c r="CB231" s="20"/>
      <c r="CC231" s="29">
        <v>45747</v>
      </c>
      <c r="CD231" s="40" t="s">
        <v>2640</v>
      </c>
    </row>
    <row r="232" spans="1:82" s="18" customFormat="1" ht="66.75" customHeight="1" x14ac:dyDescent="0.25">
      <c r="A232" s="121">
        <v>228</v>
      </c>
      <c r="B232" s="141" t="s">
        <v>2641</v>
      </c>
      <c r="C232" s="6" t="s">
        <v>2642</v>
      </c>
      <c r="D232" s="6" t="s">
        <v>2643</v>
      </c>
      <c r="E232" s="75" t="s">
        <v>113</v>
      </c>
      <c r="F232" s="4" t="s">
        <v>81</v>
      </c>
      <c r="G232" s="33" t="s">
        <v>84</v>
      </c>
      <c r="H232" s="49" t="s">
        <v>775</v>
      </c>
      <c r="I232" s="49" t="s">
        <v>2295</v>
      </c>
      <c r="J232" s="6"/>
      <c r="K232" s="49"/>
      <c r="L232" s="49"/>
      <c r="M232" s="49" t="s">
        <v>88</v>
      </c>
      <c r="N232" s="49" t="s">
        <v>89</v>
      </c>
      <c r="O232" s="49" t="s">
        <v>116</v>
      </c>
      <c r="P232" s="6" t="s">
        <v>2382</v>
      </c>
      <c r="Q232" s="49"/>
      <c r="R232" s="75" t="s">
        <v>175</v>
      </c>
      <c r="S232" s="33" t="s">
        <v>92</v>
      </c>
      <c r="T232" s="33" t="s">
        <v>93</v>
      </c>
      <c r="U232" s="78">
        <v>100</v>
      </c>
      <c r="V232" s="33" t="s">
        <v>94</v>
      </c>
      <c r="W232" s="33" t="s">
        <v>95</v>
      </c>
      <c r="X232" s="33">
        <v>2023</v>
      </c>
      <c r="Y232" s="33" t="s">
        <v>117</v>
      </c>
      <c r="Z232" s="33" t="s">
        <v>185</v>
      </c>
      <c r="AA232" s="33" t="s">
        <v>1011</v>
      </c>
      <c r="AB232" s="49" t="s">
        <v>99</v>
      </c>
      <c r="AC232" s="48" t="s">
        <v>2644</v>
      </c>
      <c r="AD232" s="79" t="s">
        <v>7536</v>
      </c>
      <c r="AE232" s="6" t="s">
        <v>2633</v>
      </c>
      <c r="AF232" s="49" t="s">
        <v>121</v>
      </c>
      <c r="AG232" s="49" t="s">
        <v>178</v>
      </c>
      <c r="AH232" s="49" t="s">
        <v>123</v>
      </c>
      <c r="AI232" s="6" t="s">
        <v>2645</v>
      </c>
      <c r="AJ232" s="6" t="s">
        <v>2646</v>
      </c>
      <c r="AK232" s="33" t="s">
        <v>97</v>
      </c>
      <c r="AL232" s="33" t="s">
        <v>97</v>
      </c>
      <c r="AM232" s="5" t="s">
        <v>221</v>
      </c>
      <c r="AN232" s="5"/>
      <c r="AO232" s="5" t="s">
        <v>2647</v>
      </c>
      <c r="AP232" s="5" t="s">
        <v>2648</v>
      </c>
      <c r="AQ232" s="6" t="s">
        <v>2390</v>
      </c>
      <c r="AR232" s="20" t="s">
        <v>97</v>
      </c>
      <c r="AS232" s="20" t="s">
        <v>107</v>
      </c>
      <c r="AT232" s="20"/>
      <c r="AU232" s="24">
        <v>0.05</v>
      </c>
      <c r="AV232" s="24">
        <f>+AU232*80%</f>
        <v>4.0000000000000008E-2</v>
      </c>
      <c r="AW232" s="24">
        <f>+AU232*60%</f>
        <v>0.03</v>
      </c>
      <c r="AX232" s="25">
        <v>1E-4</v>
      </c>
      <c r="AY232" s="24">
        <v>0</v>
      </c>
      <c r="AZ232" s="24">
        <f t="shared" si="47"/>
        <v>4.5000000000000005E-2</v>
      </c>
      <c r="BA232" s="24">
        <f t="shared" si="48"/>
        <v>3.6000000000000004E-2</v>
      </c>
      <c r="BB232" s="24">
        <f t="shared" si="49"/>
        <v>2.7000000000000003E-2</v>
      </c>
      <c r="BC232" s="25">
        <v>1E-4</v>
      </c>
      <c r="BD232" s="24">
        <v>0</v>
      </c>
      <c r="BE232" s="26">
        <v>0</v>
      </c>
      <c r="BF232" s="34">
        <f t="shared" si="45"/>
        <v>0</v>
      </c>
      <c r="BG232" s="34">
        <f t="shared" si="46"/>
        <v>0</v>
      </c>
      <c r="BH232" s="26">
        <v>0</v>
      </c>
      <c r="BI232" s="26">
        <v>0</v>
      </c>
      <c r="BJ232" s="27">
        <v>0.03</v>
      </c>
      <c r="BK232" s="27">
        <v>3.8777514273004944E-2</v>
      </c>
      <c r="BL232" s="27" t="s">
        <v>2649</v>
      </c>
      <c r="BM232" s="27" t="s">
        <v>2650</v>
      </c>
      <c r="BN232" s="26"/>
      <c r="BO232" s="34"/>
      <c r="BP232" s="34"/>
      <c r="BQ232" s="34"/>
      <c r="BR232" s="34"/>
      <c r="BS232" s="34"/>
      <c r="BT232" s="34"/>
      <c r="BU232" s="34"/>
      <c r="BV232" s="34"/>
      <c r="BW232" s="34"/>
      <c r="BX232" s="34"/>
      <c r="BY232" s="34"/>
      <c r="BZ232" s="34"/>
      <c r="CA232" s="20"/>
      <c r="CB232" s="20"/>
      <c r="CC232" s="109">
        <v>46090</v>
      </c>
      <c r="CD232" s="40" t="s">
        <v>7532</v>
      </c>
    </row>
    <row r="233" spans="1:82" s="18" customFormat="1" ht="66.75" customHeight="1" x14ac:dyDescent="0.25">
      <c r="A233" s="87">
        <v>229</v>
      </c>
      <c r="B233" s="141" t="s">
        <v>2651</v>
      </c>
      <c r="C233" s="6" t="s">
        <v>2652</v>
      </c>
      <c r="D233" s="6" t="s">
        <v>2653</v>
      </c>
      <c r="E233" s="75" t="s">
        <v>113</v>
      </c>
      <c r="F233" s="4" t="s">
        <v>81</v>
      </c>
      <c r="G233" s="33">
        <v>96</v>
      </c>
      <c r="H233" s="49" t="s">
        <v>775</v>
      </c>
      <c r="I233" s="49" t="s">
        <v>2295</v>
      </c>
      <c r="J233" s="6"/>
      <c r="K233" s="49"/>
      <c r="L233" s="49"/>
      <c r="M233" s="49" t="s">
        <v>136</v>
      </c>
      <c r="N233" s="49" t="s">
        <v>89</v>
      </c>
      <c r="O233" s="49" t="s">
        <v>579</v>
      </c>
      <c r="P233" s="6" t="s">
        <v>2296</v>
      </c>
      <c r="Q233" s="49"/>
      <c r="R233" s="75" t="s">
        <v>91</v>
      </c>
      <c r="S233" s="33" t="s">
        <v>92</v>
      </c>
      <c r="T233" s="33" t="s">
        <v>93</v>
      </c>
      <c r="U233" s="78">
        <v>100</v>
      </c>
      <c r="V233" s="33" t="s">
        <v>94</v>
      </c>
      <c r="W233" s="33" t="s">
        <v>95</v>
      </c>
      <c r="X233" s="33">
        <v>2023</v>
      </c>
      <c r="Y233" s="33" t="s">
        <v>117</v>
      </c>
      <c r="Z233" s="33" t="s">
        <v>95</v>
      </c>
      <c r="AA233" s="33" t="s">
        <v>1011</v>
      </c>
      <c r="AB233" s="49" t="s">
        <v>99</v>
      </c>
      <c r="AC233" s="48" t="s">
        <v>2654</v>
      </c>
      <c r="AD233" s="79" t="s">
        <v>2655</v>
      </c>
      <c r="AE233" s="49" t="s">
        <v>2656</v>
      </c>
      <c r="AF233" s="49" t="s">
        <v>121</v>
      </c>
      <c r="AG233" s="49" t="s">
        <v>218</v>
      </c>
      <c r="AH233" s="49" t="s">
        <v>123</v>
      </c>
      <c r="AI233" s="6" t="s">
        <v>2657</v>
      </c>
      <c r="AJ233" s="6" t="s">
        <v>2658</v>
      </c>
      <c r="AK233" s="33" t="s">
        <v>97</v>
      </c>
      <c r="AL233" s="33" t="s">
        <v>97</v>
      </c>
      <c r="AM233" s="5" t="s">
        <v>221</v>
      </c>
      <c r="AN233" s="5"/>
      <c r="AO233" s="5" t="s">
        <v>2659</v>
      </c>
      <c r="AP233" s="5" t="s">
        <v>2660</v>
      </c>
      <c r="AQ233" s="6" t="s">
        <v>2390</v>
      </c>
      <c r="AR233" s="20" t="s">
        <v>97</v>
      </c>
      <c r="AS233" s="20" t="s">
        <v>107</v>
      </c>
      <c r="AT233" s="20"/>
      <c r="AU233" s="24">
        <v>0.05</v>
      </c>
      <c r="AV233" s="24">
        <f>+AU233*80%</f>
        <v>4.0000000000000008E-2</v>
      </c>
      <c r="AW233" s="24">
        <f>+AU233*60%</f>
        <v>0.03</v>
      </c>
      <c r="AX233" s="25">
        <v>1E-4</v>
      </c>
      <c r="AY233" s="24">
        <v>0</v>
      </c>
      <c r="AZ233" s="24">
        <f t="shared" si="47"/>
        <v>4.5000000000000005E-2</v>
      </c>
      <c r="BA233" s="24">
        <f t="shared" si="48"/>
        <v>3.6000000000000004E-2</v>
      </c>
      <c r="BB233" s="24">
        <f t="shared" si="49"/>
        <v>2.7000000000000003E-2</v>
      </c>
      <c r="BC233" s="25">
        <v>1E-4</v>
      </c>
      <c r="BD233" s="24">
        <v>0</v>
      </c>
      <c r="BE233" s="26">
        <v>0</v>
      </c>
      <c r="BF233" s="34">
        <f t="shared" si="45"/>
        <v>0</v>
      </c>
      <c r="BG233" s="34">
        <f t="shared" si="46"/>
        <v>0</v>
      </c>
      <c r="BH233" s="26">
        <v>0</v>
      </c>
      <c r="BI233" s="26">
        <v>0</v>
      </c>
      <c r="BJ233" s="20" t="s">
        <v>496</v>
      </c>
      <c r="BK233" s="27">
        <v>6.0829920428134279E-3</v>
      </c>
      <c r="BL233" s="27" t="s">
        <v>2661</v>
      </c>
      <c r="BM233" s="27" t="s">
        <v>1640</v>
      </c>
      <c r="BN233" s="26"/>
      <c r="BO233" s="34">
        <v>1</v>
      </c>
      <c r="BP233" s="34"/>
      <c r="BQ233" s="34"/>
      <c r="BR233" s="34"/>
      <c r="BS233" s="34"/>
      <c r="BT233" s="34"/>
      <c r="BU233" s="34"/>
      <c r="BV233" s="34"/>
      <c r="BW233" s="34"/>
      <c r="BX233" s="34"/>
      <c r="BY233" s="34"/>
      <c r="BZ233" s="34"/>
      <c r="CA233" s="20"/>
      <c r="CB233" s="20"/>
      <c r="CC233" s="29">
        <v>46003</v>
      </c>
      <c r="CD233" s="40" t="s">
        <v>2484</v>
      </c>
    </row>
    <row r="234" spans="1:82" s="18" customFormat="1" ht="66.75" customHeight="1" x14ac:dyDescent="0.25">
      <c r="A234" s="87">
        <v>230</v>
      </c>
      <c r="B234" s="141" t="s">
        <v>2662</v>
      </c>
      <c r="C234" s="6" t="s">
        <v>2663</v>
      </c>
      <c r="D234" s="6" t="s">
        <v>2664</v>
      </c>
      <c r="E234" s="75" t="s">
        <v>113</v>
      </c>
      <c r="F234" s="4" t="s">
        <v>81</v>
      </c>
      <c r="G234" s="33" t="s">
        <v>84</v>
      </c>
      <c r="H234" s="49" t="s">
        <v>775</v>
      </c>
      <c r="I234" s="49" t="s">
        <v>2295</v>
      </c>
      <c r="J234" s="6"/>
      <c r="K234" s="49"/>
      <c r="L234" s="49"/>
      <c r="M234" s="49" t="s">
        <v>88</v>
      </c>
      <c r="N234" s="49" t="s">
        <v>89</v>
      </c>
      <c r="O234" s="49" t="s">
        <v>579</v>
      </c>
      <c r="P234" s="6" t="s">
        <v>2296</v>
      </c>
      <c r="Q234" s="49"/>
      <c r="R234" s="75" t="s">
        <v>175</v>
      </c>
      <c r="S234" s="33" t="s">
        <v>92</v>
      </c>
      <c r="T234" s="33" t="s">
        <v>93</v>
      </c>
      <c r="U234" s="78">
        <v>100</v>
      </c>
      <c r="V234" s="33" t="s">
        <v>94</v>
      </c>
      <c r="W234" s="33" t="s">
        <v>95</v>
      </c>
      <c r="X234" s="33">
        <v>2023</v>
      </c>
      <c r="Y234" s="33" t="s">
        <v>117</v>
      </c>
      <c r="Z234" s="33" t="s">
        <v>95</v>
      </c>
      <c r="AA234" s="33" t="s">
        <v>1011</v>
      </c>
      <c r="AB234" s="49" t="s">
        <v>99</v>
      </c>
      <c r="AC234" s="48" t="s">
        <v>2665</v>
      </c>
      <c r="AD234" s="79" t="s">
        <v>2655</v>
      </c>
      <c r="AE234" s="6" t="s">
        <v>2656</v>
      </c>
      <c r="AF234" s="6" t="s">
        <v>121</v>
      </c>
      <c r="AG234" s="6" t="s">
        <v>178</v>
      </c>
      <c r="AH234" s="49" t="s">
        <v>123</v>
      </c>
      <c r="AI234" s="6" t="s">
        <v>2666</v>
      </c>
      <c r="AJ234" s="6" t="s">
        <v>2667</v>
      </c>
      <c r="AK234" s="33" t="s">
        <v>97</v>
      </c>
      <c r="AL234" s="33" t="s">
        <v>97</v>
      </c>
      <c r="AM234" s="5" t="s">
        <v>221</v>
      </c>
      <c r="AN234" s="5"/>
      <c r="AO234" s="5" t="s">
        <v>2668</v>
      </c>
      <c r="AP234" s="5" t="s">
        <v>2669</v>
      </c>
      <c r="AQ234" s="6" t="s">
        <v>2390</v>
      </c>
      <c r="AR234" s="20" t="s">
        <v>97</v>
      </c>
      <c r="AS234" s="20" t="s">
        <v>107</v>
      </c>
      <c r="AT234" s="20"/>
      <c r="AU234" s="24">
        <v>0.01</v>
      </c>
      <c r="AV234" s="24">
        <v>8.0000000000000002E-3</v>
      </c>
      <c r="AW234" s="24">
        <v>6.0000000000000001E-3</v>
      </c>
      <c r="AX234" s="25">
        <v>1E-4</v>
      </c>
      <c r="AY234" s="24">
        <v>0</v>
      </c>
      <c r="AZ234" s="24">
        <f t="shared" si="47"/>
        <v>9.0000000000000011E-3</v>
      </c>
      <c r="BA234" s="24">
        <f t="shared" si="48"/>
        <v>7.2000000000000015E-3</v>
      </c>
      <c r="BB234" s="24">
        <f t="shared" si="49"/>
        <v>5.4000000000000003E-3</v>
      </c>
      <c r="BC234" s="25">
        <v>1E-4</v>
      </c>
      <c r="BD234" s="24">
        <v>0</v>
      </c>
      <c r="BE234" s="26">
        <v>0</v>
      </c>
      <c r="BF234" s="34">
        <f t="shared" si="45"/>
        <v>0</v>
      </c>
      <c r="BG234" s="34">
        <f t="shared" si="46"/>
        <v>0</v>
      </c>
      <c r="BH234" s="26">
        <v>0</v>
      </c>
      <c r="BI234" s="26">
        <v>0</v>
      </c>
      <c r="BJ234" s="20" t="s">
        <v>496</v>
      </c>
      <c r="BK234" s="27">
        <v>1.2407377576604366E-3</v>
      </c>
      <c r="BL234" s="27" t="s">
        <v>2670</v>
      </c>
      <c r="BM234" s="27" t="s">
        <v>2671</v>
      </c>
      <c r="BN234" s="26"/>
      <c r="BO234" s="34"/>
      <c r="BP234" s="34"/>
      <c r="BQ234" s="34"/>
      <c r="BR234" s="34"/>
      <c r="BS234" s="34"/>
      <c r="BT234" s="34"/>
      <c r="BU234" s="34"/>
      <c r="BV234" s="34"/>
      <c r="BW234" s="34"/>
      <c r="BX234" s="34"/>
      <c r="BY234" s="34"/>
      <c r="BZ234" s="34"/>
      <c r="CA234" s="20"/>
      <c r="CB234" s="20"/>
      <c r="CC234" s="29">
        <v>46003</v>
      </c>
      <c r="CD234" s="40" t="s">
        <v>2484</v>
      </c>
    </row>
    <row r="235" spans="1:82" s="18" customFormat="1" ht="66.75" customHeight="1" x14ac:dyDescent="0.25">
      <c r="A235" s="121">
        <v>231</v>
      </c>
      <c r="B235" s="141" t="s">
        <v>2672</v>
      </c>
      <c r="C235" s="6" t="s">
        <v>2673</v>
      </c>
      <c r="D235" s="6" t="s">
        <v>2674</v>
      </c>
      <c r="E235" s="75" t="s">
        <v>113</v>
      </c>
      <c r="F235" s="4" t="s">
        <v>81</v>
      </c>
      <c r="G235" s="33">
        <v>94</v>
      </c>
      <c r="H235" s="49" t="s">
        <v>775</v>
      </c>
      <c r="I235" s="49" t="s">
        <v>2295</v>
      </c>
      <c r="J235" s="6"/>
      <c r="K235" s="49"/>
      <c r="L235" s="49"/>
      <c r="M235" s="49" t="s">
        <v>136</v>
      </c>
      <c r="N235" s="49" t="s">
        <v>89</v>
      </c>
      <c r="O235" s="49" t="s">
        <v>1444</v>
      </c>
      <c r="P235" s="6" t="s">
        <v>2675</v>
      </c>
      <c r="Q235" s="49"/>
      <c r="R235" s="75" t="s">
        <v>91</v>
      </c>
      <c r="S235" s="33" t="s">
        <v>92</v>
      </c>
      <c r="T235" s="33" t="s">
        <v>93</v>
      </c>
      <c r="U235" s="78">
        <v>100</v>
      </c>
      <c r="V235" s="33" t="s">
        <v>94</v>
      </c>
      <c r="W235" s="33" t="s">
        <v>95</v>
      </c>
      <c r="X235" s="33">
        <v>2023</v>
      </c>
      <c r="Y235" s="33" t="s">
        <v>117</v>
      </c>
      <c r="Z235" s="33" t="s">
        <v>97</v>
      </c>
      <c r="AA235" s="33" t="s">
        <v>1011</v>
      </c>
      <c r="AB235" s="49" t="s">
        <v>99</v>
      </c>
      <c r="AC235" s="48" t="s">
        <v>2676</v>
      </c>
      <c r="AD235" s="48" t="s">
        <v>2677</v>
      </c>
      <c r="AE235" s="6" t="s">
        <v>2678</v>
      </c>
      <c r="AF235" s="6" t="s">
        <v>2633</v>
      </c>
      <c r="AG235" s="6" t="s">
        <v>178</v>
      </c>
      <c r="AH235" s="49" t="s">
        <v>178</v>
      </c>
      <c r="AI235" s="6" t="s">
        <v>2679</v>
      </c>
      <c r="AJ235" s="6" t="s">
        <v>2645</v>
      </c>
      <c r="AK235" s="33" t="s">
        <v>97</v>
      </c>
      <c r="AL235" s="33" t="s">
        <v>97</v>
      </c>
      <c r="AM235" s="5"/>
      <c r="AN235" s="5"/>
      <c r="AO235" s="5" t="s">
        <v>2680</v>
      </c>
      <c r="AP235" s="5" t="s">
        <v>2681</v>
      </c>
      <c r="AQ235" s="6" t="s">
        <v>2390</v>
      </c>
      <c r="AR235" s="20" t="s">
        <v>97</v>
      </c>
      <c r="AS235" s="20" t="s">
        <v>107</v>
      </c>
      <c r="AT235" s="20"/>
      <c r="AU235" s="24">
        <v>0.4</v>
      </c>
      <c r="AV235" s="24">
        <f>+AU235*80%</f>
        <v>0.32000000000000006</v>
      </c>
      <c r="AW235" s="24">
        <f>+AU235*60%</f>
        <v>0.24</v>
      </c>
      <c r="AX235" s="25">
        <v>1E-4</v>
      </c>
      <c r="AY235" s="24">
        <v>0</v>
      </c>
      <c r="AZ235" s="24">
        <f t="shared" si="47"/>
        <v>0.36000000000000004</v>
      </c>
      <c r="BA235" s="24">
        <f t="shared" si="48"/>
        <v>0.28800000000000003</v>
      </c>
      <c r="BB235" s="24">
        <f t="shared" si="49"/>
        <v>0.21600000000000003</v>
      </c>
      <c r="BC235" s="25">
        <v>1E-4</v>
      </c>
      <c r="BD235" s="24">
        <v>0</v>
      </c>
      <c r="BE235" s="26">
        <v>0</v>
      </c>
      <c r="BF235" s="34">
        <f t="shared" si="45"/>
        <v>0</v>
      </c>
      <c r="BG235" s="34">
        <f t="shared" si="46"/>
        <v>0</v>
      </c>
      <c r="BH235" s="26">
        <v>0</v>
      </c>
      <c r="BI235" s="26">
        <v>0</v>
      </c>
      <c r="BJ235" s="20" t="s">
        <v>496</v>
      </c>
      <c r="BK235" s="27">
        <v>0.27637309067273319</v>
      </c>
      <c r="BL235" s="27" t="s">
        <v>2682</v>
      </c>
      <c r="BM235" s="27" t="s">
        <v>2683</v>
      </c>
      <c r="BN235" s="26"/>
      <c r="BO235" s="34">
        <v>1</v>
      </c>
      <c r="BP235" s="34"/>
      <c r="BQ235" s="34"/>
      <c r="BR235" s="34"/>
      <c r="BS235" s="34"/>
      <c r="BT235" s="34"/>
      <c r="BU235" s="34"/>
      <c r="BV235" s="34"/>
      <c r="BW235" s="34"/>
      <c r="BX235" s="34"/>
      <c r="BY235" s="34"/>
      <c r="BZ235" s="34"/>
      <c r="CA235" s="20"/>
      <c r="CB235" s="20"/>
      <c r="CC235" s="29">
        <v>45747</v>
      </c>
      <c r="CD235" s="35" t="s">
        <v>2684</v>
      </c>
    </row>
    <row r="236" spans="1:82" s="18" customFormat="1" ht="66.75" customHeight="1" x14ac:dyDescent="0.25">
      <c r="A236" s="87">
        <v>232</v>
      </c>
      <c r="B236" s="141" t="s">
        <v>2685</v>
      </c>
      <c r="C236" s="6" t="s">
        <v>2686</v>
      </c>
      <c r="D236" s="6" t="s">
        <v>2687</v>
      </c>
      <c r="E236" s="75" t="s">
        <v>113</v>
      </c>
      <c r="F236" s="4" t="s">
        <v>81</v>
      </c>
      <c r="G236" s="33">
        <v>107</v>
      </c>
      <c r="H236" s="49" t="s">
        <v>775</v>
      </c>
      <c r="I236" s="49" t="s">
        <v>2295</v>
      </c>
      <c r="J236" s="6"/>
      <c r="K236" s="49"/>
      <c r="L236" s="49"/>
      <c r="M236" s="49" t="s">
        <v>136</v>
      </c>
      <c r="N236" s="49" t="s">
        <v>245</v>
      </c>
      <c r="O236" s="49" t="s">
        <v>246</v>
      </c>
      <c r="P236" s="6" t="s">
        <v>2688</v>
      </c>
      <c r="Q236" s="49"/>
      <c r="R236" s="75" t="s">
        <v>91</v>
      </c>
      <c r="S236" s="33" t="s">
        <v>92</v>
      </c>
      <c r="T236" s="33" t="s">
        <v>93</v>
      </c>
      <c r="U236" s="78">
        <v>100</v>
      </c>
      <c r="V236" s="33" t="s">
        <v>94</v>
      </c>
      <c r="W236" s="33" t="s">
        <v>95</v>
      </c>
      <c r="X236" s="33">
        <v>2023</v>
      </c>
      <c r="Y236" s="33" t="s">
        <v>117</v>
      </c>
      <c r="Z236" s="33" t="s">
        <v>97</v>
      </c>
      <c r="AA236" s="33" t="s">
        <v>98</v>
      </c>
      <c r="AB236" s="49" t="s">
        <v>99</v>
      </c>
      <c r="AC236" s="48" t="s">
        <v>2689</v>
      </c>
      <c r="AD236" s="48" t="s">
        <v>2690</v>
      </c>
      <c r="AE236" s="6" t="s">
        <v>2691</v>
      </c>
      <c r="AF236" s="6" t="s">
        <v>2692</v>
      </c>
      <c r="AG236" s="6" t="s">
        <v>178</v>
      </c>
      <c r="AH236" s="49" t="s">
        <v>178</v>
      </c>
      <c r="AI236" s="6" t="s">
        <v>2693</v>
      </c>
      <c r="AJ236" s="6" t="s">
        <v>2693</v>
      </c>
      <c r="AK236" s="33" t="s">
        <v>97</v>
      </c>
      <c r="AL236" s="33" t="s">
        <v>97</v>
      </c>
      <c r="AM236" s="5"/>
      <c r="AN236" s="5"/>
      <c r="AO236" s="5" t="s">
        <v>2694</v>
      </c>
      <c r="AP236" s="5" t="s">
        <v>2694</v>
      </c>
      <c r="AQ236" s="6" t="s">
        <v>87</v>
      </c>
      <c r="AR236" s="20" t="s">
        <v>97</v>
      </c>
      <c r="AS236" s="20" t="s">
        <v>107</v>
      </c>
      <c r="AT236" s="20"/>
      <c r="AU236" s="24">
        <v>0.01</v>
      </c>
      <c r="AV236" s="24">
        <v>8.0000000000000002E-3</v>
      </c>
      <c r="AW236" s="24">
        <v>6.0000000000000001E-3</v>
      </c>
      <c r="AX236" s="25">
        <v>1E-4</v>
      </c>
      <c r="AY236" s="24">
        <v>0</v>
      </c>
      <c r="AZ236" s="24">
        <f t="shared" si="47"/>
        <v>9.0000000000000011E-3</v>
      </c>
      <c r="BA236" s="24">
        <f t="shared" si="48"/>
        <v>7.2000000000000015E-3</v>
      </c>
      <c r="BB236" s="24">
        <f t="shared" si="49"/>
        <v>5.4000000000000003E-3</v>
      </c>
      <c r="BC236" s="25">
        <v>1E-4</v>
      </c>
      <c r="BD236" s="24">
        <v>0</v>
      </c>
      <c r="BE236" s="26">
        <v>0</v>
      </c>
      <c r="BF236" s="34">
        <f t="shared" si="45"/>
        <v>0</v>
      </c>
      <c r="BG236" s="34">
        <f t="shared" si="46"/>
        <v>0</v>
      </c>
      <c r="BH236" s="26">
        <v>0</v>
      </c>
      <c r="BI236" s="26">
        <v>0</v>
      </c>
      <c r="BJ236" s="27">
        <v>1.2E-2</v>
      </c>
      <c r="BK236" s="27">
        <v>7.7365574410348864E-3</v>
      </c>
      <c r="BL236" s="27" t="s">
        <v>2695</v>
      </c>
      <c r="BM236" s="27" t="s">
        <v>2696</v>
      </c>
      <c r="BN236" s="26"/>
      <c r="BO236" s="34">
        <v>1</v>
      </c>
      <c r="BP236" s="34"/>
      <c r="BQ236" s="34"/>
      <c r="BR236" s="34"/>
      <c r="BS236" s="34"/>
      <c r="BT236" s="34"/>
      <c r="BU236" s="34"/>
      <c r="BV236" s="34"/>
      <c r="BW236" s="34"/>
      <c r="BX236" s="34"/>
      <c r="BY236" s="34"/>
      <c r="BZ236" s="34"/>
      <c r="CA236" s="20"/>
      <c r="CB236" s="20"/>
      <c r="CC236" s="29">
        <v>46003</v>
      </c>
      <c r="CD236" s="35" t="s">
        <v>254</v>
      </c>
    </row>
    <row r="237" spans="1:82" s="18" customFormat="1" ht="66.75" customHeight="1" x14ac:dyDescent="0.25">
      <c r="A237" s="87">
        <v>233</v>
      </c>
      <c r="B237" s="141" t="s">
        <v>2697</v>
      </c>
      <c r="C237" s="6" t="s">
        <v>2698</v>
      </c>
      <c r="D237" s="6" t="s">
        <v>2699</v>
      </c>
      <c r="E237" s="75" t="s">
        <v>113</v>
      </c>
      <c r="F237" s="4" t="s">
        <v>81</v>
      </c>
      <c r="G237" s="33">
        <v>104</v>
      </c>
      <c r="H237" s="49" t="s">
        <v>775</v>
      </c>
      <c r="I237" s="49" t="s">
        <v>2295</v>
      </c>
      <c r="J237" s="6"/>
      <c r="K237" s="49"/>
      <c r="L237" s="49"/>
      <c r="M237" s="49" t="s">
        <v>136</v>
      </c>
      <c r="N237" s="49" t="s">
        <v>245</v>
      </c>
      <c r="O237" s="49" t="s">
        <v>246</v>
      </c>
      <c r="P237" s="6" t="s">
        <v>2700</v>
      </c>
      <c r="Q237" s="49"/>
      <c r="R237" s="75" t="s">
        <v>91</v>
      </c>
      <c r="S237" s="33" t="s">
        <v>92</v>
      </c>
      <c r="T237" s="33" t="s">
        <v>93</v>
      </c>
      <c r="U237" s="78">
        <v>100</v>
      </c>
      <c r="V237" s="33" t="s">
        <v>94</v>
      </c>
      <c r="W237" s="33" t="s">
        <v>95</v>
      </c>
      <c r="X237" s="33">
        <v>2023</v>
      </c>
      <c r="Y237" s="33" t="s">
        <v>117</v>
      </c>
      <c r="Z237" s="33" t="s">
        <v>97</v>
      </c>
      <c r="AA237" s="33" t="s">
        <v>98</v>
      </c>
      <c r="AB237" s="49" t="s">
        <v>99</v>
      </c>
      <c r="AC237" s="48" t="s">
        <v>2701</v>
      </c>
      <c r="AD237" s="48" t="s">
        <v>2702</v>
      </c>
      <c r="AE237" s="6" t="s">
        <v>2703</v>
      </c>
      <c r="AF237" s="6" t="s">
        <v>2704</v>
      </c>
      <c r="AG237" s="6" t="s">
        <v>178</v>
      </c>
      <c r="AH237" s="49" t="s">
        <v>178</v>
      </c>
      <c r="AI237" s="6" t="s">
        <v>2693</v>
      </c>
      <c r="AJ237" s="6" t="s">
        <v>2693</v>
      </c>
      <c r="AK237" s="33" t="s">
        <v>97</v>
      </c>
      <c r="AL237" s="33" t="s">
        <v>97</v>
      </c>
      <c r="AM237" s="5"/>
      <c r="AN237" s="5"/>
      <c r="AO237" s="5" t="s">
        <v>2694</v>
      </c>
      <c r="AP237" s="5" t="s">
        <v>2694</v>
      </c>
      <c r="AQ237" s="6" t="s">
        <v>87</v>
      </c>
      <c r="AR237" s="20" t="s">
        <v>97</v>
      </c>
      <c r="AS237" s="20" t="s">
        <v>107</v>
      </c>
      <c r="AT237" s="20"/>
      <c r="AU237" s="24">
        <v>0.2</v>
      </c>
      <c r="AV237" s="24">
        <f t="shared" ref="AV237:AV266" si="50">+AU237*80%</f>
        <v>0.16000000000000003</v>
      </c>
      <c r="AW237" s="24">
        <f t="shared" ref="AW237:AW266" si="51">+AU237*60%</f>
        <v>0.12</v>
      </c>
      <c r="AX237" s="25">
        <v>1E-4</v>
      </c>
      <c r="AY237" s="24">
        <v>0</v>
      </c>
      <c r="AZ237" s="24">
        <f t="shared" si="47"/>
        <v>0.18000000000000002</v>
      </c>
      <c r="BA237" s="24">
        <f t="shared" si="48"/>
        <v>0.14400000000000002</v>
      </c>
      <c r="BB237" s="24">
        <f t="shared" si="49"/>
        <v>0.10800000000000001</v>
      </c>
      <c r="BC237" s="25">
        <v>1E-4</v>
      </c>
      <c r="BD237" s="24">
        <v>0</v>
      </c>
      <c r="BE237" s="26">
        <v>0</v>
      </c>
      <c r="BF237" s="34">
        <f t="shared" si="45"/>
        <v>0</v>
      </c>
      <c r="BG237" s="34">
        <f t="shared" si="46"/>
        <v>0</v>
      </c>
      <c r="BH237" s="26">
        <v>0</v>
      </c>
      <c r="BI237" s="26">
        <v>0</v>
      </c>
      <c r="BJ237" s="27">
        <v>1.0999999999999999E-2</v>
      </c>
      <c r="BK237" s="27">
        <v>8.0471211587109081E-3</v>
      </c>
      <c r="BL237" s="27" t="s">
        <v>2705</v>
      </c>
      <c r="BM237" s="27" t="s">
        <v>1640</v>
      </c>
      <c r="BN237" s="26"/>
      <c r="BO237" s="34">
        <v>1</v>
      </c>
      <c r="BP237" s="34"/>
      <c r="BQ237" s="34"/>
      <c r="BR237" s="34"/>
      <c r="BS237" s="34"/>
      <c r="BT237" s="34"/>
      <c r="BU237" s="34"/>
      <c r="BV237" s="34"/>
      <c r="BW237" s="34"/>
      <c r="BX237" s="34"/>
      <c r="BY237" s="34"/>
      <c r="BZ237" s="34"/>
      <c r="CA237" s="20"/>
      <c r="CB237" s="20"/>
      <c r="CC237" s="29">
        <v>46003</v>
      </c>
      <c r="CD237" s="35" t="s">
        <v>254</v>
      </c>
    </row>
    <row r="238" spans="1:82" s="18" customFormat="1" ht="66.75" customHeight="1" x14ac:dyDescent="0.25">
      <c r="A238" s="121">
        <v>234</v>
      </c>
      <c r="B238" s="141" t="s">
        <v>2706</v>
      </c>
      <c r="C238" s="6" t="s">
        <v>2707</v>
      </c>
      <c r="D238" s="6" t="s">
        <v>2708</v>
      </c>
      <c r="E238" s="75" t="s">
        <v>174</v>
      </c>
      <c r="F238" s="4" t="s">
        <v>81</v>
      </c>
      <c r="G238" s="33" t="s">
        <v>84</v>
      </c>
      <c r="H238" s="49" t="s">
        <v>775</v>
      </c>
      <c r="I238" s="49" t="s">
        <v>2295</v>
      </c>
      <c r="J238" s="6" t="s">
        <v>115</v>
      </c>
      <c r="K238" s="49"/>
      <c r="L238" s="49"/>
      <c r="M238" s="49" t="s">
        <v>136</v>
      </c>
      <c r="N238" s="49" t="s">
        <v>89</v>
      </c>
      <c r="O238" s="49" t="s">
        <v>246</v>
      </c>
      <c r="P238" s="6" t="s">
        <v>2700</v>
      </c>
      <c r="Q238" s="49"/>
      <c r="R238" s="75" t="s">
        <v>91</v>
      </c>
      <c r="S238" s="33" t="s">
        <v>92</v>
      </c>
      <c r="T238" s="33" t="s">
        <v>93</v>
      </c>
      <c r="U238" s="78">
        <v>100</v>
      </c>
      <c r="V238" s="33" t="s">
        <v>94</v>
      </c>
      <c r="W238" s="33" t="s">
        <v>95</v>
      </c>
      <c r="X238" s="33">
        <v>2023</v>
      </c>
      <c r="Y238" s="33" t="s">
        <v>117</v>
      </c>
      <c r="Z238" s="33" t="s">
        <v>97</v>
      </c>
      <c r="AA238" s="33" t="s">
        <v>98</v>
      </c>
      <c r="AB238" s="49" t="s">
        <v>99</v>
      </c>
      <c r="AC238" s="48" t="s">
        <v>2709</v>
      </c>
      <c r="AD238" s="48" t="s">
        <v>2710</v>
      </c>
      <c r="AE238" s="6" t="s">
        <v>2711</v>
      </c>
      <c r="AF238" s="6" t="s">
        <v>2712</v>
      </c>
      <c r="AG238" s="6" t="s">
        <v>1042</v>
      </c>
      <c r="AH238" s="6" t="s">
        <v>1042</v>
      </c>
      <c r="AI238" s="6" t="s">
        <v>2713</v>
      </c>
      <c r="AJ238" s="6" t="s">
        <v>2714</v>
      </c>
      <c r="AK238" s="33" t="s">
        <v>97</v>
      </c>
      <c r="AL238" s="33" t="s">
        <v>97</v>
      </c>
      <c r="AM238" s="5"/>
      <c r="AN238" s="5"/>
      <c r="AO238" s="5" t="s">
        <v>2694</v>
      </c>
      <c r="AP238" s="5" t="s">
        <v>2694</v>
      </c>
      <c r="AQ238" s="6" t="s">
        <v>2715</v>
      </c>
      <c r="AR238" s="20" t="s">
        <v>97</v>
      </c>
      <c r="AS238" s="20" t="s">
        <v>107</v>
      </c>
      <c r="AT238" s="20"/>
      <c r="AU238" s="24">
        <v>0.9</v>
      </c>
      <c r="AV238" s="24">
        <f t="shared" si="50"/>
        <v>0.72000000000000008</v>
      </c>
      <c r="AW238" s="24">
        <f t="shared" si="51"/>
        <v>0.54</v>
      </c>
      <c r="AX238" s="25">
        <v>1E-4</v>
      </c>
      <c r="AY238" s="24">
        <v>0</v>
      </c>
      <c r="AZ238" s="24">
        <f t="shared" si="47"/>
        <v>0.81</v>
      </c>
      <c r="BA238" s="24">
        <f t="shared" si="48"/>
        <v>0.64800000000000013</v>
      </c>
      <c r="BB238" s="24">
        <f t="shared" si="49"/>
        <v>0.48599999999999999</v>
      </c>
      <c r="BC238" s="25">
        <v>1E-4</v>
      </c>
      <c r="BD238" s="24">
        <v>0</v>
      </c>
      <c r="BE238" s="34">
        <v>20</v>
      </c>
      <c r="BF238" s="34">
        <f t="shared" si="45"/>
        <v>16</v>
      </c>
      <c r="BG238" s="34">
        <f t="shared" si="46"/>
        <v>12</v>
      </c>
      <c r="BH238" s="26">
        <v>1</v>
      </c>
      <c r="BI238" s="26">
        <v>0</v>
      </c>
      <c r="BJ238" s="20" t="s">
        <v>496</v>
      </c>
      <c r="BK238" s="27">
        <v>0.67406174893695692</v>
      </c>
      <c r="BL238" s="27" t="s">
        <v>2716</v>
      </c>
      <c r="BM238" s="27" t="s">
        <v>2717</v>
      </c>
      <c r="BN238" s="26"/>
      <c r="BO238" s="34"/>
      <c r="BP238" s="34"/>
      <c r="BQ238" s="34"/>
      <c r="BR238" s="34"/>
      <c r="BS238" s="34"/>
      <c r="BT238" s="34"/>
      <c r="BU238" s="34"/>
      <c r="BV238" s="34"/>
      <c r="BW238" s="34"/>
      <c r="BX238" s="34"/>
      <c r="BY238" s="34"/>
      <c r="BZ238" s="34">
        <v>1</v>
      </c>
      <c r="CA238" s="20" t="s">
        <v>2295</v>
      </c>
      <c r="CB238" s="20" t="s">
        <v>2295</v>
      </c>
      <c r="CC238" s="46">
        <v>46006</v>
      </c>
      <c r="CD238" s="40" t="s">
        <v>2718</v>
      </c>
    </row>
    <row r="239" spans="1:82" s="18" customFormat="1" ht="66.75" customHeight="1" x14ac:dyDescent="0.25">
      <c r="A239" s="87">
        <v>235</v>
      </c>
      <c r="B239" s="141" t="s">
        <v>2719</v>
      </c>
      <c r="C239" s="6" t="s">
        <v>2720</v>
      </c>
      <c r="D239" s="6" t="s">
        <v>2721</v>
      </c>
      <c r="E239" s="75" t="s">
        <v>113</v>
      </c>
      <c r="F239" s="4" t="s">
        <v>81</v>
      </c>
      <c r="G239" s="33" t="s">
        <v>84</v>
      </c>
      <c r="H239" s="49" t="s">
        <v>775</v>
      </c>
      <c r="I239" s="49" t="s">
        <v>2295</v>
      </c>
      <c r="J239" s="6"/>
      <c r="K239" s="49"/>
      <c r="L239" s="49"/>
      <c r="M239" s="49" t="s">
        <v>88</v>
      </c>
      <c r="N239" s="49" t="s">
        <v>89</v>
      </c>
      <c r="O239" s="49" t="s">
        <v>1520</v>
      </c>
      <c r="P239" s="6" t="s">
        <v>2722</v>
      </c>
      <c r="Q239" s="49"/>
      <c r="R239" s="75" t="s">
        <v>175</v>
      </c>
      <c r="S239" s="33" t="s">
        <v>92</v>
      </c>
      <c r="T239" s="33" t="s">
        <v>93</v>
      </c>
      <c r="U239" s="78">
        <v>100</v>
      </c>
      <c r="V239" s="33" t="s">
        <v>94</v>
      </c>
      <c r="W239" s="33" t="s">
        <v>95</v>
      </c>
      <c r="X239" s="33">
        <v>2023</v>
      </c>
      <c r="Y239" s="33" t="s">
        <v>117</v>
      </c>
      <c r="Z239" s="33" t="s">
        <v>95</v>
      </c>
      <c r="AA239" s="33" t="s">
        <v>98</v>
      </c>
      <c r="AB239" s="49" t="s">
        <v>99</v>
      </c>
      <c r="AC239" s="48" t="s">
        <v>2723</v>
      </c>
      <c r="AD239" s="79" t="s">
        <v>2724</v>
      </c>
      <c r="AE239" s="49" t="s">
        <v>2725</v>
      </c>
      <c r="AF239" s="49" t="s">
        <v>121</v>
      </c>
      <c r="AG239" s="49" t="s">
        <v>178</v>
      </c>
      <c r="AH239" s="49" t="s">
        <v>123</v>
      </c>
      <c r="AI239" s="6" t="s">
        <v>2726</v>
      </c>
      <c r="AJ239" s="6" t="s">
        <v>2727</v>
      </c>
      <c r="AK239" s="33" t="s">
        <v>97</v>
      </c>
      <c r="AL239" s="33" t="s">
        <v>97</v>
      </c>
      <c r="AM239" s="5" t="s">
        <v>2728</v>
      </c>
      <c r="AN239" s="5"/>
      <c r="AO239" s="5" t="s">
        <v>2729</v>
      </c>
      <c r="AP239" s="5" t="s">
        <v>2730</v>
      </c>
      <c r="AQ239" s="49"/>
      <c r="AR239" s="20" t="s">
        <v>97</v>
      </c>
      <c r="AS239" s="20" t="s">
        <v>107</v>
      </c>
      <c r="AT239" s="20"/>
      <c r="AU239" s="24">
        <v>0.15</v>
      </c>
      <c r="AV239" s="24">
        <f t="shared" si="50"/>
        <v>0.12</v>
      </c>
      <c r="AW239" s="24">
        <f t="shared" si="51"/>
        <v>0.09</v>
      </c>
      <c r="AX239" s="25">
        <v>1E-4</v>
      </c>
      <c r="AY239" s="24">
        <v>0</v>
      </c>
      <c r="AZ239" s="24">
        <f t="shared" si="47"/>
        <v>0.13500000000000001</v>
      </c>
      <c r="BA239" s="24">
        <f t="shared" si="48"/>
        <v>0.10800000000000001</v>
      </c>
      <c r="BB239" s="24">
        <f t="shared" si="49"/>
        <v>8.1000000000000003E-2</v>
      </c>
      <c r="BC239" s="25">
        <v>1E-4</v>
      </c>
      <c r="BD239" s="24">
        <v>0</v>
      </c>
      <c r="BE239" s="26">
        <v>0</v>
      </c>
      <c r="BF239" s="34">
        <f t="shared" si="45"/>
        <v>0</v>
      </c>
      <c r="BG239" s="34">
        <f t="shared" si="46"/>
        <v>0</v>
      </c>
      <c r="BH239" s="26">
        <v>0</v>
      </c>
      <c r="BI239" s="26">
        <v>0</v>
      </c>
      <c r="BJ239" s="27">
        <v>2.5999999999999999E-2</v>
      </c>
      <c r="BK239" s="27">
        <v>8.3235312819266716E-2</v>
      </c>
      <c r="BL239" s="27" t="s">
        <v>2731</v>
      </c>
      <c r="BM239" s="27" t="s">
        <v>2732</v>
      </c>
      <c r="BN239" s="26"/>
      <c r="BO239" s="34"/>
      <c r="BP239" s="34"/>
      <c r="BQ239" s="34"/>
      <c r="BR239" s="34"/>
      <c r="BS239" s="34"/>
      <c r="BT239" s="34"/>
      <c r="BU239" s="34"/>
      <c r="BV239" s="34"/>
      <c r="BW239" s="34"/>
      <c r="BX239" s="34"/>
      <c r="BY239" s="34"/>
      <c r="BZ239" s="34"/>
      <c r="CA239" s="20"/>
      <c r="CB239" s="20"/>
      <c r="CC239" s="29">
        <v>46003</v>
      </c>
      <c r="CD239" s="35" t="s">
        <v>2733</v>
      </c>
    </row>
    <row r="240" spans="1:82" s="18" customFormat="1" ht="66.75" customHeight="1" x14ac:dyDescent="0.25">
      <c r="A240" s="87">
        <v>236</v>
      </c>
      <c r="B240" s="141" t="s">
        <v>2734</v>
      </c>
      <c r="C240" s="6" t="s">
        <v>2735</v>
      </c>
      <c r="D240" s="6" t="s">
        <v>2736</v>
      </c>
      <c r="E240" s="75" t="s">
        <v>113</v>
      </c>
      <c r="F240" s="4" t="s">
        <v>81</v>
      </c>
      <c r="G240" s="33">
        <v>106</v>
      </c>
      <c r="H240" s="49" t="s">
        <v>775</v>
      </c>
      <c r="I240" s="49" t="s">
        <v>2295</v>
      </c>
      <c r="J240" s="6"/>
      <c r="K240" s="49"/>
      <c r="L240" s="49"/>
      <c r="M240" s="49" t="s">
        <v>136</v>
      </c>
      <c r="N240" s="49" t="s">
        <v>245</v>
      </c>
      <c r="O240" s="49" t="s">
        <v>246</v>
      </c>
      <c r="P240" s="6" t="s">
        <v>2722</v>
      </c>
      <c r="Q240" s="49"/>
      <c r="R240" s="75" t="s">
        <v>91</v>
      </c>
      <c r="S240" s="33" t="s">
        <v>92</v>
      </c>
      <c r="T240" s="33" t="s">
        <v>93</v>
      </c>
      <c r="U240" s="78">
        <v>100</v>
      </c>
      <c r="V240" s="33" t="s">
        <v>94</v>
      </c>
      <c r="W240" s="33" t="s">
        <v>95</v>
      </c>
      <c r="X240" s="33">
        <v>2023</v>
      </c>
      <c r="Y240" s="33" t="s">
        <v>117</v>
      </c>
      <c r="Z240" s="33" t="s">
        <v>97</v>
      </c>
      <c r="AA240" s="33" t="s">
        <v>98</v>
      </c>
      <c r="AB240" s="49" t="s">
        <v>99</v>
      </c>
      <c r="AC240" s="48" t="s">
        <v>2737</v>
      </c>
      <c r="AD240" s="48" t="s">
        <v>2738</v>
      </c>
      <c r="AE240" s="6" t="s">
        <v>2739</v>
      </c>
      <c r="AF240" s="6" t="s">
        <v>2725</v>
      </c>
      <c r="AG240" s="6" t="s">
        <v>178</v>
      </c>
      <c r="AH240" s="6" t="s">
        <v>178</v>
      </c>
      <c r="AI240" s="6" t="s">
        <v>2693</v>
      </c>
      <c r="AJ240" s="6" t="s">
        <v>2693</v>
      </c>
      <c r="AK240" s="33" t="s">
        <v>97</v>
      </c>
      <c r="AL240" s="33" t="s">
        <v>97</v>
      </c>
      <c r="AM240" s="5"/>
      <c r="AN240" s="5"/>
      <c r="AO240" s="5" t="s">
        <v>2694</v>
      </c>
      <c r="AP240" s="5" t="s">
        <v>2694</v>
      </c>
      <c r="AQ240" s="49" t="s">
        <v>87</v>
      </c>
      <c r="AR240" s="20" t="s">
        <v>97</v>
      </c>
      <c r="AS240" s="20" t="s">
        <v>107</v>
      </c>
      <c r="AT240" s="20"/>
      <c r="AU240" s="24">
        <v>0.02</v>
      </c>
      <c r="AV240" s="24">
        <f t="shared" si="50"/>
        <v>1.6E-2</v>
      </c>
      <c r="AW240" s="24">
        <f t="shared" si="51"/>
        <v>1.2E-2</v>
      </c>
      <c r="AX240" s="25">
        <v>1E-4</v>
      </c>
      <c r="AY240" s="24">
        <v>0</v>
      </c>
      <c r="AZ240" s="24">
        <f t="shared" si="47"/>
        <v>1.8000000000000002E-2</v>
      </c>
      <c r="BA240" s="24">
        <f t="shared" si="48"/>
        <v>1.4400000000000003E-2</v>
      </c>
      <c r="BB240" s="24">
        <f t="shared" si="49"/>
        <v>1.0800000000000001E-2</v>
      </c>
      <c r="BC240" s="25">
        <v>1E-4</v>
      </c>
      <c r="BD240" s="24">
        <v>0</v>
      </c>
      <c r="BE240" s="26">
        <v>0</v>
      </c>
      <c r="BF240" s="34">
        <f t="shared" si="45"/>
        <v>0</v>
      </c>
      <c r="BG240" s="34">
        <f t="shared" si="46"/>
        <v>0</v>
      </c>
      <c r="BH240" s="26">
        <v>0</v>
      </c>
      <c r="BI240" s="26">
        <v>0</v>
      </c>
      <c r="BJ240" s="27">
        <v>2.5999999999999999E-2</v>
      </c>
      <c r="BK240" s="27">
        <v>7.0180186009847576E-3</v>
      </c>
      <c r="BL240" s="27" t="s">
        <v>2740</v>
      </c>
      <c r="BM240" s="27" t="s">
        <v>2741</v>
      </c>
      <c r="BN240" s="26"/>
      <c r="BO240" s="34">
        <v>1</v>
      </c>
      <c r="BP240" s="34"/>
      <c r="BQ240" s="34"/>
      <c r="BR240" s="34"/>
      <c r="BS240" s="34"/>
      <c r="BT240" s="34"/>
      <c r="BU240" s="34"/>
      <c r="BV240" s="34"/>
      <c r="BW240" s="34"/>
      <c r="BX240" s="34"/>
      <c r="BY240" s="34"/>
      <c r="BZ240" s="34"/>
      <c r="CA240" s="20"/>
      <c r="CB240" s="20"/>
      <c r="CC240" s="29">
        <v>46003</v>
      </c>
      <c r="CD240" s="35" t="s">
        <v>254</v>
      </c>
    </row>
    <row r="241" spans="1:82" s="18" customFormat="1" ht="66.75" customHeight="1" x14ac:dyDescent="0.25">
      <c r="A241" s="121">
        <v>237</v>
      </c>
      <c r="B241" s="141" t="s">
        <v>2742</v>
      </c>
      <c r="C241" s="6" t="s">
        <v>2743</v>
      </c>
      <c r="D241" s="6" t="s">
        <v>2744</v>
      </c>
      <c r="E241" s="75" t="s">
        <v>174</v>
      </c>
      <c r="F241" s="4" t="s">
        <v>81</v>
      </c>
      <c r="G241" s="33" t="s">
        <v>84</v>
      </c>
      <c r="H241" s="49" t="s">
        <v>775</v>
      </c>
      <c r="I241" s="49" t="s">
        <v>2295</v>
      </c>
      <c r="J241" s="6" t="s">
        <v>115</v>
      </c>
      <c r="K241" s="49"/>
      <c r="L241" s="49"/>
      <c r="M241" s="49" t="s">
        <v>88</v>
      </c>
      <c r="N241" s="49" t="s">
        <v>89</v>
      </c>
      <c r="O241" s="49" t="s">
        <v>246</v>
      </c>
      <c r="P241" s="6" t="s">
        <v>2722</v>
      </c>
      <c r="Q241" s="49"/>
      <c r="R241" s="75" t="s">
        <v>91</v>
      </c>
      <c r="S241" s="33" t="s">
        <v>92</v>
      </c>
      <c r="T241" s="33" t="s">
        <v>93</v>
      </c>
      <c r="U241" s="78">
        <v>100</v>
      </c>
      <c r="V241" s="33" t="s">
        <v>94</v>
      </c>
      <c r="W241" s="33" t="s">
        <v>95</v>
      </c>
      <c r="X241" s="33">
        <v>2023</v>
      </c>
      <c r="Y241" s="33" t="s">
        <v>117</v>
      </c>
      <c r="Z241" s="33" t="s">
        <v>97</v>
      </c>
      <c r="AA241" s="33" t="s">
        <v>98</v>
      </c>
      <c r="AB241" s="49" t="s">
        <v>99</v>
      </c>
      <c r="AC241" s="48" t="s">
        <v>2745</v>
      </c>
      <c r="AD241" s="48" t="s">
        <v>2746</v>
      </c>
      <c r="AE241" s="6" t="s">
        <v>2747</v>
      </c>
      <c r="AF241" s="6" t="s">
        <v>2748</v>
      </c>
      <c r="AG241" s="6" t="s">
        <v>1042</v>
      </c>
      <c r="AH241" s="6" t="s">
        <v>1042</v>
      </c>
      <c r="AI241" s="6" t="s">
        <v>2713</v>
      </c>
      <c r="AJ241" s="6" t="s">
        <v>2714</v>
      </c>
      <c r="AK241" s="33" t="s">
        <v>97</v>
      </c>
      <c r="AL241" s="33" t="s">
        <v>97</v>
      </c>
      <c r="AM241" s="5"/>
      <c r="AN241" s="5"/>
      <c r="AO241" s="5" t="s">
        <v>2694</v>
      </c>
      <c r="AP241" s="5" t="s">
        <v>2694</v>
      </c>
      <c r="AQ241" s="6" t="s">
        <v>2715</v>
      </c>
      <c r="AR241" s="20" t="s">
        <v>97</v>
      </c>
      <c r="AS241" s="20" t="s">
        <v>107</v>
      </c>
      <c r="AT241" s="20"/>
      <c r="AU241" s="24">
        <v>0.9</v>
      </c>
      <c r="AV241" s="24">
        <f t="shared" si="50"/>
        <v>0.72000000000000008</v>
      </c>
      <c r="AW241" s="24">
        <f t="shared" si="51"/>
        <v>0.54</v>
      </c>
      <c r="AX241" s="25">
        <v>1E-4</v>
      </c>
      <c r="AY241" s="24">
        <v>0</v>
      </c>
      <c r="AZ241" s="24">
        <f t="shared" si="47"/>
        <v>0.81</v>
      </c>
      <c r="BA241" s="24">
        <f t="shared" si="48"/>
        <v>0.64800000000000013</v>
      </c>
      <c r="BB241" s="24">
        <f t="shared" si="49"/>
        <v>0.48599999999999999</v>
      </c>
      <c r="BC241" s="25">
        <v>1E-4</v>
      </c>
      <c r="BD241" s="24">
        <v>0</v>
      </c>
      <c r="BE241" s="34">
        <v>20</v>
      </c>
      <c r="BF241" s="34">
        <f t="shared" si="45"/>
        <v>16</v>
      </c>
      <c r="BG241" s="34">
        <f t="shared" si="46"/>
        <v>12</v>
      </c>
      <c r="BH241" s="26">
        <v>1</v>
      </c>
      <c r="BI241" s="26">
        <v>0</v>
      </c>
      <c r="BJ241" s="20" t="s">
        <v>496</v>
      </c>
      <c r="BK241" s="27">
        <v>0.53047164811870695</v>
      </c>
      <c r="BL241" s="27" t="s">
        <v>2749</v>
      </c>
      <c r="BM241" s="27" t="s">
        <v>2750</v>
      </c>
      <c r="BN241" s="26"/>
      <c r="BO241" s="34"/>
      <c r="BP241" s="34"/>
      <c r="BQ241" s="34"/>
      <c r="BR241" s="34"/>
      <c r="BS241" s="34"/>
      <c r="BT241" s="34"/>
      <c r="BU241" s="34"/>
      <c r="BV241" s="34"/>
      <c r="BW241" s="34"/>
      <c r="BX241" s="34"/>
      <c r="BY241" s="34"/>
      <c r="BZ241" s="34">
        <v>1</v>
      </c>
      <c r="CA241" s="20" t="s">
        <v>2295</v>
      </c>
      <c r="CB241" s="20" t="s">
        <v>2295</v>
      </c>
      <c r="CC241" s="46">
        <v>46006</v>
      </c>
      <c r="CD241" s="40" t="s">
        <v>2751</v>
      </c>
    </row>
    <row r="242" spans="1:82" s="18" customFormat="1" ht="66.75" customHeight="1" x14ac:dyDescent="0.25">
      <c r="A242" s="87">
        <v>238</v>
      </c>
      <c r="B242" s="141" t="s">
        <v>2752</v>
      </c>
      <c r="C242" s="6" t="s">
        <v>2753</v>
      </c>
      <c r="D242" s="6" t="s">
        <v>2754</v>
      </c>
      <c r="E242" s="75" t="s">
        <v>113</v>
      </c>
      <c r="F242" s="4" t="s">
        <v>81</v>
      </c>
      <c r="G242" s="33" t="s">
        <v>84</v>
      </c>
      <c r="H242" s="49" t="s">
        <v>775</v>
      </c>
      <c r="I242" s="49" t="s">
        <v>2295</v>
      </c>
      <c r="J242" s="6"/>
      <c r="K242" s="49"/>
      <c r="L242" s="49"/>
      <c r="M242" s="49" t="s">
        <v>88</v>
      </c>
      <c r="N242" s="49" t="s">
        <v>89</v>
      </c>
      <c r="O242" s="49" t="s">
        <v>1520</v>
      </c>
      <c r="P242" s="6" t="s">
        <v>2688</v>
      </c>
      <c r="Q242" s="49"/>
      <c r="R242" s="75" t="s">
        <v>175</v>
      </c>
      <c r="S242" s="33" t="s">
        <v>92</v>
      </c>
      <c r="T242" s="33" t="s">
        <v>93</v>
      </c>
      <c r="U242" s="78">
        <v>100</v>
      </c>
      <c r="V242" s="33" t="s">
        <v>94</v>
      </c>
      <c r="W242" s="33" t="s">
        <v>95</v>
      </c>
      <c r="X242" s="33">
        <v>2023</v>
      </c>
      <c r="Y242" s="33" t="s">
        <v>117</v>
      </c>
      <c r="Z242" s="33" t="s">
        <v>95</v>
      </c>
      <c r="AA242" s="33" t="s">
        <v>98</v>
      </c>
      <c r="AB242" s="49" t="s">
        <v>99</v>
      </c>
      <c r="AC242" s="48" t="s">
        <v>2755</v>
      </c>
      <c r="AD242" s="79" t="s">
        <v>2724</v>
      </c>
      <c r="AE242" s="6" t="s">
        <v>2756</v>
      </c>
      <c r="AF242" s="6" t="s">
        <v>121</v>
      </c>
      <c r="AG242" s="6" t="s">
        <v>178</v>
      </c>
      <c r="AH242" s="6" t="s">
        <v>123</v>
      </c>
      <c r="AI242" s="6" t="s">
        <v>2726</v>
      </c>
      <c r="AJ242" s="6" t="s">
        <v>2727</v>
      </c>
      <c r="AK242" s="33" t="s">
        <v>97</v>
      </c>
      <c r="AL242" s="33" t="s">
        <v>97</v>
      </c>
      <c r="AM242" s="5" t="s">
        <v>221</v>
      </c>
      <c r="AN242" s="5" t="s">
        <v>470</v>
      </c>
      <c r="AO242" s="5" t="s">
        <v>2757</v>
      </c>
      <c r="AP242" s="5" t="s">
        <v>2730</v>
      </c>
      <c r="AQ242" s="49" t="s">
        <v>2758</v>
      </c>
      <c r="AR242" s="20" t="s">
        <v>97</v>
      </c>
      <c r="AS242" s="20" t="s">
        <v>107</v>
      </c>
      <c r="AT242" s="20"/>
      <c r="AU242" s="24">
        <v>0.15</v>
      </c>
      <c r="AV242" s="24">
        <f t="shared" si="50"/>
        <v>0.12</v>
      </c>
      <c r="AW242" s="24">
        <f t="shared" si="51"/>
        <v>0.09</v>
      </c>
      <c r="AX242" s="25">
        <v>1E-4</v>
      </c>
      <c r="AY242" s="24">
        <v>0</v>
      </c>
      <c r="AZ242" s="24">
        <f t="shared" si="47"/>
        <v>0.13500000000000001</v>
      </c>
      <c r="BA242" s="24">
        <f t="shared" si="48"/>
        <v>0.10800000000000001</v>
      </c>
      <c r="BB242" s="24">
        <f t="shared" si="49"/>
        <v>8.1000000000000003E-2</v>
      </c>
      <c r="BC242" s="25">
        <v>1E-4</v>
      </c>
      <c r="BD242" s="24">
        <v>0</v>
      </c>
      <c r="BE242" s="26">
        <v>0</v>
      </c>
      <c r="BF242" s="34">
        <f t="shared" si="45"/>
        <v>0</v>
      </c>
      <c r="BG242" s="34">
        <f t="shared" si="46"/>
        <v>0</v>
      </c>
      <c r="BH242" s="26">
        <v>0</v>
      </c>
      <c r="BI242" s="26">
        <v>0</v>
      </c>
      <c r="BJ242" s="27">
        <v>3.5999999999999997E-2</v>
      </c>
      <c r="BK242" s="27">
        <v>9.0757598168052081E-2</v>
      </c>
      <c r="BL242" s="27" t="s">
        <v>2759</v>
      </c>
      <c r="BM242" s="27" t="s">
        <v>2760</v>
      </c>
      <c r="BN242" s="26"/>
      <c r="BO242" s="34"/>
      <c r="BP242" s="34"/>
      <c r="BQ242" s="34"/>
      <c r="BR242" s="34"/>
      <c r="BS242" s="34"/>
      <c r="BT242" s="34"/>
      <c r="BU242" s="34"/>
      <c r="BV242" s="34"/>
      <c r="BW242" s="34"/>
      <c r="BX242" s="34"/>
      <c r="BY242" s="34"/>
      <c r="BZ242" s="34"/>
      <c r="CA242" s="20"/>
      <c r="CB242" s="20"/>
      <c r="CC242" s="29">
        <v>46003</v>
      </c>
      <c r="CD242" s="40" t="s">
        <v>2761</v>
      </c>
    </row>
    <row r="243" spans="1:82" s="18" customFormat="1" ht="66.75" customHeight="1" x14ac:dyDescent="0.25">
      <c r="A243" s="87">
        <v>239</v>
      </c>
      <c r="B243" s="141" t="s">
        <v>2762</v>
      </c>
      <c r="C243" s="6" t="s">
        <v>2763</v>
      </c>
      <c r="D243" s="6" t="s">
        <v>2764</v>
      </c>
      <c r="E243" s="75" t="s">
        <v>113</v>
      </c>
      <c r="F243" s="4" t="s">
        <v>81</v>
      </c>
      <c r="G243" s="33">
        <v>105</v>
      </c>
      <c r="H243" s="49" t="s">
        <v>775</v>
      </c>
      <c r="I243" s="49" t="s">
        <v>2295</v>
      </c>
      <c r="J243" s="6"/>
      <c r="K243" s="49"/>
      <c r="L243" s="49"/>
      <c r="M243" s="49" t="s">
        <v>136</v>
      </c>
      <c r="N243" s="49" t="s">
        <v>245</v>
      </c>
      <c r="O243" s="49" t="s">
        <v>246</v>
      </c>
      <c r="P243" s="6" t="s">
        <v>2688</v>
      </c>
      <c r="Q243" s="49"/>
      <c r="R243" s="75" t="s">
        <v>91</v>
      </c>
      <c r="S243" s="33" t="s">
        <v>92</v>
      </c>
      <c r="T243" s="33" t="s">
        <v>93</v>
      </c>
      <c r="U243" s="78">
        <v>100</v>
      </c>
      <c r="V243" s="33" t="s">
        <v>94</v>
      </c>
      <c r="W243" s="33" t="s">
        <v>95</v>
      </c>
      <c r="X243" s="33">
        <v>2023</v>
      </c>
      <c r="Y243" s="33" t="s">
        <v>117</v>
      </c>
      <c r="Z243" s="33" t="s">
        <v>97</v>
      </c>
      <c r="AA243" s="33" t="s">
        <v>98</v>
      </c>
      <c r="AB243" s="49" t="s">
        <v>99</v>
      </c>
      <c r="AC243" s="48" t="s">
        <v>2765</v>
      </c>
      <c r="AD243" s="48" t="s">
        <v>2766</v>
      </c>
      <c r="AE243" s="6" t="s">
        <v>2767</v>
      </c>
      <c r="AF243" s="6" t="s">
        <v>2756</v>
      </c>
      <c r="AG243" s="6" t="s">
        <v>178</v>
      </c>
      <c r="AH243" s="6" t="s">
        <v>178</v>
      </c>
      <c r="AI243" s="6" t="s">
        <v>2693</v>
      </c>
      <c r="AJ243" s="6" t="s">
        <v>2693</v>
      </c>
      <c r="AK243" s="33" t="s">
        <v>97</v>
      </c>
      <c r="AL243" s="33" t="s">
        <v>97</v>
      </c>
      <c r="AM243" s="5"/>
      <c r="AN243" s="5"/>
      <c r="AO243" s="5" t="s">
        <v>2694</v>
      </c>
      <c r="AP243" s="5" t="s">
        <v>2694</v>
      </c>
      <c r="AQ243" s="49" t="s">
        <v>87</v>
      </c>
      <c r="AR243" s="20" t="s">
        <v>97</v>
      </c>
      <c r="AS243" s="20" t="s">
        <v>107</v>
      </c>
      <c r="AT243" s="20"/>
      <c r="AU243" s="24">
        <v>0.02</v>
      </c>
      <c r="AV243" s="24">
        <f t="shared" si="50"/>
        <v>1.6E-2</v>
      </c>
      <c r="AW243" s="24">
        <f t="shared" si="51"/>
        <v>1.2E-2</v>
      </c>
      <c r="AX243" s="25">
        <v>1E-4</v>
      </c>
      <c r="AY243" s="24">
        <v>0</v>
      </c>
      <c r="AZ243" s="24">
        <f t="shared" si="47"/>
        <v>1.8000000000000002E-2</v>
      </c>
      <c r="BA243" s="24">
        <f t="shared" si="48"/>
        <v>1.4400000000000003E-2</v>
      </c>
      <c r="BB243" s="24">
        <f t="shared" si="49"/>
        <v>1.0800000000000001E-2</v>
      </c>
      <c r="BC243" s="25">
        <v>1E-4</v>
      </c>
      <c r="BD243" s="24">
        <v>0</v>
      </c>
      <c r="BE243" s="26">
        <v>0</v>
      </c>
      <c r="BF243" s="34">
        <f t="shared" si="45"/>
        <v>0</v>
      </c>
      <c r="BG243" s="34">
        <f t="shared" si="46"/>
        <v>0</v>
      </c>
      <c r="BH243" s="26">
        <v>0</v>
      </c>
      <c r="BI243" s="26">
        <v>0</v>
      </c>
      <c r="BJ243" s="27">
        <v>2.7E-2</v>
      </c>
      <c r="BK243" s="27">
        <v>3.1645788289803627E-2</v>
      </c>
      <c r="BL243" s="27" t="s">
        <v>2768</v>
      </c>
      <c r="BM243" s="27" t="s">
        <v>2769</v>
      </c>
      <c r="BN243" s="26"/>
      <c r="BO243" s="34">
        <v>1</v>
      </c>
      <c r="BP243" s="34"/>
      <c r="BQ243" s="34"/>
      <c r="BR243" s="34"/>
      <c r="BS243" s="34"/>
      <c r="BT243" s="34"/>
      <c r="BU243" s="34"/>
      <c r="BV243" s="34"/>
      <c r="BW243" s="34"/>
      <c r="BX243" s="34"/>
      <c r="BY243" s="34"/>
      <c r="BZ243" s="34"/>
      <c r="CA243" s="20"/>
      <c r="CB243" s="20"/>
      <c r="CC243" s="29">
        <v>46003</v>
      </c>
      <c r="CD243" s="35" t="s">
        <v>510</v>
      </c>
    </row>
    <row r="244" spans="1:82" s="18" customFormat="1" ht="66.75" customHeight="1" x14ac:dyDescent="0.25">
      <c r="A244" s="121">
        <v>240</v>
      </c>
      <c r="B244" s="141" t="s">
        <v>2770</v>
      </c>
      <c r="C244" s="6" t="s">
        <v>2771</v>
      </c>
      <c r="D244" s="6" t="s">
        <v>2772</v>
      </c>
      <c r="E244" s="75" t="s">
        <v>174</v>
      </c>
      <c r="F244" s="4" t="s">
        <v>81</v>
      </c>
      <c r="G244" s="33" t="s">
        <v>84</v>
      </c>
      <c r="H244" s="49" t="s">
        <v>775</v>
      </c>
      <c r="I244" s="49" t="s">
        <v>2295</v>
      </c>
      <c r="J244" s="6" t="s">
        <v>115</v>
      </c>
      <c r="K244" s="49"/>
      <c r="L244" s="49"/>
      <c r="M244" s="49" t="s">
        <v>88</v>
      </c>
      <c r="N244" s="49" t="s">
        <v>245</v>
      </c>
      <c r="O244" s="49" t="s">
        <v>246</v>
      </c>
      <c r="P244" s="6" t="s">
        <v>400</v>
      </c>
      <c r="Q244" s="49"/>
      <c r="R244" s="75" t="s">
        <v>91</v>
      </c>
      <c r="S244" s="33" t="s">
        <v>92</v>
      </c>
      <c r="T244" s="33" t="s">
        <v>93</v>
      </c>
      <c r="U244" s="78">
        <v>100</v>
      </c>
      <c r="V244" s="33" t="s">
        <v>94</v>
      </c>
      <c r="W244" s="33" t="s">
        <v>95</v>
      </c>
      <c r="X244" s="33">
        <v>2023</v>
      </c>
      <c r="Y244" s="33" t="s">
        <v>117</v>
      </c>
      <c r="Z244" s="33" t="s">
        <v>97</v>
      </c>
      <c r="AA244" s="33" t="s">
        <v>98</v>
      </c>
      <c r="AB244" s="49" t="s">
        <v>99</v>
      </c>
      <c r="AC244" s="48" t="s">
        <v>2773</v>
      </c>
      <c r="AD244" s="48" t="s">
        <v>2774</v>
      </c>
      <c r="AE244" s="6" t="s">
        <v>2711</v>
      </c>
      <c r="AF244" s="6" t="s">
        <v>2775</v>
      </c>
      <c r="AG244" s="6" t="s">
        <v>1042</v>
      </c>
      <c r="AH244" s="6" t="s">
        <v>1042</v>
      </c>
      <c r="AI244" s="6" t="s">
        <v>2713</v>
      </c>
      <c r="AJ244" s="6" t="s">
        <v>2714</v>
      </c>
      <c r="AK244" s="33" t="s">
        <v>97</v>
      </c>
      <c r="AL244" s="33" t="s">
        <v>97</v>
      </c>
      <c r="AM244" s="5"/>
      <c r="AN244" s="5" t="s">
        <v>470</v>
      </c>
      <c r="AO244" s="5" t="s">
        <v>2694</v>
      </c>
      <c r="AP244" s="5" t="s">
        <v>2694</v>
      </c>
      <c r="AQ244" s="6" t="s">
        <v>2715</v>
      </c>
      <c r="AR244" s="20" t="s">
        <v>97</v>
      </c>
      <c r="AS244" s="20" t="s">
        <v>107</v>
      </c>
      <c r="AT244" s="20"/>
      <c r="AU244" s="24">
        <v>0.9</v>
      </c>
      <c r="AV244" s="24">
        <f t="shared" si="50"/>
        <v>0.72000000000000008</v>
      </c>
      <c r="AW244" s="24">
        <f t="shared" si="51"/>
        <v>0.54</v>
      </c>
      <c r="AX244" s="25">
        <v>1E-4</v>
      </c>
      <c r="AY244" s="24">
        <v>0</v>
      </c>
      <c r="AZ244" s="24">
        <f t="shared" si="47"/>
        <v>0.81</v>
      </c>
      <c r="BA244" s="24">
        <f t="shared" si="48"/>
        <v>0.64800000000000013</v>
      </c>
      <c r="BB244" s="24">
        <f t="shared" si="49"/>
        <v>0.48599999999999999</v>
      </c>
      <c r="BC244" s="25">
        <v>1E-4</v>
      </c>
      <c r="BD244" s="24">
        <v>0</v>
      </c>
      <c r="BE244" s="34">
        <v>20</v>
      </c>
      <c r="BF244" s="34">
        <f t="shared" si="45"/>
        <v>16</v>
      </c>
      <c r="BG244" s="34">
        <f t="shared" si="46"/>
        <v>12</v>
      </c>
      <c r="BH244" s="26">
        <v>1</v>
      </c>
      <c r="BI244" s="26">
        <v>0</v>
      </c>
      <c r="BJ244" s="20" t="s">
        <v>496</v>
      </c>
      <c r="BK244" s="27">
        <v>0.75316064505253699</v>
      </c>
      <c r="BL244" s="27" t="s">
        <v>2776</v>
      </c>
      <c r="BM244" s="27" t="s">
        <v>2777</v>
      </c>
      <c r="BN244" s="26"/>
      <c r="BO244" s="34"/>
      <c r="BP244" s="34"/>
      <c r="BQ244" s="34"/>
      <c r="BR244" s="34"/>
      <c r="BS244" s="34"/>
      <c r="BT244" s="34"/>
      <c r="BU244" s="34"/>
      <c r="BV244" s="34"/>
      <c r="BW244" s="34"/>
      <c r="BX244" s="34"/>
      <c r="BY244" s="34"/>
      <c r="BZ244" s="34">
        <v>1</v>
      </c>
      <c r="CA244" s="20" t="s">
        <v>2295</v>
      </c>
      <c r="CB244" s="20" t="s">
        <v>2295</v>
      </c>
      <c r="CC244" s="46">
        <v>46006</v>
      </c>
      <c r="CD244" s="40" t="s">
        <v>2778</v>
      </c>
    </row>
    <row r="245" spans="1:82" s="18" customFormat="1" ht="66.75" customHeight="1" x14ac:dyDescent="0.25">
      <c r="A245" s="87">
        <v>241</v>
      </c>
      <c r="B245" s="141" t="s">
        <v>2779</v>
      </c>
      <c r="C245" s="6" t="s">
        <v>2780</v>
      </c>
      <c r="D245" s="6" t="s">
        <v>2781</v>
      </c>
      <c r="E245" s="75" t="s">
        <v>174</v>
      </c>
      <c r="F245" s="4" t="s">
        <v>2782</v>
      </c>
      <c r="G245" s="33" t="s">
        <v>2782</v>
      </c>
      <c r="H245" s="49" t="s">
        <v>775</v>
      </c>
      <c r="I245" s="49" t="s">
        <v>1046</v>
      </c>
      <c r="J245" s="6"/>
      <c r="K245" s="49"/>
      <c r="L245" s="49"/>
      <c r="M245" s="49" t="s">
        <v>136</v>
      </c>
      <c r="N245" s="49" t="s">
        <v>89</v>
      </c>
      <c r="O245" s="49" t="s">
        <v>116</v>
      </c>
      <c r="P245" s="6" t="s">
        <v>2783</v>
      </c>
      <c r="Q245" s="49"/>
      <c r="R245" s="75" t="s">
        <v>91</v>
      </c>
      <c r="S245" s="33" t="s">
        <v>92</v>
      </c>
      <c r="T245" s="33" t="s">
        <v>93</v>
      </c>
      <c r="U245" s="78">
        <v>100</v>
      </c>
      <c r="V245" s="33" t="s">
        <v>94</v>
      </c>
      <c r="W245" s="33" t="s">
        <v>95</v>
      </c>
      <c r="X245" s="33">
        <v>2023</v>
      </c>
      <c r="Y245" s="33" t="s">
        <v>117</v>
      </c>
      <c r="Z245" s="33" t="s">
        <v>97</v>
      </c>
      <c r="AA245" s="33" t="s">
        <v>973</v>
      </c>
      <c r="AB245" s="49" t="s">
        <v>99</v>
      </c>
      <c r="AC245" s="79" t="s">
        <v>2784</v>
      </c>
      <c r="AD245" s="48" t="s">
        <v>2785</v>
      </c>
      <c r="AE245" s="47" t="s">
        <v>2786</v>
      </c>
      <c r="AF245" s="6" t="s">
        <v>2787</v>
      </c>
      <c r="AG245" s="6" t="s">
        <v>1043</v>
      </c>
      <c r="AH245" s="6" t="s">
        <v>1043</v>
      </c>
      <c r="AI245" s="6" t="s">
        <v>2788</v>
      </c>
      <c r="AJ245" s="6" t="s">
        <v>2789</v>
      </c>
      <c r="AK245" s="33" t="s">
        <v>97</v>
      </c>
      <c r="AL245" s="33" t="s">
        <v>97</v>
      </c>
      <c r="AM245" s="5"/>
      <c r="AN245" s="5"/>
      <c r="AO245" s="5"/>
      <c r="AP245" s="5"/>
      <c r="AQ245" s="49" t="s">
        <v>1046</v>
      </c>
      <c r="AR245" s="20" t="s">
        <v>97</v>
      </c>
      <c r="AS245" s="20" t="s">
        <v>107</v>
      </c>
      <c r="AT245" s="20"/>
      <c r="AU245" s="24">
        <v>0.9</v>
      </c>
      <c r="AV245" s="24">
        <f t="shared" si="50"/>
        <v>0.72000000000000008</v>
      </c>
      <c r="AW245" s="24">
        <f t="shared" si="51"/>
        <v>0.54</v>
      </c>
      <c r="AX245" s="25">
        <v>1E-4</v>
      </c>
      <c r="AY245" s="24">
        <v>0</v>
      </c>
      <c r="AZ245" s="24">
        <v>0.9</v>
      </c>
      <c r="BA245" s="24">
        <f t="shared" si="48"/>
        <v>0.72000000000000008</v>
      </c>
      <c r="BB245" s="24">
        <f t="shared" si="49"/>
        <v>0.54</v>
      </c>
      <c r="BC245" s="25">
        <v>1E-4</v>
      </c>
      <c r="BD245" s="24">
        <v>0</v>
      </c>
      <c r="BE245" s="34">
        <v>40</v>
      </c>
      <c r="BF245" s="34">
        <f t="shared" si="45"/>
        <v>32</v>
      </c>
      <c r="BG245" s="34">
        <f t="shared" si="46"/>
        <v>24</v>
      </c>
      <c r="BH245" s="26">
        <v>1</v>
      </c>
      <c r="BI245" s="26">
        <v>0</v>
      </c>
      <c r="BJ245" s="27">
        <v>0.57799999999999996</v>
      </c>
      <c r="BK245" s="27">
        <v>0.49844188621906305</v>
      </c>
      <c r="BL245" s="27" t="s">
        <v>2790</v>
      </c>
      <c r="BM245" s="27" t="s">
        <v>2791</v>
      </c>
      <c r="BN245" s="26"/>
      <c r="BO245" s="34"/>
      <c r="BP245" s="34"/>
      <c r="BQ245" s="34">
        <v>1</v>
      </c>
      <c r="BR245" s="34"/>
      <c r="BS245" s="34"/>
      <c r="BT245" s="34"/>
      <c r="BU245" s="34"/>
      <c r="BV245" s="34"/>
      <c r="BW245" s="34"/>
      <c r="BX245" s="34"/>
      <c r="BY245" s="34"/>
      <c r="BZ245" s="34"/>
      <c r="CA245" s="20"/>
      <c r="CB245" s="20"/>
      <c r="CC245" s="46">
        <v>46006</v>
      </c>
      <c r="CD245" s="42" t="s">
        <v>2792</v>
      </c>
    </row>
    <row r="246" spans="1:82" s="18" customFormat="1" ht="66.75" customHeight="1" x14ac:dyDescent="0.25">
      <c r="A246" s="87">
        <v>242</v>
      </c>
      <c r="B246" s="141" t="s">
        <v>2793</v>
      </c>
      <c r="C246" s="6" t="s">
        <v>2794</v>
      </c>
      <c r="D246" s="6" t="s">
        <v>2795</v>
      </c>
      <c r="E246" s="75" t="s">
        <v>113</v>
      </c>
      <c r="F246" s="4" t="s">
        <v>2782</v>
      </c>
      <c r="G246" s="33" t="s">
        <v>84</v>
      </c>
      <c r="H246" s="49" t="s">
        <v>775</v>
      </c>
      <c r="I246" s="49" t="s">
        <v>1046</v>
      </c>
      <c r="J246" s="6"/>
      <c r="K246" s="49"/>
      <c r="L246" s="49"/>
      <c r="M246" s="49" t="s">
        <v>88</v>
      </c>
      <c r="N246" s="49" t="s">
        <v>89</v>
      </c>
      <c r="O246" s="49" t="s">
        <v>213</v>
      </c>
      <c r="P246" s="6" t="s">
        <v>2796</v>
      </c>
      <c r="Q246" s="49"/>
      <c r="R246" s="75" t="s">
        <v>91</v>
      </c>
      <c r="S246" s="33" t="s">
        <v>92</v>
      </c>
      <c r="T246" s="33" t="s">
        <v>93</v>
      </c>
      <c r="U246" s="78">
        <v>100</v>
      </c>
      <c r="V246" s="33" t="s">
        <v>94</v>
      </c>
      <c r="W246" s="33" t="s">
        <v>95</v>
      </c>
      <c r="X246" s="33">
        <v>2023</v>
      </c>
      <c r="Y246" s="33" t="s">
        <v>117</v>
      </c>
      <c r="Z246" s="33" t="s">
        <v>97</v>
      </c>
      <c r="AA246" s="33" t="s">
        <v>973</v>
      </c>
      <c r="AB246" s="49" t="s">
        <v>99</v>
      </c>
      <c r="AC246" s="48" t="s">
        <v>2797</v>
      </c>
      <c r="AD246" s="48" t="s">
        <v>2785</v>
      </c>
      <c r="AE246" s="6" t="s">
        <v>2798</v>
      </c>
      <c r="AF246" s="6" t="s">
        <v>2787</v>
      </c>
      <c r="AG246" s="6" t="s">
        <v>1043</v>
      </c>
      <c r="AH246" s="6" t="s">
        <v>1043</v>
      </c>
      <c r="AI246" s="6" t="s">
        <v>2799</v>
      </c>
      <c r="AJ246" s="6" t="s">
        <v>2789</v>
      </c>
      <c r="AK246" s="33" t="s">
        <v>97</v>
      </c>
      <c r="AL246" s="33" t="s">
        <v>97</v>
      </c>
      <c r="AM246" s="5"/>
      <c r="AN246" s="5"/>
      <c r="AO246" s="5"/>
      <c r="AP246" s="5"/>
      <c r="AQ246" s="49" t="s">
        <v>1046</v>
      </c>
      <c r="AR246" s="20" t="s">
        <v>97</v>
      </c>
      <c r="AS246" s="20" t="s">
        <v>107</v>
      </c>
      <c r="AT246" s="20"/>
      <c r="AU246" s="24">
        <v>0.9</v>
      </c>
      <c r="AV246" s="24">
        <f t="shared" si="50"/>
        <v>0.72000000000000008</v>
      </c>
      <c r="AW246" s="24">
        <f t="shared" si="51"/>
        <v>0.54</v>
      </c>
      <c r="AX246" s="25">
        <v>1E-4</v>
      </c>
      <c r="AY246" s="24">
        <v>0</v>
      </c>
      <c r="AZ246" s="24">
        <v>0.9</v>
      </c>
      <c r="BA246" s="24">
        <f t="shared" si="48"/>
        <v>0.72000000000000008</v>
      </c>
      <c r="BB246" s="24">
        <f t="shared" si="49"/>
        <v>0.54</v>
      </c>
      <c r="BC246" s="25">
        <v>1E-4</v>
      </c>
      <c r="BD246" s="24">
        <v>0</v>
      </c>
      <c r="BE246" s="26">
        <v>0</v>
      </c>
      <c r="BF246" s="34">
        <f t="shared" si="45"/>
        <v>0</v>
      </c>
      <c r="BG246" s="34">
        <f t="shared" si="46"/>
        <v>0</v>
      </c>
      <c r="BH246" s="26">
        <v>0</v>
      </c>
      <c r="BI246" s="26">
        <v>0</v>
      </c>
      <c r="BJ246" s="27">
        <v>0.92300000000000004</v>
      </c>
      <c r="BK246" s="27">
        <v>0.87756573694918749</v>
      </c>
      <c r="BL246" s="27" t="s">
        <v>2800</v>
      </c>
      <c r="BM246" s="27" t="s">
        <v>2801</v>
      </c>
      <c r="BN246" s="26"/>
      <c r="BO246" s="34"/>
      <c r="BP246" s="34"/>
      <c r="BQ246" s="34"/>
      <c r="BR246" s="34"/>
      <c r="BS246" s="34"/>
      <c r="BT246" s="34"/>
      <c r="BU246" s="34"/>
      <c r="BV246" s="34"/>
      <c r="BW246" s="34"/>
      <c r="BX246" s="34"/>
      <c r="BY246" s="34"/>
      <c r="BZ246" s="34"/>
      <c r="CA246" s="20"/>
      <c r="CB246" s="20"/>
      <c r="CC246" s="46">
        <v>46003</v>
      </c>
      <c r="CD246" s="2" t="s">
        <v>2802</v>
      </c>
    </row>
    <row r="247" spans="1:82" s="18" customFormat="1" ht="66.75" customHeight="1" x14ac:dyDescent="0.25">
      <c r="A247" s="121">
        <v>243</v>
      </c>
      <c r="B247" s="141" t="s">
        <v>2803</v>
      </c>
      <c r="C247" s="6" t="s">
        <v>2804</v>
      </c>
      <c r="D247" s="6" t="s">
        <v>2805</v>
      </c>
      <c r="E247" s="75" t="s">
        <v>113</v>
      </c>
      <c r="F247" s="4" t="s">
        <v>2782</v>
      </c>
      <c r="G247" s="33" t="s">
        <v>84</v>
      </c>
      <c r="H247" s="49" t="s">
        <v>775</v>
      </c>
      <c r="I247" s="49" t="s">
        <v>1046</v>
      </c>
      <c r="J247" s="6"/>
      <c r="K247" s="49"/>
      <c r="L247" s="49"/>
      <c r="M247" s="49" t="s">
        <v>136</v>
      </c>
      <c r="N247" s="49" t="s">
        <v>89</v>
      </c>
      <c r="O247" s="49" t="s">
        <v>1444</v>
      </c>
      <c r="P247" s="6" t="s">
        <v>1445</v>
      </c>
      <c r="Q247" s="49"/>
      <c r="R247" s="75" t="s">
        <v>91</v>
      </c>
      <c r="S247" s="33" t="s">
        <v>92</v>
      </c>
      <c r="T247" s="33" t="s">
        <v>93</v>
      </c>
      <c r="U247" s="78">
        <v>100</v>
      </c>
      <c r="V247" s="33" t="s">
        <v>94</v>
      </c>
      <c r="W247" s="33" t="s">
        <v>95</v>
      </c>
      <c r="X247" s="33">
        <v>2025</v>
      </c>
      <c r="Y247" s="33" t="s">
        <v>117</v>
      </c>
      <c r="Z247" s="33" t="s">
        <v>97</v>
      </c>
      <c r="AA247" s="33" t="s">
        <v>973</v>
      </c>
      <c r="AB247" s="49" t="s">
        <v>99</v>
      </c>
      <c r="AC247" s="48" t="s">
        <v>2806</v>
      </c>
      <c r="AD247" s="48" t="s">
        <v>2785</v>
      </c>
      <c r="AE247" s="6" t="s">
        <v>2807</v>
      </c>
      <c r="AF247" s="6" t="s">
        <v>2787</v>
      </c>
      <c r="AG247" s="6" t="s">
        <v>1043</v>
      </c>
      <c r="AH247" s="6" t="s">
        <v>1043</v>
      </c>
      <c r="AI247" s="6" t="s">
        <v>2808</v>
      </c>
      <c r="AJ247" s="6" t="s">
        <v>2789</v>
      </c>
      <c r="AK247" s="33" t="s">
        <v>97</v>
      </c>
      <c r="AL247" s="33" t="s">
        <v>97</v>
      </c>
      <c r="AM247" s="5"/>
      <c r="AN247" s="5"/>
      <c r="AO247" s="5"/>
      <c r="AP247" s="5"/>
      <c r="AQ247" s="49" t="s">
        <v>1046</v>
      </c>
      <c r="AR247" s="20" t="s">
        <v>97</v>
      </c>
      <c r="AS247" s="20" t="s">
        <v>107</v>
      </c>
      <c r="AT247" s="20"/>
      <c r="AU247" s="24">
        <v>0.9</v>
      </c>
      <c r="AV247" s="24">
        <f t="shared" si="50"/>
        <v>0.72000000000000008</v>
      </c>
      <c r="AW247" s="24">
        <f t="shared" si="51"/>
        <v>0.54</v>
      </c>
      <c r="AX247" s="25">
        <v>1E-4</v>
      </c>
      <c r="AY247" s="24">
        <v>0</v>
      </c>
      <c r="AZ247" s="24">
        <f>+AU247*90%</f>
        <v>0.81</v>
      </c>
      <c r="BA247" s="24">
        <f t="shared" si="48"/>
        <v>0.64800000000000013</v>
      </c>
      <c r="BB247" s="24">
        <f t="shared" si="49"/>
        <v>0.48599999999999999</v>
      </c>
      <c r="BC247" s="25">
        <v>1E-4</v>
      </c>
      <c r="BD247" s="24">
        <v>0</v>
      </c>
      <c r="BE247" s="26">
        <v>0</v>
      </c>
      <c r="BF247" s="34">
        <f t="shared" si="45"/>
        <v>0</v>
      </c>
      <c r="BG247" s="34">
        <f t="shared" si="46"/>
        <v>0</v>
      </c>
      <c r="BH247" s="26">
        <v>0</v>
      </c>
      <c r="BI247" s="26">
        <v>0</v>
      </c>
      <c r="BJ247" s="27">
        <v>0.50600000000000001</v>
      </c>
      <c r="BK247" s="27">
        <v>0.70712611707744211</v>
      </c>
      <c r="BL247" s="27" t="s">
        <v>2809</v>
      </c>
      <c r="BM247" s="27" t="s">
        <v>2810</v>
      </c>
      <c r="BN247" s="26"/>
      <c r="BO247" s="34"/>
      <c r="BP247" s="34"/>
      <c r="BQ247" s="34">
        <v>1</v>
      </c>
      <c r="BR247" s="34"/>
      <c r="BS247" s="34"/>
      <c r="BT247" s="34"/>
      <c r="BU247" s="34"/>
      <c r="BV247" s="34"/>
      <c r="BW247" s="34"/>
      <c r="BX247" s="34"/>
      <c r="BY247" s="34"/>
      <c r="BZ247" s="34"/>
      <c r="CA247" s="20"/>
      <c r="CB247" s="20"/>
      <c r="CC247" s="46">
        <v>46003</v>
      </c>
      <c r="CD247" s="2" t="s">
        <v>2811</v>
      </c>
    </row>
    <row r="248" spans="1:82" s="18" customFormat="1" ht="66.75" customHeight="1" x14ac:dyDescent="0.25">
      <c r="A248" s="87">
        <v>244</v>
      </c>
      <c r="B248" s="141" t="s">
        <v>2812</v>
      </c>
      <c r="C248" s="6" t="s">
        <v>2813</v>
      </c>
      <c r="D248" s="6" t="s">
        <v>2814</v>
      </c>
      <c r="E248" s="75" t="s">
        <v>113</v>
      </c>
      <c r="F248" s="4" t="s">
        <v>2782</v>
      </c>
      <c r="G248" s="33" t="s">
        <v>84</v>
      </c>
      <c r="H248" s="49" t="s">
        <v>775</v>
      </c>
      <c r="I248" s="49" t="s">
        <v>1046</v>
      </c>
      <c r="J248" s="6"/>
      <c r="K248" s="49"/>
      <c r="L248" s="49"/>
      <c r="M248" s="49" t="s">
        <v>88</v>
      </c>
      <c r="N248" s="49" t="s">
        <v>89</v>
      </c>
      <c r="O248" s="49" t="s">
        <v>1444</v>
      </c>
      <c r="P248" s="6" t="s">
        <v>1445</v>
      </c>
      <c r="Q248" s="49"/>
      <c r="R248" s="75" t="s">
        <v>91</v>
      </c>
      <c r="S248" s="33" t="s">
        <v>92</v>
      </c>
      <c r="T248" s="33" t="s">
        <v>93</v>
      </c>
      <c r="U248" s="78">
        <v>100</v>
      </c>
      <c r="V248" s="33" t="s">
        <v>94</v>
      </c>
      <c r="W248" s="33" t="s">
        <v>95</v>
      </c>
      <c r="X248" s="33">
        <v>2023</v>
      </c>
      <c r="Y248" s="33" t="s">
        <v>117</v>
      </c>
      <c r="Z248" s="33" t="s">
        <v>97</v>
      </c>
      <c r="AA248" s="33" t="s">
        <v>973</v>
      </c>
      <c r="AB248" s="49" t="s">
        <v>99</v>
      </c>
      <c r="AC248" s="48" t="s">
        <v>2815</v>
      </c>
      <c r="AD248" s="48" t="s">
        <v>2785</v>
      </c>
      <c r="AE248" s="6" t="s">
        <v>2816</v>
      </c>
      <c r="AF248" s="6" t="s">
        <v>2787</v>
      </c>
      <c r="AG248" s="6" t="s">
        <v>1043</v>
      </c>
      <c r="AH248" s="6" t="s">
        <v>1043</v>
      </c>
      <c r="AI248" s="6" t="s">
        <v>2817</v>
      </c>
      <c r="AJ248" s="6" t="s">
        <v>2789</v>
      </c>
      <c r="AK248" s="33" t="s">
        <v>97</v>
      </c>
      <c r="AL248" s="33" t="s">
        <v>97</v>
      </c>
      <c r="AM248" s="5"/>
      <c r="AN248" s="5"/>
      <c r="AO248" s="5"/>
      <c r="AP248" s="5"/>
      <c r="AQ248" s="49" t="s">
        <v>1046</v>
      </c>
      <c r="AR248" s="20" t="s">
        <v>97</v>
      </c>
      <c r="AS248" s="20" t="s">
        <v>107</v>
      </c>
      <c r="AT248" s="20"/>
      <c r="AU248" s="24">
        <v>0.9</v>
      </c>
      <c r="AV248" s="24">
        <f t="shared" si="50"/>
        <v>0.72000000000000008</v>
      </c>
      <c r="AW248" s="24">
        <f t="shared" si="51"/>
        <v>0.54</v>
      </c>
      <c r="AX248" s="25">
        <v>1E-4</v>
      </c>
      <c r="AY248" s="24">
        <v>0</v>
      </c>
      <c r="AZ248" s="24">
        <f>+AU248*90%</f>
        <v>0.81</v>
      </c>
      <c r="BA248" s="24">
        <f t="shared" si="48"/>
        <v>0.64800000000000013</v>
      </c>
      <c r="BB248" s="24">
        <f t="shared" si="49"/>
        <v>0.48599999999999999</v>
      </c>
      <c r="BC248" s="25">
        <v>1E-4</v>
      </c>
      <c r="BD248" s="24">
        <v>0</v>
      </c>
      <c r="BE248" s="26">
        <v>0</v>
      </c>
      <c r="BF248" s="34">
        <f t="shared" si="45"/>
        <v>0</v>
      </c>
      <c r="BG248" s="34">
        <f t="shared" si="46"/>
        <v>0</v>
      </c>
      <c r="BH248" s="26">
        <v>0</v>
      </c>
      <c r="BI248" s="26">
        <v>0</v>
      </c>
      <c r="BJ248" s="27">
        <v>0.50600000000000001</v>
      </c>
      <c r="BK248" s="27">
        <v>0.70712611707744211</v>
      </c>
      <c r="BL248" s="27" t="s">
        <v>2809</v>
      </c>
      <c r="BM248" s="27" t="s">
        <v>2818</v>
      </c>
      <c r="BN248" s="26"/>
      <c r="BO248" s="34"/>
      <c r="BP248" s="34"/>
      <c r="BQ248" s="34"/>
      <c r="BR248" s="34"/>
      <c r="BS248" s="34"/>
      <c r="BT248" s="34"/>
      <c r="BU248" s="34"/>
      <c r="BV248" s="34"/>
      <c r="BW248" s="34"/>
      <c r="BX248" s="34"/>
      <c r="BY248" s="34"/>
      <c r="BZ248" s="34"/>
      <c r="CA248" s="20"/>
      <c r="CB248" s="20"/>
      <c r="CC248" s="46">
        <v>46003</v>
      </c>
      <c r="CD248" s="2" t="s">
        <v>2802</v>
      </c>
    </row>
    <row r="249" spans="1:82" s="18" customFormat="1" ht="66.75" customHeight="1" x14ac:dyDescent="0.25">
      <c r="A249" s="87">
        <v>245</v>
      </c>
      <c r="B249" s="141" t="s">
        <v>2819</v>
      </c>
      <c r="C249" s="6" t="s">
        <v>2820</v>
      </c>
      <c r="D249" s="6" t="s">
        <v>2821</v>
      </c>
      <c r="E249" s="75" t="s">
        <v>113</v>
      </c>
      <c r="F249" s="4" t="s">
        <v>2782</v>
      </c>
      <c r="G249" s="33" t="s">
        <v>84</v>
      </c>
      <c r="H249" s="49" t="s">
        <v>775</v>
      </c>
      <c r="I249" s="49" t="s">
        <v>1046</v>
      </c>
      <c r="J249" s="6"/>
      <c r="K249" s="49"/>
      <c r="L249" s="49"/>
      <c r="M249" s="49" t="s">
        <v>88</v>
      </c>
      <c r="N249" s="49" t="s">
        <v>89</v>
      </c>
      <c r="O249" s="49" t="s">
        <v>1444</v>
      </c>
      <c r="P249" s="6" t="s">
        <v>1445</v>
      </c>
      <c r="Q249" s="49"/>
      <c r="R249" s="75" t="s">
        <v>91</v>
      </c>
      <c r="S249" s="33" t="s">
        <v>92</v>
      </c>
      <c r="T249" s="33" t="s">
        <v>93</v>
      </c>
      <c r="U249" s="78">
        <v>100</v>
      </c>
      <c r="V249" s="33" t="s">
        <v>94</v>
      </c>
      <c r="W249" s="33" t="s">
        <v>95</v>
      </c>
      <c r="X249" s="33">
        <v>2023</v>
      </c>
      <c r="Y249" s="33" t="s">
        <v>117</v>
      </c>
      <c r="Z249" s="33" t="s">
        <v>97</v>
      </c>
      <c r="AA249" s="33" t="s">
        <v>973</v>
      </c>
      <c r="AB249" s="49" t="s">
        <v>99</v>
      </c>
      <c r="AC249" s="48" t="s">
        <v>2822</v>
      </c>
      <c r="AD249" s="48" t="s">
        <v>2785</v>
      </c>
      <c r="AE249" s="6" t="s">
        <v>2823</v>
      </c>
      <c r="AF249" s="6" t="s">
        <v>2787</v>
      </c>
      <c r="AG249" s="6" t="s">
        <v>1043</v>
      </c>
      <c r="AH249" s="6" t="s">
        <v>1043</v>
      </c>
      <c r="AI249" s="6" t="s">
        <v>2824</v>
      </c>
      <c r="AJ249" s="6" t="s">
        <v>2789</v>
      </c>
      <c r="AK249" s="33" t="s">
        <v>97</v>
      </c>
      <c r="AL249" s="33" t="s">
        <v>97</v>
      </c>
      <c r="AM249" s="5"/>
      <c r="AN249" s="5"/>
      <c r="AO249" s="5"/>
      <c r="AP249" s="5"/>
      <c r="AQ249" s="49" t="s">
        <v>1046</v>
      </c>
      <c r="AR249" s="20" t="s">
        <v>97</v>
      </c>
      <c r="AS249" s="20" t="s">
        <v>107</v>
      </c>
      <c r="AT249" s="20"/>
      <c r="AU249" s="24">
        <v>0.9</v>
      </c>
      <c r="AV249" s="24">
        <f t="shared" si="50"/>
        <v>0.72000000000000008</v>
      </c>
      <c r="AW249" s="24">
        <f t="shared" si="51"/>
        <v>0.54</v>
      </c>
      <c r="AX249" s="25">
        <v>1E-4</v>
      </c>
      <c r="AY249" s="24">
        <v>0</v>
      </c>
      <c r="AZ249" s="24">
        <f>+AU249*90%</f>
        <v>0.81</v>
      </c>
      <c r="BA249" s="24">
        <f t="shared" si="48"/>
        <v>0.64800000000000013</v>
      </c>
      <c r="BB249" s="24">
        <f t="shared" si="49"/>
        <v>0.48599999999999999</v>
      </c>
      <c r="BC249" s="25">
        <v>1E-4</v>
      </c>
      <c r="BD249" s="24">
        <v>0</v>
      </c>
      <c r="BE249" s="26">
        <v>0</v>
      </c>
      <c r="BF249" s="34">
        <f t="shared" si="45"/>
        <v>0</v>
      </c>
      <c r="BG249" s="34">
        <f t="shared" si="46"/>
        <v>0</v>
      </c>
      <c r="BH249" s="26">
        <v>0</v>
      </c>
      <c r="BI249" s="26">
        <v>0</v>
      </c>
      <c r="BJ249" s="27">
        <v>0.504</v>
      </c>
      <c r="BK249" s="27">
        <v>0.70833655257668238</v>
      </c>
      <c r="BL249" s="27" t="s">
        <v>2825</v>
      </c>
      <c r="BM249" s="27" t="s">
        <v>2826</v>
      </c>
      <c r="BN249" s="26"/>
      <c r="BO249" s="34"/>
      <c r="BP249" s="34"/>
      <c r="BQ249" s="34"/>
      <c r="BR249" s="34"/>
      <c r="BS249" s="34"/>
      <c r="BT249" s="34"/>
      <c r="BU249" s="34"/>
      <c r="BV249" s="34"/>
      <c r="BW249" s="34"/>
      <c r="BX249" s="34"/>
      <c r="BY249" s="34"/>
      <c r="BZ249" s="34"/>
      <c r="CA249" s="20"/>
      <c r="CB249" s="20"/>
      <c r="CC249" s="46">
        <v>46003</v>
      </c>
      <c r="CD249" s="2" t="s">
        <v>2802</v>
      </c>
    </row>
    <row r="250" spans="1:82" s="18" customFormat="1" ht="66.75" customHeight="1" x14ac:dyDescent="0.25">
      <c r="A250" s="121">
        <v>246</v>
      </c>
      <c r="B250" s="141" t="s">
        <v>2827</v>
      </c>
      <c r="C250" s="6" t="s">
        <v>2828</v>
      </c>
      <c r="D250" s="6" t="s">
        <v>2829</v>
      </c>
      <c r="E250" s="75" t="s">
        <v>113</v>
      </c>
      <c r="F250" s="4" t="s">
        <v>2782</v>
      </c>
      <c r="G250" s="33" t="s">
        <v>84</v>
      </c>
      <c r="H250" s="49" t="s">
        <v>775</v>
      </c>
      <c r="I250" s="49" t="s">
        <v>1046</v>
      </c>
      <c r="J250" s="6"/>
      <c r="K250" s="49"/>
      <c r="L250" s="49"/>
      <c r="M250" s="49" t="s">
        <v>88</v>
      </c>
      <c r="N250" s="49" t="s">
        <v>89</v>
      </c>
      <c r="O250" s="49" t="s">
        <v>1444</v>
      </c>
      <c r="P250" s="6" t="s">
        <v>1445</v>
      </c>
      <c r="Q250" s="49"/>
      <c r="R250" s="75" t="s">
        <v>91</v>
      </c>
      <c r="S250" s="33" t="s">
        <v>92</v>
      </c>
      <c r="T250" s="33" t="s">
        <v>93</v>
      </c>
      <c r="U250" s="78">
        <v>100</v>
      </c>
      <c r="V250" s="33" t="s">
        <v>94</v>
      </c>
      <c r="W250" s="33" t="s">
        <v>95</v>
      </c>
      <c r="X250" s="33">
        <v>2023</v>
      </c>
      <c r="Y250" s="33" t="s">
        <v>117</v>
      </c>
      <c r="Z250" s="33" t="s">
        <v>97</v>
      </c>
      <c r="AA250" s="33" t="s">
        <v>973</v>
      </c>
      <c r="AB250" s="49" t="s">
        <v>99</v>
      </c>
      <c r="AC250" s="48" t="s">
        <v>2830</v>
      </c>
      <c r="AD250" s="48" t="s">
        <v>2785</v>
      </c>
      <c r="AE250" s="6" t="s">
        <v>2831</v>
      </c>
      <c r="AF250" s="6" t="s">
        <v>2787</v>
      </c>
      <c r="AG250" s="6" t="s">
        <v>1043</v>
      </c>
      <c r="AH250" s="6" t="s">
        <v>1043</v>
      </c>
      <c r="AI250" s="6" t="s">
        <v>2832</v>
      </c>
      <c r="AJ250" s="6" t="s">
        <v>2789</v>
      </c>
      <c r="AK250" s="33" t="s">
        <v>97</v>
      </c>
      <c r="AL250" s="33" t="s">
        <v>97</v>
      </c>
      <c r="AM250" s="5"/>
      <c r="AN250" s="5"/>
      <c r="AO250" s="5"/>
      <c r="AP250" s="5"/>
      <c r="AQ250" s="49" t="s">
        <v>1046</v>
      </c>
      <c r="AR250" s="20" t="s">
        <v>97</v>
      </c>
      <c r="AS250" s="20" t="s">
        <v>107</v>
      </c>
      <c r="AT250" s="20"/>
      <c r="AU250" s="24">
        <v>0.9</v>
      </c>
      <c r="AV250" s="24">
        <f t="shared" si="50"/>
        <v>0.72000000000000008</v>
      </c>
      <c r="AW250" s="24">
        <f t="shared" si="51"/>
        <v>0.54</v>
      </c>
      <c r="AX250" s="25">
        <v>1E-4</v>
      </c>
      <c r="AY250" s="24">
        <v>0</v>
      </c>
      <c r="AZ250" s="24">
        <f>+AU250*90%</f>
        <v>0.81</v>
      </c>
      <c r="BA250" s="24">
        <f t="shared" si="48"/>
        <v>0.64800000000000013</v>
      </c>
      <c r="BB250" s="24">
        <f t="shared" si="49"/>
        <v>0.48599999999999999</v>
      </c>
      <c r="BC250" s="25">
        <v>1E-4</v>
      </c>
      <c r="BD250" s="24">
        <v>0</v>
      </c>
      <c r="BE250" s="26">
        <v>0</v>
      </c>
      <c r="BF250" s="34">
        <f t="shared" si="45"/>
        <v>0</v>
      </c>
      <c r="BG250" s="34">
        <f t="shared" si="46"/>
        <v>0</v>
      </c>
      <c r="BH250" s="26">
        <v>0</v>
      </c>
      <c r="BI250" s="26">
        <v>0</v>
      </c>
      <c r="BJ250" s="27">
        <v>0.51100000000000001</v>
      </c>
      <c r="BK250" s="27">
        <v>0.72502511009812254</v>
      </c>
      <c r="BL250" s="27" t="s">
        <v>2833</v>
      </c>
      <c r="BM250" s="27" t="s">
        <v>2834</v>
      </c>
      <c r="BN250" s="26"/>
      <c r="BO250" s="34"/>
      <c r="BP250" s="34"/>
      <c r="BQ250" s="34"/>
      <c r="BR250" s="34"/>
      <c r="BS250" s="34"/>
      <c r="BT250" s="34"/>
      <c r="BU250" s="34"/>
      <c r="BV250" s="34"/>
      <c r="BW250" s="34"/>
      <c r="BX250" s="34"/>
      <c r="BY250" s="34"/>
      <c r="BZ250" s="34"/>
      <c r="CA250" s="20"/>
      <c r="CB250" s="20"/>
      <c r="CC250" s="46">
        <v>46003</v>
      </c>
      <c r="CD250" s="2" t="s">
        <v>2802</v>
      </c>
    </row>
    <row r="251" spans="1:82" s="18" customFormat="1" ht="66.75" customHeight="1" x14ac:dyDescent="0.25">
      <c r="A251" s="87">
        <v>247</v>
      </c>
      <c r="B251" s="141" t="s">
        <v>2835</v>
      </c>
      <c r="C251" s="6" t="s">
        <v>2836</v>
      </c>
      <c r="D251" s="6" t="s">
        <v>2837</v>
      </c>
      <c r="E251" s="75" t="s">
        <v>113</v>
      </c>
      <c r="F251" s="4" t="s">
        <v>2782</v>
      </c>
      <c r="G251" s="33" t="s">
        <v>84</v>
      </c>
      <c r="H251" s="49" t="s">
        <v>775</v>
      </c>
      <c r="I251" s="49" t="s">
        <v>1046</v>
      </c>
      <c r="J251" s="6"/>
      <c r="K251" s="49"/>
      <c r="L251" s="49"/>
      <c r="M251" s="49" t="s">
        <v>136</v>
      </c>
      <c r="N251" s="49" t="s">
        <v>89</v>
      </c>
      <c r="O251" s="49" t="s">
        <v>1520</v>
      </c>
      <c r="P251" s="6" t="s">
        <v>2688</v>
      </c>
      <c r="Q251" s="49"/>
      <c r="R251" s="75" t="s">
        <v>91</v>
      </c>
      <c r="S251" s="33" t="s">
        <v>92</v>
      </c>
      <c r="T251" s="33" t="s">
        <v>93</v>
      </c>
      <c r="U251" s="78">
        <v>100</v>
      </c>
      <c r="V251" s="33" t="s">
        <v>94</v>
      </c>
      <c r="W251" s="33" t="s">
        <v>95</v>
      </c>
      <c r="X251" s="33">
        <v>2023</v>
      </c>
      <c r="Y251" s="33" t="s">
        <v>117</v>
      </c>
      <c r="Z251" s="33" t="s">
        <v>97</v>
      </c>
      <c r="AA251" s="33" t="s">
        <v>973</v>
      </c>
      <c r="AB251" s="49" t="s">
        <v>99</v>
      </c>
      <c r="AC251" s="48" t="s">
        <v>2838</v>
      </c>
      <c r="AD251" s="48" t="s">
        <v>2785</v>
      </c>
      <c r="AE251" s="6" t="s">
        <v>2839</v>
      </c>
      <c r="AF251" s="6" t="s">
        <v>2787</v>
      </c>
      <c r="AG251" s="6" t="s">
        <v>2840</v>
      </c>
      <c r="AH251" s="6" t="s">
        <v>1043</v>
      </c>
      <c r="AI251" s="6" t="s">
        <v>2841</v>
      </c>
      <c r="AJ251" s="6" t="s">
        <v>2789</v>
      </c>
      <c r="AK251" s="33" t="s">
        <v>97</v>
      </c>
      <c r="AL251" s="33" t="s">
        <v>97</v>
      </c>
      <c r="AM251" s="5"/>
      <c r="AN251" s="5"/>
      <c r="AO251" s="5"/>
      <c r="AP251" s="5"/>
      <c r="AQ251" s="49" t="s">
        <v>1046</v>
      </c>
      <c r="AR251" s="20" t="s">
        <v>97</v>
      </c>
      <c r="AS251" s="20" t="s">
        <v>107</v>
      </c>
      <c r="AT251" s="20"/>
      <c r="AU251" s="24">
        <v>0.95</v>
      </c>
      <c r="AV251" s="24">
        <f t="shared" si="50"/>
        <v>0.76</v>
      </c>
      <c r="AW251" s="24">
        <f t="shared" si="51"/>
        <v>0.56999999999999995</v>
      </c>
      <c r="AX251" s="25">
        <v>1E-4</v>
      </c>
      <c r="AY251" s="24">
        <v>0</v>
      </c>
      <c r="AZ251" s="24">
        <v>0.9</v>
      </c>
      <c r="BA251" s="24">
        <f t="shared" si="48"/>
        <v>0.72000000000000008</v>
      </c>
      <c r="BB251" s="24">
        <f t="shared" si="49"/>
        <v>0.54</v>
      </c>
      <c r="BC251" s="25">
        <v>1E-4</v>
      </c>
      <c r="BD251" s="24">
        <v>0</v>
      </c>
      <c r="BE251" s="26">
        <v>0</v>
      </c>
      <c r="BF251" s="34">
        <f t="shared" si="45"/>
        <v>0</v>
      </c>
      <c r="BG251" s="34">
        <f t="shared" si="46"/>
        <v>0</v>
      </c>
      <c r="BH251" s="26">
        <v>0</v>
      </c>
      <c r="BI251" s="26">
        <v>0</v>
      </c>
      <c r="BJ251" s="27">
        <v>0.745</v>
      </c>
      <c r="BK251" s="27">
        <v>0.78747843106956139</v>
      </c>
      <c r="BL251" s="27" t="s">
        <v>2842</v>
      </c>
      <c r="BM251" s="27" t="s">
        <v>2843</v>
      </c>
      <c r="BN251" s="26"/>
      <c r="BO251" s="34"/>
      <c r="BP251" s="34"/>
      <c r="BQ251" s="34">
        <v>1</v>
      </c>
      <c r="BR251" s="34"/>
      <c r="BS251" s="34"/>
      <c r="BT251" s="34"/>
      <c r="BU251" s="34"/>
      <c r="BV251" s="34"/>
      <c r="BW251" s="34"/>
      <c r="BX251" s="34"/>
      <c r="BY251" s="34"/>
      <c r="BZ251" s="34"/>
      <c r="CA251" s="20"/>
      <c r="CB251" s="20"/>
      <c r="CC251" s="46">
        <v>46006</v>
      </c>
      <c r="CD251" s="2" t="s">
        <v>2844</v>
      </c>
    </row>
    <row r="252" spans="1:82" s="18" customFormat="1" ht="66.75" customHeight="1" x14ac:dyDescent="0.25">
      <c r="A252" s="87">
        <v>248</v>
      </c>
      <c r="B252" s="141" t="s">
        <v>2845</v>
      </c>
      <c r="C252" s="6" t="s">
        <v>2846</v>
      </c>
      <c r="D252" s="6" t="s">
        <v>2847</v>
      </c>
      <c r="E252" s="75" t="s">
        <v>113</v>
      </c>
      <c r="F252" s="4" t="s">
        <v>2782</v>
      </c>
      <c r="G252" s="33" t="s">
        <v>84</v>
      </c>
      <c r="H252" s="49" t="s">
        <v>775</v>
      </c>
      <c r="I252" s="49" t="s">
        <v>1046</v>
      </c>
      <c r="J252" s="6"/>
      <c r="K252" s="49"/>
      <c r="L252" s="49"/>
      <c r="M252" s="49" t="s">
        <v>88</v>
      </c>
      <c r="N252" s="49" t="s">
        <v>89</v>
      </c>
      <c r="O252" s="49" t="s">
        <v>1520</v>
      </c>
      <c r="P252" s="6" t="s">
        <v>2722</v>
      </c>
      <c r="Q252" s="49"/>
      <c r="R252" s="75" t="s">
        <v>91</v>
      </c>
      <c r="S252" s="33" t="s">
        <v>92</v>
      </c>
      <c r="T252" s="33" t="s">
        <v>93</v>
      </c>
      <c r="U252" s="78">
        <v>100</v>
      </c>
      <c r="V252" s="33" t="s">
        <v>94</v>
      </c>
      <c r="W252" s="33" t="s">
        <v>95</v>
      </c>
      <c r="X252" s="33">
        <v>2023</v>
      </c>
      <c r="Y252" s="33" t="s">
        <v>117</v>
      </c>
      <c r="Z252" s="33" t="s">
        <v>97</v>
      </c>
      <c r="AA252" s="33" t="s">
        <v>973</v>
      </c>
      <c r="AB252" s="49" t="s">
        <v>99</v>
      </c>
      <c r="AC252" s="48" t="s">
        <v>2848</v>
      </c>
      <c r="AD252" s="48" t="s">
        <v>2785</v>
      </c>
      <c r="AE252" s="6" t="s">
        <v>2849</v>
      </c>
      <c r="AF252" s="6" t="s">
        <v>2787</v>
      </c>
      <c r="AG252" s="6" t="s">
        <v>2840</v>
      </c>
      <c r="AH252" s="6" t="s">
        <v>1043</v>
      </c>
      <c r="AI252" s="6" t="s">
        <v>2850</v>
      </c>
      <c r="AJ252" s="6" t="s">
        <v>2789</v>
      </c>
      <c r="AK252" s="33" t="s">
        <v>97</v>
      </c>
      <c r="AL252" s="33" t="s">
        <v>97</v>
      </c>
      <c r="AM252" s="5"/>
      <c r="AN252" s="5"/>
      <c r="AO252" s="5"/>
      <c r="AP252" s="5"/>
      <c r="AQ252" s="49" t="s">
        <v>1046</v>
      </c>
      <c r="AR252" s="20" t="s">
        <v>97</v>
      </c>
      <c r="AS252" s="20" t="s">
        <v>107</v>
      </c>
      <c r="AT252" s="20"/>
      <c r="AU252" s="24">
        <v>0.95</v>
      </c>
      <c r="AV252" s="24">
        <f t="shared" si="50"/>
        <v>0.76</v>
      </c>
      <c r="AW252" s="24">
        <f t="shared" si="51"/>
        <v>0.56999999999999995</v>
      </c>
      <c r="AX252" s="25">
        <v>1E-4</v>
      </c>
      <c r="AY252" s="24">
        <v>0</v>
      </c>
      <c r="AZ252" s="24">
        <v>0.9</v>
      </c>
      <c r="BA252" s="24">
        <f t="shared" si="48"/>
        <v>0.72000000000000008</v>
      </c>
      <c r="BB252" s="24">
        <f t="shared" si="49"/>
        <v>0.54</v>
      </c>
      <c r="BC252" s="25">
        <v>1E-4</v>
      </c>
      <c r="BD252" s="24">
        <v>0</v>
      </c>
      <c r="BE252" s="26">
        <v>0</v>
      </c>
      <c r="BF252" s="34">
        <f t="shared" si="45"/>
        <v>0</v>
      </c>
      <c r="BG252" s="34">
        <f t="shared" si="46"/>
        <v>0</v>
      </c>
      <c r="BH252" s="26">
        <v>0</v>
      </c>
      <c r="BI252" s="26">
        <v>0</v>
      </c>
      <c r="BJ252" s="27">
        <v>0.80200000000000005</v>
      </c>
      <c r="BK252" s="27">
        <v>0.81665765278528935</v>
      </c>
      <c r="BL252" s="27" t="s">
        <v>2851</v>
      </c>
      <c r="BM252" s="27" t="s">
        <v>2852</v>
      </c>
      <c r="BN252" s="26"/>
      <c r="BO252" s="34"/>
      <c r="BP252" s="34"/>
      <c r="BQ252" s="34"/>
      <c r="BR252" s="34"/>
      <c r="BS252" s="34"/>
      <c r="BT252" s="34"/>
      <c r="BU252" s="34"/>
      <c r="BV252" s="34"/>
      <c r="BW252" s="34"/>
      <c r="BX252" s="34"/>
      <c r="BY252" s="34"/>
      <c r="BZ252" s="34"/>
      <c r="CA252" s="20"/>
      <c r="CB252" s="20"/>
      <c r="CC252" s="46">
        <v>46006</v>
      </c>
      <c r="CD252" s="2" t="s">
        <v>2853</v>
      </c>
    </row>
    <row r="253" spans="1:82" s="18" customFormat="1" ht="66.75" customHeight="1" x14ac:dyDescent="0.25">
      <c r="A253" s="121">
        <v>249</v>
      </c>
      <c r="B253" s="141" t="s">
        <v>2854</v>
      </c>
      <c r="C253" s="6" t="s">
        <v>2855</v>
      </c>
      <c r="D253" s="6" t="s">
        <v>2856</v>
      </c>
      <c r="E253" s="75" t="s">
        <v>174</v>
      </c>
      <c r="F253" s="4" t="s">
        <v>2782</v>
      </c>
      <c r="G253" s="33" t="s">
        <v>2782</v>
      </c>
      <c r="H253" s="49" t="s">
        <v>775</v>
      </c>
      <c r="I253" s="49" t="s">
        <v>1046</v>
      </c>
      <c r="J253" s="6"/>
      <c r="K253" s="49"/>
      <c r="L253" s="49"/>
      <c r="M253" s="49" t="s">
        <v>136</v>
      </c>
      <c r="N253" s="49" t="s">
        <v>89</v>
      </c>
      <c r="O253" s="49" t="s">
        <v>1520</v>
      </c>
      <c r="P253" s="6" t="s">
        <v>2688</v>
      </c>
      <c r="Q253" s="49"/>
      <c r="R253" s="75" t="s">
        <v>91</v>
      </c>
      <c r="S253" s="33" t="s">
        <v>92</v>
      </c>
      <c r="T253" s="33" t="s">
        <v>93</v>
      </c>
      <c r="U253" s="78">
        <v>100</v>
      </c>
      <c r="V253" s="33" t="s">
        <v>94</v>
      </c>
      <c r="W253" s="33" t="s">
        <v>95</v>
      </c>
      <c r="X253" s="33">
        <v>2023</v>
      </c>
      <c r="Y253" s="33" t="s">
        <v>117</v>
      </c>
      <c r="Z253" s="33" t="s">
        <v>97</v>
      </c>
      <c r="AA253" s="33" t="s">
        <v>973</v>
      </c>
      <c r="AB253" s="49" t="s">
        <v>99</v>
      </c>
      <c r="AC253" s="48" t="s">
        <v>2857</v>
      </c>
      <c r="AD253" s="48" t="s">
        <v>2785</v>
      </c>
      <c r="AE253" s="6" t="s">
        <v>2858</v>
      </c>
      <c r="AF253" s="6" t="s">
        <v>2787</v>
      </c>
      <c r="AG253" s="6" t="s">
        <v>2840</v>
      </c>
      <c r="AH253" s="6" t="s">
        <v>1043</v>
      </c>
      <c r="AI253" s="6" t="s">
        <v>2859</v>
      </c>
      <c r="AJ253" s="6" t="s">
        <v>2789</v>
      </c>
      <c r="AK253" s="33" t="s">
        <v>97</v>
      </c>
      <c r="AL253" s="33" t="s">
        <v>97</v>
      </c>
      <c r="AM253" s="5"/>
      <c r="AN253" s="5"/>
      <c r="AO253" s="5"/>
      <c r="AP253" s="5"/>
      <c r="AQ253" s="49" t="s">
        <v>1046</v>
      </c>
      <c r="AR253" s="20" t="s">
        <v>97</v>
      </c>
      <c r="AS253" s="20" t="s">
        <v>107</v>
      </c>
      <c r="AT253" s="20"/>
      <c r="AU253" s="24">
        <v>0.95</v>
      </c>
      <c r="AV253" s="24">
        <f t="shared" si="50"/>
        <v>0.76</v>
      </c>
      <c r="AW253" s="24">
        <f t="shared" si="51"/>
        <v>0.56999999999999995</v>
      </c>
      <c r="AX253" s="25">
        <v>1E-4</v>
      </c>
      <c r="AY253" s="24">
        <v>0</v>
      </c>
      <c r="AZ253" s="24">
        <v>0.9</v>
      </c>
      <c r="BA253" s="24">
        <f t="shared" si="48"/>
        <v>0.72000000000000008</v>
      </c>
      <c r="BB253" s="24">
        <f t="shared" si="49"/>
        <v>0.54</v>
      </c>
      <c r="BC253" s="25">
        <v>1E-4</v>
      </c>
      <c r="BD253" s="24">
        <v>0</v>
      </c>
      <c r="BE253" s="34">
        <v>30</v>
      </c>
      <c r="BF253" s="34">
        <f t="shared" si="45"/>
        <v>24</v>
      </c>
      <c r="BG253" s="34">
        <f t="shared" si="46"/>
        <v>18</v>
      </c>
      <c r="BH253" s="26">
        <v>1</v>
      </c>
      <c r="BI253" s="26">
        <v>0</v>
      </c>
      <c r="BJ253" s="27">
        <v>0.86599999999999999</v>
      </c>
      <c r="BK253" s="27">
        <v>0.89116382085554613</v>
      </c>
      <c r="BL253" s="27" t="s">
        <v>2860</v>
      </c>
      <c r="BM253" s="27" t="s">
        <v>2861</v>
      </c>
      <c r="BN253" s="26"/>
      <c r="BO253" s="34"/>
      <c r="BP253" s="34"/>
      <c r="BQ253" s="34">
        <v>1</v>
      </c>
      <c r="BR253" s="34"/>
      <c r="BS253" s="34"/>
      <c r="BT253" s="34"/>
      <c r="BU253" s="34"/>
      <c r="BV253" s="34"/>
      <c r="BW253" s="34"/>
      <c r="BX253" s="34"/>
      <c r="BY253" s="34"/>
      <c r="BZ253" s="34"/>
      <c r="CA253" s="20"/>
      <c r="CB253" s="20"/>
      <c r="CC253" s="46">
        <v>46006</v>
      </c>
      <c r="CD253" s="2" t="s">
        <v>2862</v>
      </c>
    </row>
    <row r="254" spans="1:82" s="18" customFormat="1" ht="66.75" customHeight="1" x14ac:dyDescent="0.25">
      <c r="A254" s="87">
        <v>250</v>
      </c>
      <c r="B254" s="141" t="s">
        <v>2863</v>
      </c>
      <c r="C254" s="6" t="s">
        <v>2864</v>
      </c>
      <c r="D254" s="6" t="s">
        <v>2865</v>
      </c>
      <c r="E254" s="75" t="s">
        <v>174</v>
      </c>
      <c r="F254" s="4" t="s">
        <v>2782</v>
      </c>
      <c r="G254" s="33" t="s">
        <v>2782</v>
      </c>
      <c r="H254" s="49" t="s">
        <v>775</v>
      </c>
      <c r="I254" s="49" t="s">
        <v>1046</v>
      </c>
      <c r="J254" s="6"/>
      <c r="K254" s="49"/>
      <c r="L254" s="49"/>
      <c r="M254" s="49" t="s">
        <v>136</v>
      </c>
      <c r="N254" s="49" t="s">
        <v>89</v>
      </c>
      <c r="O254" s="49" t="s">
        <v>1520</v>
      </c>
      <c r="P254" s="6" t="s">
        <v>2688</v>
      </c>
      <c r="Q254" s="49"/>
      <c r="R254" s="75" t="s">
        <v>91</v>
      </c>
      <c r="S254" s="33" t="s">
        <v>92</v>
      </c>
      <c r="T254" s="33" t="s">
        <v>93</v>
      </c>
      <c r="U254" s="78">
        <v>100</v>
      </c>
      <c r="V254" s="33" t="s">
        <v>94</v>
      </c>
      <c r="W254" s="33" t="s">
        <v>95</v>
      </c>
      <c r="X254" s="33">
        <v>2023</v>
      </c>
      <c r="Y254" s="33" t="s">
        <v>117</v>
      </c>
      <c r="Z254" s="33" t="s">
        <v>97</v>
      </c>
      <c r="AA254" s="33" t="s">
        <v>973</v>
      </c>
      <c r="AB254" s="49" t="s">
        <v>99</v>
      </c>
      <c r="AC254" s="6" t="s">
        <v>2866</v>
      </c>
      <c r="AD254" s="6" t="s">
        <v>2867</v>
      </c>
      <c r="AE254" s="6" t="s">
        <v>2868</v>
      </c>
      <c r="AF254" s="6" t="s">
        <v>2787</v>
      </c>
      <c r="AG254" s="6" t="s">
        <v>2840</v>
      </c>
      <c r="AH254" s="6" t="s">
        <v>1043</v>
      </c>
      <c r="AI254" s="6" t="s">
        <v>2869</v>
      </c>
      <c r="AJ254" s="6" t="s">
        <v>2789</v>
      </c>
      <c r="AK254" s="33" t="s">
        <v>97</v>
      </c>
      <c r="AL254" s="5" t="s">
        <v>2870</v>
      </c>
      <c r="AM254" s="5"/>
      <c r="AN254" s="5"/>
      <c r="AO254" s="5"/>
      <c r="AP254" s="5"/>
      <c r="AQ254" s="49" t="s">
        <v>1046</v>
      </c>
      <c r="AR254" s="20" t="s">
        <v>97</v>
      </c>
      <c r="AS254" s="20" t="s">
        <v>107</v>
      </c>
      <c r="AT254" s="20"/>
      <c r="AU254" s="24">
        <v>0.95</v>
      </c>
      <c r="AV254" s="24">
        <f t="shared" si="50"/>
        <v>0.76</v>
      </c>
      <c r="AW254" s="24">
        <f t="shared" si="51"/>
        <v>0.56999999999999995</v>
      </c>
      <c r="AX254" s="25">
        <v>1E-4</v>
      </c>
      <c r="AY254" s="24">
        <v>0</v>
      </c>
      <c r="AZ254" s="24">
        <v>0.9</v>
      </c>
      <c r="BA254" s="24">
        <f t="shared" si="48"/>
        <v>0.72000000000000008</v>
      </c>
      <c r="BB254" s="24">
        <f t="shared" si="49"/>
        <v>0.54</v>
      </c>
      <c r="BC254" s="25">
        <v>1E-4</v>
      </c>
      <c r="BD254" s="24">
        <v>0</v>
      </c>
      <c r="BE254" s="34">
        <v>30</v>
      </c>
      <c r="BF254" s="34">
        <f t="shared" si="45"/>
        <v>24</v>
      </c>
      <c r="BG254" s="34">
        <f t="shared" si="46"/>
        <v>18</v>
      </c>
      <c r="BH254" s="26">
        <v>1</v>
      </c>
      <c r="BI254" s="26">
        <v>0</v>
      </c>
      <c r="BJ254" s="27">
        <v>0.88</v>
      </c>
      <c r="BK254" s="27">
        <v>0.89837492595740298</v>
      </c>
      <c r="BL254" s="27" t="s">
        <v>2871</v>
      </c>
      <c r="BM254" s="27" t="s">
        <v>2872</v>
      </c>
      <c r="BN254" s="26"/>
      <c r="BO254" s="34"/>
      <c r="BP254" s="34"/>
      <c r="BQ254" s="34">
        <v>1</v>
      </c>
      <c r="BR254" s="34"/>
      <c r="BS254" s="34"/>
      <c r="BT254" s="34"/>
      <c r="BU254" s="34"/>
      <c r="BV254" s="34"/>
      <c r="BW254" s="34"/>
      <c r="BX254" s="34"/>
      <c r="BY254" s="34"/>
      <c r="BZ254" s="34"/>
      <c r="CA254" s="20"/>
      <c r="CB254" s="20"/>
      <c r="CC254" s="46">
        <v>46006</v>
      </c>
      <c r="CD254" s="42" t="s">
        <v>2873</v>
      </c>
    </row>
    <row r="255" spans="1:82" s="18" customFormat="1" ht="66.75" customHeight="1" x14ac:dyDescent="0.25">
      <c r="A255" s="87">
        <v>251</v>
      </c>
      <c r="B255" s="141" t="s">
        <v>2874</v>
      </c>
      <c r="C255" s="6" t="s">
        <v>2875</v>
      </c>
      <c r="D255" s="6" t="s">
        <v>2876</v>
      </c>
      <c r="E255" s="75" t="s">
        <v>113</v>
      </c>
      <c r="F255" s="4" t="s">
        <v>2782</v>
      </c>
      <c r="G255" s="33" t="s">
        <v>84</v>
      </c>
      <c r="H255" s="49" t="s">
        <v>775</v>
      </c>
      <c r="I255" s="49" t="s">
        <v>1046</v>
      </c>
      <c r="J255" s="6"/>
      <c r="K255" s="49"/>
      <c r="L255" s="49"/>
      <c r="M255" s="49" t="s">
        <v>88</v>
      </c>
      <c r="N255" s="49" t="s">
        <v>89</v>
      </c>
      <c r="O255" s="49" t="s">
        <v>116</v>
      </c>
      <c r="P255" s="6" t="s">
        <v>1294</v>
      </c>
      <c r="Q255" s="49"/>
      <c r="R255" s="75" t="s">
        <v>91</v>
      </c>
      <c r="S255" s="33" t="s">
        <v>92</v>
      </c>
      <c r="T255" s="33" t="s">
        <v>93</v>
      </c>
      <c r="U255" s="78">
        <v>100</v>
      </c>
      <c r="V255" s="33" t="s">
        <v>94</v>
      </c>
      <c r="W255" s="33" t="s">
        <v>95</v>
      </c>
      <c r="X255" s="33">
        <v>2023</v>
      </c>
      <c r="Y255" s="33" t="s">
        <v>117</v>
      </c>
      <c r="Z255" s="33" t="s">
        <v>97</v>
      </c>
      <c r="AA255" s="33" t="s">
        <v>973</v>
      </c>
      <c r="AB255" s="49" t="s">
        <v>99</v>
      </c>
      <c r="AC255" s="48" t="s">
        <v>2877</v>
      </c>
      <c r="AD255" s="48" t="s">
        <v>2785</v>
      </c>
      <c r="AE255" s="6" t="s">
        <v>1297</v>
      </c>
      <c r="AF255" s="6" t="s">
        <v>2787</v>
      </c>
      <c r="AG255" s="6" t="s">
        <v>2840</v>
      </c>
      <c r="AH255" s="6" t="s">
        <v>1043</v>
      </c>
      <c r="AI255" s="6" t="s">
        <v>2878</v>
      </c>
      <c r="AJ255" s="6" t="s">
        <v>2789</v>
      </c>
      <c r="AK255" s="33" t="s">
        <v>97</v>
      </c>
      <c r="AL255" s="33" t="s">
        <v>97</v>
      </c>
      <c r="AM255" s="5"/>
      <c r="AN255" s="5"/>
      <c r="AO255" s="5"/>
      <c r="AP255" s="5"/>
      <c r="AQ255" s="49" t="s">
        <v>1046</v>
      </c>
      <c r="AR255" s="20" t="s">
        <v>97</v>
      </c>
      <c r="AS255" s="20" t="s">
        <v>107</v>
      </c>
      <c r="AT255" s="20"/>
      <c r="AU255" s="24">
        <v>0.9</v>
      </c>
      <c r="AV255" s="24">
        <f t="shared" si="50"/>
        <v>0.72000000000000008</v>
      </c>
      <c r="AW255" s="24">
        <f t="shared" si="51"/>
        <v>0.54</v>
      </c>
      <c r="AX255" s="25">
        <v>1E-4</v>
      </c>
      <c r="AY255" s="24">
        <v>0</v>
      </c>
      <c r="AZ255" s="24">
        <f t="shared" ref="AZ255:AZ266" si="52">+AU255*90%</f>
        <v>0.81</v>
      </c>
      <c r="BA255" s="24">
        <f t="shared" si="48"/>
        <v>0.64800000000000013</v>
      </c>
      <c r="BB255" s="24">
        <f t="shared" si="49"/>
        <v>0.48599999999999999</v>
      </c>
      <c r="BC255" s="25">
        <v>1E-4</v>
      </c>
      <c r="BD255" s="24">
        <v>0</v>
      </c>
      <c r="BE255" s="26">
        <v>0</v>
      </c>
      <c r="BF255" s="34">
        <f t="shared" si="45"/>
        <v>0</v>
      </c>
      <c r="BG255" s="34">
        <f t="shared" si="46"/>
        <v>0</v>
      </c>
      <c r="BH255" s="26">
        <v>0</v>
      </c>
      <c r="BI255" s="26">
        <v>0</v>
      </c>
      <c r="BJ255" s="27">
        <v>0.68700000000000006</v>
      </c>
      <c r="BK255" s="27">
        <v>0.76975971567642743</v>
      </c>
      <c r="BL255" s="27" t="s">
        <v>927</v>
      </c>
      <c r="BM255" s="27" t="s">
        <v>2879</v>
      </c>
      <c r="BN255" s="26"/>
      <c r="BO255" s="34"/>
      <c r="BP255" s="34"/>
      <c r="BQ255" s="34"/>
      <c r="BR255" s="34"/>
      <c r="BS255" s="34"/>
      <c r="BT255" s="34"/>
      <c r="BU255" s="34"/>
      <c r="BV255" s="34"/>
      <c r="BW255" s="34"/>
      <c r="BX255" s="34"/>
      <c r="BY255" s="34"/>
      <c r="BZ255" s="34"/>
      <c r="CA255" s="20"/>
      <c r="CB255" s="20"/>
      <c r="CC255" s="46">
        <v>46003</v>
      </c>
      <c r="CD255" s="2" t="s">
        <v>2802</v>
      </c>
    </row>
    <row r="256" spans="1:82" s="18" customFormat="1" ht="66.75" customHeight="1" x14ac:dyDescent="0.25">
      <c r="A256" s="121">
        <v>252</v>
      </c>
      <c r="B256" s="141" t="s">
        <v>2880</v>
      </c>
      <c r="C256" s="6" t="s">
        <v>2881</v>
      </c>
      <c r="D256" s="6" t="s">
        <v>2882</v>
      </c>
      <c r="E256" s="75" t="s">
        <v>113</v>
      </c>
      <c r="F256" s="4" t="s">
        <v>2782</v>
      </c>
      <c r="G256" s="33" t="s">
        <v>2782</v>
      </c>
      <c r="H256" s="49" t="s">
        <v>775</v>
      </c>
      <c r="I256" s="49" t="s">
        <v>1046</v>
      </c>
      <c r="J256" s="6" t="s">
        <v>115</v>
      </c>
      <c r="K256" s="49"/>
      <c r="L256" s="49"/>
      <c r="M256" s="49" t="s">
        <v>136</v>
      </c>
      <c r="N256" s="49" t="s">
        <v>89</v>
      </c>
      <c r="O256" s="49" t="s">
        <v>116</v>
      </c>
      <c r="P256" s="6" t="s">
        <v>1949</v>
      </c>
      <c r="Q256" s="49"/>
      <c r="R256" s="75" t="s">
        <v>91</v>
      </c>
      <c r="S256" s="33" t="s">
        <v>92</v>
      </c>
      <c r="T256" s="33" t="s">
        <v>93</v>
      </c>
      <c r="U256" s="78">
        <v>100</v>
      </c>
      <c r="V256" s="33" t="s">
        <v>94</v>
      </c>
      <c r="W256" s="33" t="s">
        <v>95</v>
      </c>
      <c r="X256" s="33">
        <v>2023</v>
      </c>
      <c r="Y256" s="33" t="s">
        <v>117</v>
      </c>
      <c r="Z256" s="33" t="s">
        <v>97</v>
      </c>
      <c r="AA256" s="33" t="s">
        <v>973</v>
      </c>
      <c r="AB256" s="49" t="s">
        <v>99</v>
      </c>
      <c r="AC256" s="48" t="s">
        <v>2883</v>
      </c>
      <c r="AD256" s="48" t="s">
        <v>2785</v>
      </c>
      <c r="AE256" s="6" t="s">
        <v>1952</v>
      </c>
      <c r="AF256" s="6" t="s">
        <v>2787</v>
      </c>
      <c r="AG256" s="6" t="s">
        <v>2840</v>
      </c>
      <c r="AH256" s="6" t="s">
        <v>1043</v>
      </c>
      <c r="AI256" s="6" t="s">
        <v>2884</v>
      </c>
      <c r="AJ256" s="6" t="s">
        <v>2789</v>
      </c>
      <c r="AK256" s="33" t="s">
        <v>97</v>
      </c>
      <c r="AL256" s="33" t="s">
        <v>97</v>
      </c>
      <c r="AM256" s="5"/>
      <c r="AN256" s="5"/>
      <c r="AO256" s="5"/>
      <c r="AP256" s="5"/>
      <c r="AQ256" s="49" t="s">
        <v>1046</v>
      </c>
      <c r="AR256" s="20" t="s">
        <v>97</v>
      </c>
      <c r="AS256" s="20" t="s">
        <v>107</v>
      </c>
      <c r="AT256" s="20"/>
      <c r="AU256" s="24">
        <v>0.9</v>
      </c>
      <c r="AV256" s="24">
        <f t="shared" si="50"/>
        <v>0.72000000000000008</v>
      </c>
      <c r="AW256" s="24">
        <f t="shared" si="51"/>
        <v>0.54</v>
      </c>
      <c r="AX256" s="25">
        <v>1E-4</v>
      </c>
      <c r="AY256" s="24">
        <v>0</v>
      </c>
      <c r="AZ256" s="24">
        <f t="shared" si="52"/>
        <v>0.81</v>
      </c>
      <c r="BA256" s="24">
        <f t="shared" si="48"/>
        <v>0.64800000000000013</v>
      </c>
      <c r="BB256" s="24">
        <f t="shared" si="49"/>
        <v>0.48599999999999999</v>
      </c>
      <c r="BC256" s="25">
        <v>1E-4</v>
      </c>
      <c r="BD256" s="24">
        <v>0</v>
      </c>
      <c r="BE256" s="26">
        <v>0</v>
      </c>
      <c r="BF256" s="34">
        <f t="shared" si="45"/>
        <v>0</v>
      </c>
      <c r="BG256" s="34">
        <f t="shared" si="46"/>
        <v>0</v>
      </c>
      <c r="BH256" s="26">
        <v>0</v>
      </c>
      <c r="BI256" s="26">
        <v>0</v>
      </c>
      <c r="BJ256" s="20" t="s">
        <v>496</v>
      </c>
      <c r="BK256" s="27">
        <v>0.73277704808261868</v>
      </c>
      <c r="BL256" s="27" t="s">
        <v>2885</v>
      </c>
      <c r="BM256" s="27" t="s">
        <v>2886</v>
      </c>
      <c r="BN256" s="26"/>
      <c r="BO256" s="34"/>
      <c r="BP256" s="34"/>
      <c r="BQ256" s="34"/>
      <c r="BR256" s="34"/>
      <c r="BS256" s="34"/>
      <c r="BT256" s="34"/>
      <c r="BU256" s="34"/>
      <c r="BV256" s="34"/>
      <c r="BW256" s="34"/>
      <c r="BX256" s="34"/>
      <c r="BY256" s="34"/>
      <c r="BZ256" s="34"/>
      <c r="CA256" s="20"/>
      <c r="CB256" s="20"/>
      <c r="CC256" s="46">
        <v>46003</v>
      </c>
      <c r="CD256" s="2" t="s">
        <v>2802</v>
      </c>
    </row>
    <row r="257" spans="1:82" s="18" customFormat="1" ht="66.75" customHeight="1" x14ac:dyDescent="0.25">
      <c r="A257" s="87">
        <v>253</v>
      </c>
      <c r="B257" s="141" t="s">
        <v>2887</v>
      </c>
      <c r="C257" s="6" t="s">
        <v>2888</v>
      </c>
      <c r="D257" s="6" t="s">
        <v>2889</v>
      </c>
      <c r="E257" s="75" t="s">
        <v>113</v>
      </c>
      <c r="F257" s="4" t="s">
        <v>2782</v>
      </c>
      <c r="G257" s="33" t="s">
        <v>2782</v>
      </c>
      <c r="H257" s="49" t="s">
        <v>775</v>
      </c>
      <c r="I257" s="49" t="s">
        <v>1046</v>
      </c>
      <c r="J257" s="6"/>
      <c r="K257" s="49"/>
      <c r="L257" s="49"/>
      <c r="M257" s="49" t="s">
        <v>136</v>
      </c>
      <c r="N257" s="49" t="s">
        <v>89</v>
      </c>
      <c r="O257" s="49" t="s">
        <v>116</v>
      </c>
      <c r="P257" s="6" t="s">
        <v>2382</v>
      </c>
      <c r="Q257" s="49"/>
      <c r="R257" s="75" t="s">
        <v>91</v>
      </c>
      <c r="S257" s="33" t="s">
        <v>92</v>
      </c>
      <c r="T257" s="33" t="s">
        <v>93</v>
      </c>
      <c r="U257" s="78">
        <v>100</v>
      </c>
      <c r="V257" s="33" t="s">
        <v>94</v>
      </c>
      <c r="W257" s="33" t="s">
        <v>95</v>
      </c>
      <c r="X257" s="33">
        <v>2023</v>
      </c>
      <c r="Y257" s="33" t="s">
        <v>117</v>
      </c>
      <c r="Z257" s="33" t="s">
        <v>97</v>
      </c>
      <c r="AA257" s="33" t="s">
        <v>973</v>
      </c>
      <c r="AB257" s="49" t="s">
        <v>99</v>
      </c>
      <c r="AC257" s="48" t="s">
        <v>2890</v>
      </c>
      <c r="AD257" s="48" t="s">
        <v>2891</v>
      </c>
      <c r="AE257" s="6" t="s">
        <v>2892</v>
      </c>
      <c r="AF257" s="6" t="s">
        <v>2893</v>
      </c>
      <c r="AG257" s="6" t="s">
        <v>2840</v>
      </c>
      <c r="AH257" s="6" t="s">
        <v>1043</v>
      </c>
      <c r="AI257" s="6" t="s">
        <v>2894</v>
      </c>
      <c r="AJ257" s="6" t="s">
        <v>1045</v>
      </c>
      <c r="AK257" s="33" t="s">
        <v>97</v>
      </c>
      <c r="AL257" s="33" t="s">
        <v>97</v>
      </c>
      <c r="AM257" s="5"/>
      <c r="AN257" s="5"/>
      <c r="AO257" s="5"/>
      <c r="AP257" s="5"/>
      <c r="AQ257" s="49" t="s">
        <v>2895</v>
      </c>
      <c r="AR257" s="20" t="s">
        <v>97</v>
      </c>
      <c r="AS257" s="20" t="s">
        <v>107</v>
      </c>
      <c r="AT257" s="20"/>
      <c r="AU257" s="24">
        <v>0.9</v>
      </c>
      <c r="AV257" s="24">
        <f t="shared" si="50"/>
        <v>0.72000000000000008</v>
      </c>
      <c r="AW257" s="24">
        <f t="shared" si="51"/>
        <v>0.54</v>
      </c>
      <c r="AX257" s="25">
        <v>1E-4</v>
      </c>
      <c r="AY257" s="24">
        <v>0</v>
      </c>
      <c r="AZ257" s="24">
        <f t="shared" si="52"/>
        <v>0.81</v>
      </c>
      <c r="BA257" s="24">
        <f t="shared" si="48"/>
        <v>0.64800000000000013</v>
      </c>
      <c r="BB257" s="24">
        <f t="shared" si="49"/>
        <v>0.48599999999999999</v>
      </c>
      <c r="BC257" s="25">
        <v>1E-4</v>
      </c>
      <c r="BD257" s="24">
        <v>0</v>
      </c>
      <c r="BE257" s="26">
        <v>0</v>
      </c>
      <c r="BF257" s="34">
        <f t="shared" si="45"/>
        <v>0</v>
      </c>
      <c r="BG257" s="34">
        <f t="shared" si="46"/>
        <v>0</v>
      </c>
      <c r="BH257" s="26">
        <v>0</v>
      </c>
      <c r="BI257" s="26">
        <v>0</v>
      </c>
      <c r="BJ257" s="27">
        <v>0.79300000000000004</v>
      </c>
      <c r="BK257" s="27">
        <v>0.58975284142161288</v>
      </c>
      <c r="BL257" s="27" t="s">
        <v>2896</v>
      </c>
      <c r="BM257" s="27" t="s">
        <v>2897</v>
      </c>
      <c r="BN257" s="26"/>
      <c r="BO257" s="34"/>
      <c r="BP257" s="34"/>
      <c r="BQ257" s="34"/>
      <c r="BR257" s="34"/>
      <c r="BS257" s="34"/>
      <c r="BT257" s="34"/>
      <c r="BU257" s="34"/>
      <c r="BV257" s="34"/>
      <c r="BW257" s="34"/>
      <c r="BX257" s="34"/>
      <c r="BY257" s="34"/>
      <c r="BZ257" s="34">
        <v>1</v>
      </c>
      <c r="CA257" s="20" t="s">
        <v>2295</v>
      </c>
      <c r="CB257" s="20" t="s">
        <v>2295</v>
      </c>
      <c r="CC257" s="46">
        <v>46003</v>
      </c>
      <c r="CD257" s="2" t="s">
        <v>2802</v>
      </c>
    </row>
    <row r="258" spans="1:82" s="18" customFormat="1" ht="66.75" customHeight="1" x14ac:dyDescent="0.25">
      <c r="A258" s="87">
        <v>254</v>
      </c>
      <c r="B258" s="141" t="s">
        <v>2898</v>
      </c>
      <c r="C258" s="6" t="s">
        <v>2899</v>
      </c>
      <c r="D258" s="6" t="s">
        <v>2900</v>
      </c>
      <c r="E258" s="75" t="s">
        <v>113</v>
      </c>
      <c r="F258" s="4" t="s">
        <v>81</v>
      </c>
      <c r="G258" s="33">
        <v>126</v>
      </c>
      <c r="H258" s="49" t="s">
        <v>775</v>
      </c>
      <c r="I258" s="49" t="s">
        <v>2901</v>
      </c>
      <c r="J258" s="6"/>
      <c r="K258" s="49"/>
      <c r="L258" s="49"/>
      <c r="M258" s="49" t="s">
        <v>136</v>
      </c>
      <c r="N258" s="49" t="s">
        <v>89</v>
      </c>
      <c r="O258" s="49" t="s">
        <v>2688</v>
      </c>
      <c r="P258" s="6" t="s">
        <v>2902</v>
      </c>
      <c r="Q258" s="49"/>
      <c r="R258" s="75" t="s">
        <v>91</v>
      </c>
      <c r="S258" s="33" t="s">
        <v>92</v>
      </c>
      <c r="T258" s="33" t="s">
        <v>93</v>
      </c>
      <c r="U258" s="78">
        <v>100</v>
      </c>
      <c r="V258" s="33" t="s">
        <v>94</v>
      </c>
      <c r="W258" s="33" t="s">
        <v>95</v>
      </c>
      <c r="X258" s="33">
        <v>2021</v>
      </c>
      <c r="Y258" s="33" t="s">
        <v>117</v>
      </c>
      <c r="Z258" s="33" t="s">
        <v>95</v>
      </c>
      <c r="AA258" s="33" t="s">
        <v>973</v>
      </c>
      <c r="AB258" s="49" t="s">
        <v>99</v>
      </c>
      <c r="AC258" s="48" t="s">
        <v>2903</v>
      </c>
      <c r="AD258" s="48" t="s">
        <v>2904</v>
      </c>
      <c r="AE258" s="6" t="s">
        <v>2905</v>
      </c>
      <c r="AF258" s="6" t="s">
        <v>121</v>
      </c>
      <c r="AG258" s="6" t="s">
        <v>1600</v>
      </c>
      <c r="AH258" s="6" t="s">
        <v>123</v>
      </c>
      <c r="AI258" s="6" t="s">
        <v>2906</v>
      </c>
      <c r="AJ258" s="6" t="s">
        <v>2907</v>
      </c>
      <c r="AK258" s="33" t="s">
        <v>97</v>
      </c>
      <c r="AL258" s="33" t="s">
        <v>2908</v>
      </c>
      <c r="AM258" s="5" t="s">
        <v>221</v>
      </c>
      <c r="AN258" s="6" t="s">
        <v>2909</v>
      </c>
      <c r="AO258" s="6" t="s">
        <v>2910</v>
      </c>
      <c r="AP258" s="6" t="s">
        <v>2911</v>
      </c>
      <c r="AQ258" s="75" t="s">
        <v>2901</v>
      </c>
      <c r="AR258" s="20" t="s">
        <v>97</v>
      </c>
      <c r="AS258" s="20" t="s">
        <v>107</v>
      </c>
      <c r="AT258" s="20"/>
      <c r="AU258" s="24">
        <v>0.65</v>
      </c>
      <c r="AV258" s="24">
        <f t="shared" si="50"/>
        <v>0.52</v>
      </c>
      <c r="AW258" s="24">
        <f t="shared" si="51"/>
        <v>0.39</v>
      </c>
      <c r="AX258" s="25">
        <v>1E-4</v>
      </c>
      <c r="AY258" s="24">
        <v>0</v>
      </c>
      <c r="AZ258" s="24">
        <f t="shared" si="52"/>
        <v>0.58500000000000008</v>
      </c>
      <c r="BA258" s="24">
        <f t="shared" si="48"/>
        <v>0.46800000000000008</v>
      </c>
      <c r="BB258" s="24">
        <f t="shared" si="49"/>
        <v>0.35100000000000003</v>
      </c>
      <c r="BC258" s="25">
        <v>1E-4</v>
      </c>
      <c r="BD258" s="24">
        <v>0</v>
      </c>
      <c r="BE258" s="26">
        <v>0</v>
      </c>
      <c r="BF258" s="34">
        <f t="shared" si="45"/>
        <v>0</v>
      </c>
      <c r="BG258" s="34">
        <f t="shared" si="46"/>
        <v>0</v>
      </c>
      <c r="BH258" s="26">
        <v>0</v>
      </c>
      <c r="BI258" s="26">
        <v>0</v>
      </c>
      <c r="BJ258" s="27">
        <v>1.7999999999999999E-2</v>
      </c>
      <c r="BK258" s="27">
        <v>5.9470923282469584E-2</v>
      </c>
      <c r="BL258" s="27" t="s">
        <v>2912</v>
      </c>
      <c r="BM258" s="27" t="s">
        <v>2913</v>
      </c>
      <c r="BN258" s="26">
        <v>1</v>
      </c>
      <c r="BO258" s="34">
        <v>1</v>
      </c>
      <c r="BP258" s="34"/>
      <c r="BQ258" s="34"/>
      <c r="BR258" s="34"/>
      <c r="BS258" s="34"/>
      <c r="BT258" s="34"/>
      <c r="BU258" s="34"/>
      <c r="BV258" s="34"/>
      <c r="BW258" s="34"/>
      <c r="BX258" s="34"/>
      <c r="BY258" s="34"/>
      <c r="BZ258" s="34"/>
      <c r="CA258" s="20"/>
      <c r="CB258" s="20"/>
      <c r="CC258" s="46">
        <v>46006</v>
      </c>
      <c r="CD258" s="42" t="s">
        <v>7347</v>
      </c>
    </row>
    <row r="259" spans="1:82" s="18" customFormat="1" ht="66.75" customHeight="1" x14ac:dyDescent="0.25">
      <c r="A259" s="121">
        <v>255</v>
      </c>
      <c r="B259" s="141" t="s">
        <v>2916</v>
      </c>
      <c r="C259" s="6" t="s">
        <v>2917</v>
      </c>
      <c r="D259" s="6" t="s">
        <v>2918</v>
      </c>
      <c r="E259" s="75" t="s">
        <v>113</v>
      </c>
      <c r="F259" s="4" t="s">
        <v>81</v>
      </c>
      <c r="G259" s="33" t="s">
        <v>84</v>
      </c>
      <c r="H259" s="49" t="s">
        <v>775</v>
      </c>
      <c r="I259" s="49" t="s">
        <v>2901</v>
      </c>
      <c r="J259" s="6"/>
      <c r="K259" s="49"/>
      <c r="L259" s="49"/>
      <c r="M259" s="49" t="s">
        <v>88</v>
      </c>
      <c r="N259" s="49" t="s">
        <v>89</v>
      </c>
      <c r="O259" s="49" t="s">
        <v>2688</v>
      </c>
      <c r="P259" s="6" t="s">
        <v>2902</v>
      </c>
      <c r="Q259" s="49"/>
      <c r="R259" s="75" t="s">
        <v>175</v>
      </c>
      <c r="S259" s="33" t="s">
        <v>92</v>
      </c>
      <c r="T259" s="33" t="s">
        <v>93</v>
      </c>
      <c r="U259" s="78">
        <v>100</v>
      </c>
      <c r="V259" s="33" t="s">
        <v>94</v>
      </c>
      <c r="W259" s="33" t="s">
        <v>95</v>
      </c>
      <c r="X259" s="33">
        <v>2021</v>
      </c>
      <c r="Y259" s="33" t="s">
        <v>117</v>
      </c>
      <c r="Z259" s="33" t="s">
        <v>95</v>
      </c>
      <c r="AA259" s="33" t="s">
        <v>973</v>
      </c>
      <c r="AB259" s="49" t="s">
        <v>99</v>
      </c>
      <c r="AC259" s="79" t="s">
        <v>2919</v>
      </c>
      <c r="AD259" s="79" t="s">
        <v>2920</v>
      </c>
      <c r="AE259" s="6" t="s">
        <v>2921</v>
      </c>
      <c r="AF259" s="6" t="s">
        <v>121</v>
      </c>
      <c r="AG259" s="6" t="s">
        <v>178</v>
      </c>
      <c r="AH259" s="6" t="s">
        <v>123</v>
      </c>
      <c r="AI259" s="6" t="s">
        <v>2922</v>
      </c>
      <c r="AJ259" s="6" t="s">
        <v>2923</v>
      </c>
      <c r="AK259" s="33" t="s">
        <v>97</v>
      </c>
      <c r="AL259" s="33" t="s">
        <v>2908</v>
      </c>
      <c r="AM259" s="5" t="s">
        <v>221</v>
      </c>
      <c r="AN259" s="6" t="s">
        <v>2924</v>
      </c>
      <c r="AO259" s="6" t="s">
        <v>2925</v>
      </c>
      <c r="AP259" s="6" t="s">
        <v>2926</v>
      </c>
      <c r="AQ259" s="75" t="s">
        <v>2901</v>
      </c>
      <c r="AR259" s="20" t="s">
        <v>97</v>
      </c>
      <c r="AS259" s="20" t="s">
        <v>107</v>
      </c>
      <c r="AT259" s="20"/>
      <c r="AU259" s="24">
        <v>0.2</v>
      </c>
      <c r="AV259" s="24">
        <f t="shared" si="50"/>
        <v>0.16000000000000003</v>
      </c>
      <c r="AW259" s="24">
        <f t="shared" si="51"/>
        <v>0.12</v>
      </c>
      <c r="AX259" s="25">
        <v>1E-4</v>
      </c>
      <c r="AY259" s="24">
        <v>0</v>
      </c>
      <c r="AZ259" s="24">
        <f t="shared" si="52"/>
        <v>0.18000000000000002</v>
      </c>
      <c r="BA259" s="24">
        <f t="shared" si="48"/>
        <v>0.14400000000000002</v>
      </c>
      <c r="BB259" s="24">
        <f t="shared" si="49"/>
        <v>0.10800000000000001</v>
      </c>
      <c r="BC259" s="25">
        <v>1E-4</v>
      </c>
      <c r="BD259" s="24">
        <v>0</v>
      </c>
      <c r="BE259" s="26">
        <v>0</v>
      </c>
      <c r="BF259" s="34">
        <f t="shared" si="45"/>
        <v>0</v>
      </c>
      <c r="BG259" s="34">
        <f t="shared" si="46"/>
        <v>0</v>
      </c>
      <c r="BH259" s="26">
        <v>0</v>
      </c>
      <c r="BI259" s="26">
        <v>0</v>
      </c>
      <c r="BJ259" s="27">
        <v>1.6E-2</v>
      </c>
      <c r="BK259" s="27">
        <v>4.6626099090448278E-2</v>
      </c>
      <c r="BL259" s="27" t="s">
        <v>2927</v>
      </c>
      <c r="BM259" s="27" t="s">
        <v>2928</v>
      </c>
      <c r="BN259" s="26"/>
      <c r="BO259" s="34"/>
      <c r="BP259" s="34"/>
      <c r="BQ259" s="34"/>
      <c r="BR259" s="34"/>
      <c r="BS259" s="34"/>
      <c r="BT259" s="34"/>
      <c r="BU259" s="34"/>
      <c r="BV259" s="34"/>
      <c r="BW259" s="34"/>
      <c r="BX259" s="34"/>
      <c r="BY259" s="34"/>
      <c r="BZ259" s="34"/>
      <c r="CA259" s="20"/>
      <c r="CB259" s="20"/>
      <c r="CC259" s="46">
        <v>45694</v>
      </c>
      <c r="CD259" s="2" t="s">
        <v>2929</v>
      </c>
    </row>
    <row r="260" spans="1:82" s="18" customFormat="1" ht="66.75" customHeight="1" x14ac:dyDescent="0.25">
      <c r="A260" s="87">
        <v>256</v>
      </c>
      <c r="B260" s="141" t="s">
        <v>2930</v>
      </c>
      <c r="C260" s="6" t="s">
        <v>2931</v>
      </c>
      <c r="D260" s="6" t="s">
        <v>2932</v>
      </c>
      <c r="E260" s="75" t="s">
        <v>113</v>
      </c>
      <c r="F260" s="4" t="s">
        <v>81</v>
      </c>
      <c r="G260" s="33">
        <v>125</v>
      </c>
      <c r="H260" s="49" t="s">
        <v>775</v>
      </c>
      <c r="I260" s="49" t="s">
        <v>2901</v>
      </c>
      <c r="J260" s="6"/>
      <c r="K260" s="49"/>
      <c r="L260" s="49"/>
      <c r="M260" s="49" t="s">
        <v>136</v>
      </c>
      <c r="N260" s="49" t="s">
        <v>245</v>
      </c>
      <c r="O260" s="49" t="s">
        <v>2688</v>
      </c>
      <c r="P260" s="6" t="s">
        <v>2902</v>
      </c>
      <c r="Q260" s="49"/>
      <c r="R260" s="75" t="s">
        <v>91</v>
      </c>
      <c r="S260" s="33" t="s">
        <v>92</v>
      </c>
      <c r="T260" s="33" t="s">
        <v>93</v>
      </c>
      <c r="U260" s="78">
        <v>100</v>
      </c>
      <c r="V260" s="33" t="s">
        <v>94</v>
      </c>
      <c r="W260" s="33" t="s">
        <v>95</v>
      </c>
      <c r="X260" s="33">
        <v>2023</v>
      </c>
      <c r="Y260" s="33" t="s">
        <v>117</v>
      </c>
      <c r="Z260" s="33" t="s">
        <v>97</v>
      </c>
      <c r="AA260" s="33" t="s">
        <v>973</v>
      </c>
      <c r="AB260" s="49" t="s">
        <v>99</v>
      </c>
      <c r="AC260" s="48" t="s">
        <v>2933</v>
      </c>
      <c r="AD260" s="48" t="s">
        <v>2934</v>
      </c>
      <c r="AE260" s="6" t="s">
        <v>2935</v>
      </c>
      <c r="AF260" s="6" t="s">
        <v>2921</v>
      </c>
      <c r="AG260" s="6" t="s">
        <v>178</v>
      </c>
      <c r="AH260" s="6" t="s">
        <v>178</v>
      </c>
      <c r="AI260" s="6" t="s">
        <v>2936</v>
      </c>
      <c r="AJ260" s="6" t="s">
        <v>2937</v>
      </c>
      <c r="AK260" s="33" t="s">
        <v>97</v>
      </c>
      <c r="AL260" s="33" t="s">
        <v>97</v>
      </c>
      <c r="AM260" s="5" t="s">
        <v>2938</v>
      </c>
      <c r="AN260" s="5"/>
      <c r="AO260" s="5" t="s">
        <v>2939</v>
      </c>
      <c r="AP260" s="6" t="s">
        <v>2940</v>
      </c>
      <c r="AQ260" s="75" t="s">
        <v>2901</v>
      </c>
      <c r="AR260" s="20" t="s">
        <v>97</v>
      </c>
      <c r="AS260" s="20" t="s">
        <v>107</v>
      </c>
      <c r="AT260" s="20"/>
      <c r="AU260" s="24">
        <v>0.12</v>
      </c>
      <c r="AV260" s="24">
        <f t="shared" si="50"/>
        <v>9.6000000000000002E-2</v>
      </c>
      <c r="AW260" s="24">
        <f t="shared" si="51"/>
        <v>7.1999999999999995E-2</v>
      </c>
      <c r="AX260" s="25">
        <v>1E-4</v>
      </c>
      <c r="AY260" s="24">
        <v>0</v>
      </c>
      <c r="AZ260" s="24">
        <f t="shared" si="52"/>
        <v>0.108</v>
      </c>
      <c r="BA260" s="24">
        <f t="shared" si="48"/>
        <v>8.6400000000000005E-2</v>
      </c>
      <c r="BB260" s="24">
        <f t="shared" si="49"/>
        <v>6.4799999999999996E-2</v>
      </c>
      <c r="BC260" s="25">
        <v>1E-4</v>
      </c>
      <c r="BD260" s="24">
        <v>0</v>
      </c>
      <c r="BE260" s="26">
        <v>0</v>
      </c>
      <c r="BF260" s="34">
        <f t="shared" ref="BF260:BF323" si="53">+BE260*80%</f>
        <v>0</v>
      </c>
      <c r="BG260" s="34">
        <f t="shared" ref="BG260:BG323" si="54">+BE260*60%</f>
        <v>0</v>
      </c>
      <c r="BH260" s="26">
        <v>0</v>
      </c>
      <c r="BI260" s="26">
        <v>0</v>
      </c>
      <c r="BJ260" s="27">
        <v>0.109</v>
      </c>
      <c r="BK260" s="27">
        <v>0.10520676244146361</v>
      </c>
      <c r="BL260" s="27" t="s">
        <v>2941</v>
      </c>
      <c r="BM260" s="27" t="s">
        <v>2942</v>
      </c>
      <c r="BN260" s="26"/>
      <c r="BO260" s="34">
        <v>1</v>
      </c>
      <c r="BP260" s="34"/>
      <c r="BQ260" s="34"/>
      <c r="BR260" s="34"/>
      <c r="BS260" s="34"/>
      <c r="BT260" s="34"/>
      <c r="BU260" s="34"/>
      <c r="BV260" s="34"/>
      <c r="BW260" s="34"/>
      <c r="BX260" s="34"/>
      <c r="BY260" s="34"/>
      <c r="BZ260" s="34"/>
      <c r="CA260" s="20"/>
      <c r="CB260" s="20"/>
      <c r="CC260" s="29">
        <v>46003</v>
      </c>
      <c r="CD260" s="35" t="s">
        <v>254</v>
      </c>
    </row>
    <row r="261" spans="1:82" s="18" customFormat="1" ht="66.75" customHeight="1" x14ac:dyDescent="0.25">
      <c r="A261" s="87">
        <v>257</v>
      </c>
      <c r="B261" s="141" t="s">
        <v>2943</v>
      </c>
      <c r="C261" s="6" t="s">
        <v>2944</v>
      </c>
      <c r="D261" s="6" t="s">
        <v>2945</v>
      </c>
      <c r="E261" s="75" t="s">
        <v>174</v>
      </c>
      <c r="F261" s="4" t="s">
        <v>81</v>
      </c>
      <c r="G261" s="33">
        <v>116</v>
      </c>
      <c r="H261" s="49" t="s">
        <v>775</v>
      </c>
      <c r="I261" s="49" t="s">
        <v>2901</v>
      </c>
      <c r="J261" s="6"/>
      <c r="K261" s="49"/>
      <c r="L261" s="49"/>
      <c r="M261" s="49" t="s">
        <v>136</v>
      </c>
      <c r="N261" s="49" t="s">
        <v>89</v>
      </c>
      <c r="O261" s="49" t="s">
        <v>2688</v>
      </c>
      <c r="P261" s="6" t="s">
        <v>2946</v>
      </c>
      <c r="Q261" s="49"/>
      <c r="R261" s="75" t="s">
        <v>175</v>
      </c>
      <c r="S261" s="33" t="s">
        <v>92</v>
      </c>
      <c r="T261" s="33" t="s">
        <v>93</v>
      </c>
      <c r="U261" s="78">
        <v>100</v>
      </c>
      <c r="V261" s="33" t="s">
        <v>94</v>
      </c>
      <c r="W261" s="33" t="s">
        <v>95</v>
      </c>
      <c r="X261" s="33">
        <v>2023</v>
      </c>
      <c r="Y261" s="33" t="s">
        <v>117</v>
      </c>
      <c r="Z261" s="33" t="s">
        <v>95</v>
      </c>
      <c r="AA261" s="33" t="s">
        <v>973</v>
      </c>
      <c r="AB261" s="49" t="s">
        <v>99</v>
      </c>
      <c r="AC261" s="48" t="s">
        <v>2947</v>
      </c>
      <c r="AD261" s="79" t="s">
        <v>2948</v>
      </c>
      <c r="AE261" s="6" t="s">
        <v>2949</v>
      </c>
      <c r="AF261" s="47" t="s">
        <v>2950</v>
      </c>
      <c r="AG261" s="6" t="s">
        <v>1042</v>
      </c>
      <c r="AH261" s="6" t="s">
        <v>1042</v>
      </c>
      <c r="AI261" s="6" t="s">
        <v>2951</v>
      </c>
      <c r="AJ261" s="6" t="s">
        <v>2952</v>
      </c>
      <c r="AK261" s="33" t="s">
        <v>97</v>
      </c>
      <c r="AL261" s="33" t="s">
        <v>97</v>
      </c>
      <c r="AM261" s="47" t="s">
        <v>2953</v>
      </c>
      <c r="AN261" s="5"/>
      <c r="AO261" s="5" t="s">
        <v>2954</v>
      </c>
      <c r="AP261" s="5" t="s">
        <v>2955</v>
      </c>
      <c r="AQ261" s="49" t="s">
        <v>2901</v>
      </c>
      <c r="AR261" s="20" t="s">
        <v>97</v>
      </c>
      <c r="AS261" s="20" t="s">
        <v>107</v>
      </c>
      <c r="AT261" s="20"/>
      <c r="AU261" s="24">
        <v>0.8</v>
      </c>
      <c r="AV261" s="24">
        <f t="shared" si="50"/>
        <v>0.64000000000000012</v>
      </c>
      <c r="AW261" s="24">
        <f t="shared" si="51"/>
        <v>0.48</v>
      </c>
      <c r="AX261" s="25">
        <v>1E-4</v>
      </c>
      <c r="AY261" s="24">
        <v>0</v>
      </c>
      <c r="AZ261" s="24">
        <f t="shared" si="52"/>
        <v>0.72000000000000008</v>
      </c>
      <c r="BA261" s="24">
        <f t="shared" si="48"/>
        <v>0.57600000000000007</v>
      </c>
      <c r="BB261" s="24">
        <f t="shared" si="49"/>
        <v>0.43200000000000005</v>
      </c>
      <c r="BC261" s="25">
        <v>1E-4</v>
      </c>
      <c r="BD261" s="24">
        <v>0</v>
      </c>
      <c r="BE261" s="34">
        <v>5</v>
      </c>
      <c r="BF261" s="34">
        <f t="shared" si="53"/>
        <v>4</v>
      </c>
      <c r="BG261" s="34">
        <f t="shared" si="54"/>
        <v>3</v>
      </c>
      <c r="BH261" s="26">
        <v>1</v>
      </c>
      <c r="BI261" s="26">
        <v>0</v>
      </c>
      <c r="BJ261" s="20" t="s">
        <v>496</v>
      </c>
      <c r="BK261" s="27">
        <v>0.34078346551309779</v>
      </c>
      <c r="BL261" s="27" t="s">
        <v>2956</v>
      </c>
      <c r="BM261" s="27" t="s">
        <v>2957</v>
      </c>
      <c r="BN261" s="26"/>
      <c r="BO261" s="34">
        <v>1</v>
      </c>
      <c r="BP261" s="34"/>
      <c r="BQ261" s="34"/>
      <c r="BR261" s="34"/>
      <c r="BS261" s="34"/>
      <c r="BT261" s="34"/>
      <c r="BU261" s="34"/>
      <c r="BV261" s="34"/>
      <c r="BW261" s="34"/>
      <c r="BX261" s="34"/>
      <c r="BY261" s="34"/>
      <c r="BZ261" s="34"/>
      <c r="CA261" s="20"/>
      <c r="CB261" s="20"/>
      <c r="CC261" s="46">
        <v>46006</v>
      </c>
      <c r="CD261" s="42" t="s">
        <v>2958</v>
      </c>
    </row>
    <row r="262" spans="1:82" s="18" customFormat="1" ht="66.75" customHeight="1" x14ac:dyDescent="0.25">
      <c r="A262" s="121">
        <v>258</v>
      </c>
      <c r="B262" s="141" t="s">
        <v>2959</v>
      </c>
      <c r="C262" s="6" t="s">
        <v>2960</v>
      </c>
      <c r="D262" s="6" t="s">
        <v>2961</v>
      </c>
      <c r="E262" s="75" t="s">
        <v>113</v>
      </c>
      <c r="F262" s="4" t="s">
        <v>81</v>
      </c>
      <c r="G262" s="33">
        <v>128</v>
      </c>
      <c r="H262" s="49" t="s">
        <v>436</v>
      </c>
      <c r="I262" s="49" t="s">
        <v>2901</v>
      </c>
      <c r="J262" s="6"/>
      <c r="K262" s="49"/>
      <c r="L262" s="49"/>
      <c r="M262" s="49" t="s">
        <v>136</v>
      </c>
      <c r="N262" s="49" t="s">
        <v>89</v>
      </c>
      <c r="O262" s="49" t="s">
        <v>2688</v>
      </c>
      <c r="P262" s="6" t="s">
        <v>2962</v>
      </c>
      <c r="Q262" s="49"/>
      <c r="R262" s="75" t="s">
        <v>91</v>
      </c>
      <c r="S262" s="33" t="s">
        <v>92</v>
      </c>
      <c r="T262" s="33" t="s">
        <v>93</v>
      </c>
      <c r="U262" s="78">
        <v>100</v>
      </c>
      <c r="V262" s="33" t="s">
        <v>94</v>
      </c>
      <c r="W262" s="33" t="s">
        <v>95</v>
      </c>
      <c r="X262" s="33">
        <v>2023</v>
      </c>
      <c r="Y262" s="33" t="s">
        <v>117</v>
      </c>
      <c r="Z262" s="33" t="s">
        <v>95</v>
      </c>
      <c r="AA262" s="33" t="s">
        <v>973</v>
      </c>
      <c r="AB262" s="49" t="s">
        <v>99</v>
      </c>
      <c r="AC262" s="48" t="s">
        <v>2963</v>
      </c>
      <c r="AD262" s="79" t="s">
        <v>2964</v>
      </c>
      <c r="AE262" s="6" t="s">
        <v>2965</v>
      </c>
      <c r="AF262" s="6" t="s">
        <v>2966</v>
      </c>
      <c r="AG262" s="6" t="s">
        <v>2967</v>
      </c>
      <c r="AH262" s="6" t="s">
        <v>123</v>
      </c>
      <c r="AI262" s="6" t="s">
        <v>2968</v>
      </c>
      <c r="AJ262" s="6" t="s">
        <v>2969</v>
      </c>
      <c r="AK262" s="33" t="s">
        <v>97</v>
      </c>
      <c r="AL262" s="49" t="s">
        <v>2970</v>
      </c>
      <c r="AM262" s="6" t="s">
        <v>2971</v>
      </c>
      <c r="AN262" s="6"/>
      <c r="AO262" s="6" t="s">
        <v>2972</v>
      </c>
      <c r="AP262" s="6" t="s">
        <v>2973</v>
      </c>
      <c r="AQ262" s="75" t="s">
        <v>2901</v>
      </c>
      <c r="AR262" s="20" t="s">
        <v>97</v>
      </c>
      <c r="AS262" s="20" t="s">
        <v>107</v>
      </c>
      <c r="AT262" s="20"/>
      <c r="AU262" s="24">
        <v>0.03</v>
      </c>
      <c r="AV262" s="24">
        <f t="shared" si="50"/>
        <v>2.4E-2</v>
      </c>
      <c r="AW262" s="24">
        <f t="shared" si="51"/>
        <v>1.7999999999999999E-2</v>
      </c>
      <c r="AX262" s="25">
        <v>1E-4</v>
      </c>
      <c r="AY262" s="24">
        <v>0</v>
      </c>
      <c r="AZ262" s="24">
        <f t="shared" si="52"/>
        <v>2.7E-2</v>
      </c>
      <c r="BA262" s="24">
        <f t="shared" si="48"/>
        <v>2.1600000000000001E-2</v>
      </c>
      <c r="BB262" s="24">
        <f t="shared" si="49"/>
        <v>1.6199999999999999E-2</v>
      </c>
      <c r="BC262" s="25">
        <v>1E-4</v>
      </c>
      <c r="BD262" s="24">
        <v>0</v>
      </c>
      <c r="BE262" s="26">
        <v>0</v>
      </c>
      <c r="BF262" s="34">
        <f t="shared" si="53"/>
        <v>0</v>
      </c>
      <c r="BG262" s="34">
        <f t="shared" si="54"/>
        <v>0</v>
      </c>
      <c r="BH262" s="26">
        <v>0</v>
      </c>
      <c r="BI262" s="26">
        <v>0</v>
      </c>
      <c r="BJ262" s="27">
        <v>1E-3</v>
      </c>
      <c r="BK262" s="27">
        <v>0</v>
      </c>
      <c r="BL262" s="27" t="s">
        <v>2114</v>
      </c>
      <c r="BM262" s="27" t="s">
        <v>2974</v>
      </c>
      <c r="BN262" s="26"/>
      <c r="BO262" s="34">
        <v>1</v>
      </c>
      <c r="BP262" s="34"/>
      <c r="BQ262" s="34"/>
      <c r="BR262" s="34"/>
      <c r="BS262" s="34"/>
      <c r="BT262" s="34"/>
      <c r="BU262" s="34"/>
      <c r="BV262" s="34"/>
      <c r="BW262" s="34"/>
      <c r="BX262" s="34"/>
      <c r="BY262" s="34"/>
      <c r="BZ262" s="34"/>
      <c r="CA262" s="20"/>
      <c r="CB262" s="20"/>
      <c r="CC262" s="29">
        <v>46003</v>
      </c>
      <c r="CD262" s="2" t="s">
        <v>2975</v>
      </c>
    </row>
    <row r="263" spans="1:82" s="18" customFormat="1" ht="66.75" customHeight="1" x14ac:dyDescent="0.25">
      <c r="A263" s="87">
        <v>259</v>
      </c>
      <c r="B263" s="141" t="s">
        <v>2976</v>
      </c>
      <c r="C263" s="6" t="s">
        <v>2977</v>
      </c>
      <c r="D263" s="6" t="s">
        <v>2978</v>
      </c>
      <c r="E263" s="75" t="s">
        <v>113</v>
      </c>
      <c r="F263" s="4" t="s">
        <v>81</v>
      </c>
      <c r="G263" s="33" t="s">
        <v>84</v>
      </c>
      <c r="H263" s="49" t="s">
        <v>436</v>
      </c>
      <c r="I263" s="49" t="s">
        <v>2901</v>
      </c>
      <c r="J263" s="6"/>
      <c r="K263" s="49"/>
      <c r="L263" s="49"/>
      <c r="M263" s="49" t="s">
        <v>88</v>
      </c>
      <c r="N263" s="49" t="s">
        <v>89</v>
      </c>
      <c r="O263" s="49" t="s">
        <v>2688</v>
      </c>
      <c r="P263" s="6" t="s">
        <v>2962</v>
      </c>
      <c r="Q263" s="49"/>
      <c r="R263" s="75" t="s">
        <v>175</v>
      </c>
      <c r="S263" s="33" t="s">
        <v>92</v>
      </c>
      <c r="T263" s="33" t="s">
        <v>93</v>
      </c>
      <c r="U263" s="78">
        <v>100</v>
      </c>
      <c r="V263" s="33" t="s">
        <v>94</v>
      </c>
      <c r="W263" s="33" t="s">
        <v>95</v>
      </c>
      <c r="X263" s="33">
        <v>2023</v>
      </c>
      <c r="Y263" s="33" t="s">
        <v>117</v>
      </c>
      <c r="Z263" s="33" t="s">
        <v>95</v>
      </c>
      <c r="AA263" s="33" t="s">
        <v>973</v>
      </c>
      <c r="AB263" s="49" t="s">
        <v>99</v>
      </c>
      <c r="AC263" s="48" t="s">
        <v>2979</v>
      </c>
      <c r="AD263" s="79" t="s">
        <v>2980</v>
      </c>
      <c r="AE263" s="6" t="s">
        <v>2981</v>
      </c>
      <c r="AF263" s="6" t="s">
        <v>2966</v>
      </c>
      <c r="AG263" s="6" t="s">
        <v>178</v>
      </c>
      <c r="AH263" s="6" t="s">
        <v>123</v>
      </c>
      <c r="AI263" s="6" t="s">
        <v>2982</v>
      </c>
      <c r="AJ263" s="6" t="s">
        <v>2983</v>
      </c>
      <c r="AK263" s="33" t="s">
        <v>97</v>
      </c>
      <c r="AL263" s="49" t="s">
        <v>2970</v>
      </c>
      <c r="AM263" s="6" t="s">
        <v>2971</v>
      </c>
      <c r="AN263" s="6"/>
      <c r="AO263" s="5" t="s">
        <v>2984</v>
      </c>
      <c r="AP263" s="6" t="s">
        <v>2985</v>
      </c>
      <c r="AQ263" s="75" t="s">
        <v>2901</v>
      </c>
      <c r="AR263" s="20" t="s">
        <v>97</v>
      </c>
      <c r="AS263" s="20" t="s">
        <v>107</v>
      </c>
      <c r="AT263" s="20"/>
      <c r="AU263" s="24">
        <v>0.03</v>
      </c>
      <c r="AV263" s="24">
        <f t="shared" si="50"/>
        <v>2.4E-2</v>
      </c>
      <c r="AW263" s="24">
        <f t="shared" si="51"/>
        <v>1.7999999999999999E-2</v>
      </c>
      <c r="AX263" s="25">
        <v>1E-4</v>
      </c>
      <c r="AY263" s="24">
        <v>0</v>
      </c>
      <c r="AZ263" s="24">
        <f t="shared" si="52"/>
        <v>2.7E-2</v>
      </c>
      <c r="BA263" s="24">
        <f t="shared" si="48"/>
        <v>2.1600000000000001E-2</v>
      </c>
      <c r="BB263" s="24">
        <f t="shared" si="49"/>
        <v>1.6199999999999999E-2</v>
      </c>
      <c r="BC263" s="25">
        <v>1E-4</v>
      </c>
      <c r="BD263" s="24">
        <v>0</v>
      </c>
      <c r="BE263" s="26">
        <v>0</v>
      </c>
      <c r="BF263" s="34">
        <f t="shared" si="53"/>
        <v>0</v>
      </c>
      <c r="BG263" s="34">
        <f t="shared" si="54"/>
        <v>0</v>
      </c>
      <c r="BH263" s="26">
        <v>0</v>
      </c>
      <c r="BI263" s="26">
        <v>0</v>
      </c>
      <c r="BJ263" s="27">
        <v>1E-3</v>
      </c>
      <c r="BK263" s="27">
        <v>0</v>
      </c>
      <c r="BL263" s="27" t="s">
        <v>2986</v>
      </c>
      <c r="BM263" s="27" t="s">
        <v>2987</v>
      </c>
      <c r="BN263" s="26"/>
      <c r="BO263" s="34"/>
      <c r="BP263" s="34"/>
      <c r="BQ263" s="34"/>
      <c r="BR263" s="34"/>
      <c r="BS263" s="34"/>
      <c r="BT263" s="34"/>
      <c r="BU263" s="34"/>
      <c r="BV263" s="34"/>
      <c r="BW263" s="34"/>
      <c r="BX263" s="34"/>
      <c r="BY263" s="34"/>
      <c r="BZ263" s="34"/>
      <c r="CA263" s="20"/>
      <c r="CB263" s="20"/>
      <c r="CC263" s="29">
        <v>46003</v>
      </c>
      <c r="CD263" s="2" t="s">
        <v>2988</v>
      </c>
    </row>
    <row r="264" spans="1:82" s="18" customFormat="1" ht="66.75" customHeight="1" x14ac:dyDescent="0.25">
      <c r="A264" s="87">
        <v>260</v>
      </c>
      <c r="B264" s="141" t="s">
        <v>2989</v>
      </c>
      <c r="C264" s="6" t="s">
        <v>2990</v>
      </c>
      <c r="D264" s="6" t="s">
        <v>2991</v>
      </c>
      <c r="E264" s="75" t="s">
        <v>113</v>
      </c>
      <c r="F264" s="4" t="s">
        <v>81</v>
      </c>
      <c r="G264" s="33">
        <v>133</v>
      </c>
      <c r="H264" s="49" t="s">
        <v>436</v>
      </c>
      <c r="I264" s="49" t="s">
        <v>2901</v>
      </c>
      <c r="J264" s="6"/>
      <c r="K264" s="49"/>
      <c r="L264" s="49"/>
      <c r="M264" s="49" t="s">
        <v>136</v>
      </c>
      <c r="N264" s="49" t="s">
        <v>89</v>
      </c>
      <c r="O264" s="49" t="s">
        <v>2688</v>
      </c>
      <c r="P264" s="6" t="s">
        <v>2962</v>
      </c>
      <c r="Q264" s="49"/>
      <c r="R264" s="75" t="s">
        <v>91</v>
      </c>
      <c r="S264" s="33" t="s">
        <v>92</v>
      </c>
      <c r="T264" s="33" t="s">
        <v>93</v>
      </c>
      <c r="U264" s="78">
        <v>100</v>
      </c>
      <c r="V264" s="33" t="s">
        <v>94</v>
      </c>
      <c r="W264" s="33" t="s">
        <v>95</v>
      </c>
      <c r="X264" s="33">
        <v>2022</v>
      </c>
      <c r="Y264" s="33" t="s">
        <v>117</v>
      </c>
      <c r="Z264" s="33" t="s">
        <v>95</v>
      </c>
      <c r="AA264" s="33" t="s">
        <v>973</v>
      </c>
      <c r="AB264" s="49" t="s">
        <v>99</v>
      </c>
      <c r="AC264" s="48" t="s">
        <v>2992</v>
      </c>
      <c r="AD264" s="48" t="s">
        <v>2993</v>
      </c>
      <c r="AE264" s="6" t="s">
        <v>2994</v>
      </c>
      <c r="AF264" s="6" t="s">
        <v>2995</v>
      </c>
      <c r="AG264" s="6" t="s">
        <v>1042</v>
      </c>
      <c r="AH264" s="6" t="s">
        <v>1042</v>
      </c>
      <c r="AI264" s="6" t="s">
        <v>2996</v>
      </c>
      <c r="AJ264" s="6" t="s">
        <v>2997</v>
      </c>
      <c r="AK264" s="33" t="s">
        <v>97</v>
      </c>
      <c r="AL264" s="33" t="s">
        <v>97</v>
      </c>
      <c r="AM264" s="6" t="s">
        <v>2998</v>
      </c>
      <c r="AN264" s="6" t="s">
        <v>2999</v>
      </c>
      <c r="AO264" s="6" t="s">
        <v>3000</v>
      </c>
      <c r="AP264" s="6" t="s">
        <v>3001</v>
      </c>
      <c r="AQ264" s="75" t="s">
        <v>2901</v>
      </c>
      <c r="AR264" s="20" t="s">
        <v>97</v>
      </c>
      <c r="AS264" s="20" t="s">
        <v>107</v>
      </c>
      <c r="AT264" s="20"/>
      <c r="AU264" s="24">
        <v>0.9</v>
      </c>
      <c r="AV264" s="24">
        <f t="shared" si="50"/>
        <v>0.72000000000000008</v>
      </c>
      <c r="AW264" s="24">
        <f t="shared" si="51"/>
        <v>0.54</v>
      </c>
      <c r="AX264" s="25">
        <v>1E-4</v>
      </c>
      <c r="AY264" s="24">
        <v>0</v>
      </c>
      <c r="AZ264" s="24">
        <f t="shared" si="52"/>
        <v>0.81</v>
      </c>
      <c r="BA264" s="24">
        <f t="shared" si="48"/>
        <v>0.64800000000000013</v>
      </c>
      <c r="BB264" s="24">
        <f t="shared" si="49"/>
        <v>0.48599999999999999</v>
      </c>
      <c r="BC264" s="25">
        <v>1E-4</v>
      </c>
      <c r="BD264" s="24">
        <v>0</v>
      </c>
      <c r="BE264" s="26">
        <v>0</v>
      </c>
      <c r="BF264" s="34">
        <f t="shared" si="53"/>
        <v>0</v>
      </c>
      <c r="BG264" s="34">
        <f t="shared" si="54"/>
        <v>0</v>
      </c>
      <c r="BH264" s="26">
        <v>0</v>
      </c>
      <c r="BI264" s="26">
        <v>0</v>
      </c>
      <c r="BJ264" s="27">
        <v>1</v>
      </c>
      <c r="BK264" s="27" t="s">
        <v>84</v>
      </c>
      <c r="BL264" s="27" t="s">
        <v>3002</v>
      </c>
      <c r="BM264" s="27" t="s">
        <v>3003</v>
      </c>
      <c r="BN264" s="26"/>
      <c r="BO264" s="34">
        <v>1</v>
      </c>
      <c r="BP264" s="34"/>
      <c r="BQ264" s="34"/>
      <c r="BR264" s="34"/>
      <c r="BS264" s="34"/>
      <c r="BT264" s="34"/>
      <c r="BU264" s="34"/>
      <c r="BV264" s="34"/>
      <c r="BW264" s="34"/>
      <c r="BX264" s="34"/>
      <c r="BY264" s="34"/>
      <c r="BZ264" s="34"/>
      <c r="CA264" s="20"/>
      <c r="CB264" s="20"/>
      <c r="CC264" s="46">
        <v>46003</v>
      </c>
      <c r="CD264" s="2" t="s">
        <v>3004</v>
      </c>
    </row>
    <row r="265" spans="1:82" s="18" customFormat="1" ht="66.75" customHeight="1" x14ac:dyDescent="0.25">
      <c r="A265" s="121">
        <v>261</v>
      </c>
      <c r="B265" s="141" t="s">
        <v>3005</v>
      </c>
      <c r="C265" s="6" t="s">
        <v>3006</v>
      </c>
      <c r="D265" s="6" t="s">
        <v>3007</v>
      </c>
      <c r="E265" s="75" t="s">
        <v>113</v>
      </c>
      <c r="F265" s="4" t="s">
        <v>81</v>
      </c>
      <c r="G265" s="33">
        <v>134</v>
      </c>
      <c r="H265" s="49" t="s">
        <v>775</v>
      </c>
      <c r="I265" s="49" t="s">
        <v>2901</v>
      </c>
      <c r="J265" s="6"/>
      <c r="K265" s="49"/>
      <c r="L265" s="49"/>
      <c r="M265" s="49" t="s">
        <v>136</v>
      </c>
      <c r="N265" s="49" t="s">
        <v>89</v>
      </c>
      <c r="O265" s="49" t="s">
        <v>2688</v>
      </c>
      <c r="P265" s="6" t="s">
        <v>3008</v>
      </c>
      <c r="Q265" s="49"/>
      <c r="R265" s="75" t="s">
        <v>91</v>
      </c>
      <c r="S265" s="33" t="s">
        <v>92</v>
      </c>
      <c r="T265" s="33" t="s">
        <v>93</v>
      </c>
      <c r="U265" s="78">
        <v>100</v>
      </c>
      <c r="V265" s="33" t="s">
        <v>94</v>
      </c>
      <c r="W265" s="33" t="s">
        <v>95</v>
      </c>
      <c r="X265" s="33">
        <v>2021</v>
      </c>
      <c r="Y265" s="33" t="s">
        <v>117</v>
      </c>
      <c r="Z265" s="33" t="s">
        <v>97</v>
      </c>
      <c r="AA265" s="33" t="s">
        <v>973</v>
      </c>
      <c r="AB265" s="49" t="s">
        <v>99</v>
      </c>
      <c r="AC265" s="48" t="s">
        <v>3009</v>
      </c>
      <c r="AD265" s="48" t="s">
        <v>3010</v>
      </c>
      <c r="AE265" s="6" t="s">
        <v>3011</v>
      </c>
      <c r="AF265" s="6" t="s">
        <v>3012</v>
      </c>
      <c r="AG265" s="6" t="s">
        <v>178</v>
      </c>
      <c r="AH265" s="6" t="s">
        <v>178</v>
      </c>
      <c r="AI265" s="6" t="s">
        <v>3013</v>
      </c>
      <c r="AJ265" s="6" t="s">
        <v>3014</v>
      </c>
      <c r="AK265" s="33" t="s">
        <v>97</v>
      </c>
      <c r="AL265" s="33" t="s">
        <v>97</v>
      </c>
      <c r="AM265" s="5" t="s">
        <v>3015</v>
      </c>
      <c r="AN265" s="5" t="s">
        <v>470</v>
      </c>
      <c r="AO265" s="5" t="s">
        <v>3016</v>
      </c>
      <c r="AP265" s="5" t="s">
        <v>3017</v>
      </c>
      <c r="AQ265" s="75" t="s">
        <v>2901</v>
      </c>
      <c r="AR265" s="20" t="s">
        <v>97</v>
      </c>
      <c r="AS265" s="20" t="s">
        <v>107</v>
      </c>
      <c r="AT265" s="20"/>
      <c r="AU265" s="24">
        <v>0.85</v>
      </c>
      <c r="AV265" s="24">
        <f t="shared" si="50"/>
        <v>0.68</v>
      </c>
      <c r="AW265" s="24">
        <f t="shared" si="51"/>
        <v>0.51</v>
      </c>
      <c r="AX265" s="25">
        <v>1E-4</v>
      </c>
      <c r="AY265" s="24">
        <v>0</v>
      </c>
      <c r="AZ265" s="24">
        <f t="shared" si="52"/>
        <v>0.76500000000000001</v>
      </c>
      <c r="BA265" s="24">
        <f t="shared" si="48"/>
        <v>0.6120000000000001</v>
      </c>
      <c r="BB265" s="24">
        <f t="shared" si="49"/>
        <v>0.45899999999999996</v>
      </c>
      <c r="BC265" s="25">
        <v>1E-4</v>
      </c>
      <c r="BD265" s="24">
        <v>0</v>
      </c>
      <c r="BE265" s="26">
        <v>0</v>
      </c>
      <c r="BF265" s="34">
        <f t="shared" si="53"/>
        <v>0</v>
      </c>
      <c r="BG265" s="34">
        <f t="shared" si="54"/>
        <v>0</v>
      </c>
      <c r="BH265" s="26">
        <v>0</v>
      </c>
      <c r="BI265" s="26">
        <v>0</v>
      </c>
      <c r="BJ265" s="27">
        <v>0.76600000000000001</v>
      </c>
      <c r="BK265" s="27">
        <v>0.79218356662302292</v>
      </c>
      <c r="BL265" s="27" t="s">
        <v>3018</v>
      </c>
      <c r="BM265" s="27" t="s">
        <v>3019</v>
      </c>
      <c r="BN265" s="26"/>
      <c r="BO265" s="34">
        <v>1</v>
      </c>
      <c r="BP265" s="34"/>
      <c r="BQ265" s="34"/>
      <c r="BR265" s="34"/>
      <c r="BS265" s="34"/>
      <c r="BT265" s="34"/>
      <c r="BU265" s="34"/>
      <c r="BV265" s="34"/>
      <c r="BW265" s="34"/>
      <c r="BX265" s="34"/>
      <c r="BY265" s="34"/>
      <c r="BZ265" s="34"/>
      <c r="CA265" s="20"/>
      <c r="CB265" s="20"/>
      <c r="CC265" s="46">
        <v>46003</v>
      </c>
      <c r="CD265" s="21" t="s">
        <v>3020</v>
      </c>
    </row>
    <row r="266" spans="1:82" s="18" customFormat="1" ht="66.75" customHeight="1" x14ac:dyDescent="0.25">
      <c r="A266" s="87">
        <v>262</v>
      </c>
      <c r="B266" s="141" t="s">
        <v>3021</v>
      </c>
      <c r="C266" s="6" t="s">
        <v>3022</v>
      </c>
      <c r="D266" s="6" t="s">
        <v>3023</v>
      </c>
      <c r="E266" s="75" t="s">
        <v>174</v>
      </c>
      <c r="F266" s="4" t="s">
        <v>81</v>
      </c>
      <c r="G266" s="33" t="s">
        <v>84</v>
      </c>
      <c r="H266" s="49" t="s">
        <v>775</v>
      </c>
      <c r="I266" s="49" t="s">
        <v>2901</v>
      </c>
      <c r="J266" s="6"/>
      <c r="K266" s="49"/>
      <c r="L266" s="49"/>
      <c r="M266" s="49" t="s">
        <v>88</v>
      </c>
      <c r="N266" s="49" t="s">
        <v>89</v>
      </c>
      <c r="O266" s="49" t="s">
        <v>2688</v>
      </c>
      <c r="P266" s="6" t="s">
        <v>3008</v>
      </c>
      <c r="Q266" s="49"/>
      <c r="R266" s="75" t="s">
        <v>91</v>
      </c>
      <c r="S266" s="33" t="s">
        <v>92</v>
      </c>
      <c r="T266" s="33" t="s">
        <v>93</v>
      </c>
      <c r="U266" s="78">
        <v>100</v>
      </c>
      <c r="V266" s="33" t="s">
        <v>94</v>
      </c>
      <c r="W266" s="33" t="s">
        <v>95</v>
      </c>
      <c r="X266" s="33">
        <v>2022</v>
      </c>
      <c r="Y266" s="33" t="s">
        <v>117</v>
      </c>
      <c r="Z266" s="33" t="s">
        <v>97</v>
      </c>
      <c r="AA266" s="33" t="s">
        <v>973</v>
      </c>
      <c r="AB266" s="49" t="s">
        <v>99</v>
      </c>
      <c r="AC266" s="48" t="s">
        <v>3024</v>
      </c>
      <c r="AD266" s="79" t="s">
        <v>3025</v>
      </c>
      <c r="AE266" s="6" t="s">
        <v>3026</v>
      </c>
      <c r="AF266" s="6" t="s">
        <v>3027</v>
      </c>
      <c r="AG266" s="6" t="s">
        <v>178</v>
      </c>
      <c r="AH266" s="6" t="s">
        <v>178</v>
      </c>
      <c r="AI266" s="6" t="s">
        <v>3028</v>
      </c>
      <c r="AJ266" s="47" t="s">
        <v>3029</v>
      </c>
      <c r="AK266" s="33" t="s">
        <v>97</v>
      </c>
      <c r="AL266" s="47" t="s">
        <v>3030</v>
      </c>
      <c r="AM266" s="47" t="s">
        <v>3031</v>
      </c>
      <c r="AN266" s="5"/>
      <c r="AO266" s="5" t="s">
        <v>3032</v>
      </c>
      <c r="AP266" s="5" t="s">
        <v>3033</v>
      </c>
      <c r="AQ266" s="49" t="s">
        <v>2901</v>
      </c>
      <c r="AR266" s="20" t="s">
        <v>97</v>
      </c>
      <c r="AS266" s="20" t="s">
        <v>107</v>
      </c>
      <c r="AT266" s="20"/>
      <c r="AU266" s="24">
        <v>0.7</v>
      </c>
      <c r="AV266" s="24">
        <f t="shared" si="50"/>
        <v>0.55999999999999994</v>
      </c>
      <c r="AW266" s="24">
        <f t="shared" si="51"/>
        <v>0.42</v>
      </c>
      <c r="AX266" s="25">
        <v>1E-4</v>
      </c>
      <c r="AY266" s="24">
        <v>0</v>
      </c>
      <c r="AZ266" s="24">
        <f t="shared" si="52"/>
        <v>0.63</v>
      </c>
      <c r="BA266" s="24">
        <f t="shared" si="48"/>
        <v>0.504</v>
      </c>
      <c r="BB266" s="24">
        <f t="shared" si="49"/>
        <v>0.378</v>
      </c>
      <c r="BC266" s="25">
        <v>1E-4</v>
      </c>
      <c r="BD266" s="24">
        <v>0</v>
      </c>
      <c r="BE266" s="34">
        <v>30</v>
      </c>
      <c r="BF266" s="34">
        <f t="shared" si="53"/>
        <v>24</v>
      </c>
      <c r="BG266" s="34">
        <f t="shared" si="54"/>
        <v>18</v>
      </c>
      <c r="BH266" s="26">
        <v>1</v>
      </c>
      <c r="BI266" s="26">
        <v>0</v>
      </c>
      <c r="BJ266" s="27">
        <v>0.57399999999999995</v>
      </c>
      <c r="BK266" s="27">
        <v>0.65205341709140852</v>
      </c>
      <c r="BL266" s="27" t="s">
        <v>3034</v>
      </c>
      <c r="BM266" s="27" t="s">
        <v>3035</v>
      </c>
      <c r="BN266" s="26"/>
      <c r="BO266" s="34"/>
      <c r="BP266" s="34"/>
      <c r="BQ266" s="34"/>
      <c r="BR266" s="34"/>
      <c r="BS266" s="34"/>
      <c r="BT266" s="34"/>
      <c r="BU266" s="34"/>
      <c r="BV266" s="34"/>
      <c r="BW266" s="34"/>
      <c r="BX266" s="34"/>
      <c r="BY266" s="34"/>
      <c r="BZ266" s="34">
        <v>1</v>
      </c>
      <c r="CA266" s="20" t="s">
        <v>3036</v>
      </c>
      <c r="CB266" s="20" t="s">
        <v>3036</v>
      </c>
      <c r="CC266" s="29">
        <v>45727</v>
      </c>
      <c r="CD266" s="40" t="s">
        <v>3037</v>
      </c>
    </row>
    <row r="267" spans="1:82" s="18" customFormat="1" ht="66.75" customHeight="1" x14ac:dyDescent="0.25">
      <c r="A267" s="87">
        <v>263</v>
      </c>
      <c r="B267" s="141" t="s">
        <v>3038</v>
      </c>
      <c r="C267" s="6" t="s">
        <v>3039</v>
      </c>
      <c r="D267" s="6" t="s">
        <v>3040</v>
      </c>
      <c r="E267" s="75" t="s">
        <v>174</v>
      </c>
      <c r="F267" s="4" t="s">
        <v>81</v>
      </c>
      <c r="G267" s="33">
        <v>115</v>
      </c>
      <c r="H267" s="49" t="s">
        <v>775</v>
      </c>
      <c r="I267" s="49" t="s">
        <v>2901</v>
      </c>
      <c r="J267" s="6"/>
      <c r="K267" s="49"/>
      <c r="L267" s="49"/>
      <c r="M267" s="49" t="s">
        <v>136</v>
      </c>
      <c r="N267" s="49" t="s">
        <v>89</v>
      </c>
      <c r="O267" s="49" t="s">
        <v>2688</v>
      </c>
      <c r="P267" s="6" t="s">
        <v>3041</v>
      </c>
      <c r="Q267" s="49"/>
      <c r="R267" s="75" t="s">
        <v>91</v>
      </c>
      <c r="S267" s="33" t="s">
        <v>92</v>
      </c>
      <c r="T267" s="33" t="s">
        <v>93</v>
      </c>
      <c r="U267" s="78">
        <v>100</v>
      </c>
      <c r="V267" s="33" t="s">
        <v>94</v>
      </c>
      <c r="W267" s="33" t="s">
        <v>95</v>
      </c>
      <c r="X267" s="33">
        <v>2021</v>
      </c>
      <c r="Y267" s="33" t="s">
        <v>117</v>
      </c>
      <c r="Z267" s="33" t="s">
        <v>97</v>
      </c>
      <c r="AA267" s="33" t="s">
        <v>973</v>
      </c>
      <c r="AB267" s="49" t="s">
        <v>99</v>
      </c>
      <c r="AC267" s="48" t="s">
        <v>3042</v>
      </c>
      <c r="AD267" s="79" t="s">
        <v>3043</v>
      </c>
      <c r="AE267" s="6" t="s">
        <v>3044</v>
      </c>
      <c r="AF267" s="6" t="s">
        <v>3045</v>
      </c>
      <c r="AG267" s="6" t="s">
        <v>178</v>
      </c>
      <c r="AH267" s="6" t="s">
        <v>178</v>
      </c>
      <c r="AI267" s="6" t="s">
        <v>3046</v>
      </c>
      <c r="AJ267" s="6" t="s">
        <v>3047</v>
      </c>
      <c r="AK267" s="33" t="s">
        <v>97</v>
      </c>
      <c r="AL267" s="33" t="s">
        <v>97</v>
      </c>
      <c r="AM267" s="5"/>
      <c r="AN267" s="5"/>
      <c r="AO267" s="5" t="s">
        <v>3048</v>
      </c>
      <c r="AP267" s="5" t="s">
        <v>3049</v>
      </c>
      <c r="AQ267" s="49" t="s">
        <v>2901</v>
      </c>
      <c r="AR267" s="20" t="s">
        <v>97</v>
      </c>
      <c r="AS267" s="20" t="s">
        <v>107</v>
      </c>
      <c r="AT267" s="20"/>
      <c r="AU267" s="24" t="s">
        <v>1637</v>
      </c>
      <c r="AV267" s="24"/>
      <c r="AW267" s="24"/>
      <c r="AX267" s="3" t="s">
        <v>1638</v>
      </c>
      <c r="AY267" s="24"/>
      <c r="AZ267" s="24" t="s">
        <v>1637</v>
      </c>
      <c r="BA267" s="24"/>
      <c r="BB267" s="24"/>
      <c r="BC267" s="3" t="s">
        <v>1638</v>
      </c>
      <c r="BD267" s="24"/>
      <c r="BE267" s="34">
        <v>5</v>
      </c>
      <c r="BF267" s="34">
        <f t="shared" si="53"/>
        <v>4</v>
      </c>
      <c r="BG267" s="34">
        <f t="shared" si="54"/>
        <v>3</v>
      </c>
      <c r="BH267" s="26">
        <v>1</v>
      </c>
      <c r="BI267" s="26">
        <v>0</v>
      </c>
      <c r="BJ267" s="27">
        <v>0</v>
      </c>
      <c r="BK267" s="27">
        <v>7.5029794289859582E-4</v>
      </c>
      <c r="BL267" s="27" t="s">
        <v>3050</v>
      </c>
      <c r="BM267" s="27" t="s">
        <v>3051</v>
      </c>
      <c r="BN267" s="26"/>
      <c r="BO267" s="34">
        <v>1</v>
      </c>
      <c r="BP267" s="34"/>
      <c r="BQ267" s="34"/>
      <c r="BR267" s="34"/>
      <c r="BS267" s="34"/>
      <c r="BT267" s="34"/>
      <c r="BU267" s="34"/>
      <c r="BV267" s="34"/>
      <c r="BW267" s="34"/>
      <c r="BX267" s="34"/>
      <c r="BY267" s="34"/>
      <c r="BZ267" s="34">
        <v>1</v>
      </c>
      <c r="CA267" s="20" t="s">
        <v>3036</v>
      </c>
      <c r="CB267" s="20" t="s">
        <v>3036</v>
      </c>
      <c r="CC267" s="29">
        <v>46003</v>
      </c>
      <c r="CD267" s="42" t="s">
        <v>3052</v>
      </c>
    </row>
    <row r="268" spans="1:82" s="18" customFormat="1" ht="66.75" customHeight="1" x14ac:dyDescent="0.25">
      <c r="A268" s="121">
        <v>264</v>
      </c>
      <c r="B268" s="141" t="s">
        <v>3053</v>
      </c>
      <c r="C268" s="6" t="s">
        <v>3054</v>
      </c>
      <c r="D268" s="6" t="s">
        <v>3055</v>
      </c>
      <c r="E268" s="75" t="s">
        <v>174</v>
      </c>
      <c r="F268" s="4" t="s">
        <v>81</v>
      </c>
      <c r="G268" s="33" t="s">
        <v>84</v>
      </c>
      <c r="H268" s="49" t="s">
        <v>775</v>
      </c>
      <c r="I268" s="49" t="s">
        <v>2901</v>
      </c>
      <c r="J268" s="6"/>
      <c r="K268" s="49"/>
      <c r="L268" s="49"/>
      <c r="M268" s="49" t="s">
        <v>88</v>
      </c>
      <c r="N268" s="49" t="s">
        <v>89</v>
      </c>
      <c r="O268" s="49" t="s">
        <v>3056</v>
      </c>
      <c r="P268" s="6" t="s">
        <v>3057</v>
      </c>
      <c r="Q268" s="49"/>
      <c r="R268" s="75" t="s">
        <v>91</v>
      </c>
      <c r="S268" s="33" t="s">
        <v>92</v>
      </c>
      <c r="T268" s="33" t="s">
        <v>93</v>
      </c>
      <c r="U268" s="78">
        <v>100</v>
      </c>
      <c r="V268" s="33" t="s">
        <v>94</v>
      </c>
      <c r="W268" s="33" t="s">
        <v>95</v>
      </c>
      <c r="X268" s="33">
        <v>2021</v>
      </c>
      <c r="Y268" s="33" t="s">
        <v>117</v>
      </c>
      <c r="Z268" s="33" t="s">
        <v>95</v>
      </c>
      <c r="AA268" s="33" t="s">
        <v>973</v>
      </c>
      <c r="AB268" s="49" t="s">
        <v>99</v>
      </c>
      <c r="AC268" s="48" t="s">
        <v>3058</v>
      </c>
      <c r="AD268" s="79" t="s">
        <v>3059</v>
      </c>
      <c r="AE268" s="6" t="s">
        <v>3060</v>
      </c>
      <c r="AF268" s="6" t="s">
        <v>3061</v>
      </c>
      <c r="AG268" s="6" t="s">
        <v>3062</v>
      </c>
      <c r="AH268" s="6" t="s">
        <v>3063</v>
      </c>
      <c r="AI268" s="6" t="s">
        <v>3064</v>
      </c>
      <c r="AJ268" s="6" t="s">
        <v>3065</v>
      </c>
      <c r="AK268" s="33" t="s">
        <v>97</v>
      </c>
      <c r="AL268" s="6" t="s">
        <v>3066</v>
      </c>
      <c r="AM268" s="47" t="s">
        <v>3067</v>
      </c>
      <c r="AN268" s="5"/>
      <c r="AO268" s="5" t="s">
        <v>3068</v>
      </c>
      <c r="AP268" s="5" t="s">
        <v>3069</v>
      </c>
      <c r="AQ268" s="49" t="s">
        <v>2901</v>
      </c>
      <c r="AR268" s="20" t="s">
        <v>97</v>
      </c>
      <c r="AS268" s="20" t="s">
        <v>107</v>
      </c>
      <c r="AT268" s="20"/>
      <c r="AU268" s="24">
        <v>0.85</v>
      </c>
      <c r="AV268" s="24">
        <f t="shared" ref="AV268:AV277" si="55">+AU268*80%</f>
        <v>0.68</v>
      </c>
      <c r="AW268" s="24">
        <f t="shared" ref="AW268:AW277" si="56">+AU268*60%</f>
        <v>0.51</v>
      </c>
      <c r="AX268" s="25">
        <v>1E-4</v>
      </c>
      <c r="AY268" s="24">
        <v>0</v>
      </c>
      <c r="AZ268" s="24">
        <f t="shared" ref="AZ268:AZ277" si="57">+AU268*90%</f>
        <v>0.76500000000000001</v>
      </c>
      <c r="BA268" s="24">
        <f t="shared" ref="BA268:BA277" si="58">AZ268*80%</f>
        <v>0.6120000000000001</v>
      </c>
      <c r="BB268" s="24">
        <f t="shared" ref="BB268:BB277" si="59">AZ268*60%</f>
        <v>0.45899999999999996</v>
      </c>
      <c r="BC268" s="25">
        <v>1E-4</v>
      </c>
      <c r="BD268" s="24">
        <v>0</v>
      </c>
      <c r="BE268" s="34">
        <v>20</v>
      </c>
      <c r="BF268" s="34">
        <f t="shared" si="53"/>
        <v>16</v>
      </c>
      <c r="BG268" s="34">
        <f t="shared" si="54"/>
        <v>12</v>
      </c>
      <c r="BH268" s="26">
        <v>1</v>
      </c>
      <c r="BI268" s="26">
        <v>0</v>
      </c>
      <c r="BJ268" s="27">
        <v>0.86399999999999999</v>
      </c>
      <c r="BK268" s="27">
        <v>0.82895392278953928</v>
      </c>
      <c r="BL268" s="27" t="s">
        <v>3070</v>
      </c>
      <c r="BM268" s="27" t="s">
        <v>3071</v>
      </c>
      <c r="BN268" s="26"/>
      <c r="BO268" s="34"/>
      <c r="BP268" s="34"/>
      <c r="BQ268" s="34"/>
      <c r="BR268" s="34"/>
      <c r="BS268" s="34"/>
      <c r="BT268" s="34"/>
      <c r="BU268" s="34"/>
      <c r="BV268" s="34"/>
      <c r="BW268" s="34"/>
      <c r="BX268" s="34"/>
      <c r="BY268" s="34"/>
      <c r="BZ268" s="34">
        <v>1</v>
      </c>
      <c r="CA268" s="20" t="s">
        <v>3036</v>
      </c>
      <c r="CB268" s="20" t="s">
        <v>3036</v>
      </c>
      <c r="CC268" s="46">
        <v>46006</v>
      </c>
      <c r="CD268" s="2" t="s">
        <v>3072</v>
      </c>
    </row>
    <row r="269" spans="1:82" s="18" customFormat="1" ht="66.75" customHeight="1" x14ac:dyDescent="0.25">
      <c r="A269" s="87">
        <v>265</v>
      </c>
      <c r="B269" s="143" t="s">
        <v>3073</v>
      </c>
      <c r="C269" s="6" t="s">
        <v>3074</v>
      </c>
      <c r="D269" s="6" t="s">
        <v>3075</v>
      </c>
      <c r="E269" s="75" t="s">
        <v>113</v>
      </c>
      <c r="F269" s="4" t="s">
        <v>81</v>
      </c>
      <c r="G269" s="33" t="s">
        <v>84</v>
      </c>
      <c r="H269" s="49" t="s">
        <v>775</v>
      </c>
      <c r="I269" s="49" t="s">
        <v>2901</v>
      </c>
      <c r="J269" s="6"/>
      <c r="K269" s="49"/>
      <c r="L269" s="49"/>
      <c r="M269" s="49" t="s">
        <v>136</v>
      </c>
      <c r="N269" s="49" t="s">
        <v>89</v>
      </c>
      <c r="O269" s="49" t="s">
        <v>3056</v>
      </c>
      <c r="P269" s="6" t="s">
        <v>3057</v>
      </c>
      <c r="Q269" s="49"/>
      <c r="R269" s="75" t="s">
        <v>91</v>
      </c>
      <c r="S269" s="33" t="s">
        <v>92</v>
      </c>
      <c r="T269" s="33" t="s">
        <v>93</v>
      </c>
      <c r="U269" s="78">
        <v>100</v>
      </c>
      <c r="V269" s="33" t="s">
        <v>94</v>
      </c>
      <c r="W269" s="33" t="s">
        <v>95</v>
      </c>
      <c r="X269" s="33">
        <v>2025</v>
      </c>
      <c r="Y269" s="33" t="s">
        <v>117</v>
      </c>
      <c r="Z269" s="33" t="s">
        <v>95</v>
      </c>
      <c r="AA269" s="33" t="s">
        <v>973</v>
      </c>
      <c r="AB269" s="49" t="s">
        <v>99</v>
      </c>
      <c r="AC269" s="48" t="s">
        <v>3076</v>
      </c>
      <c r="AD269" s="48" t="s">
        <v>3077</v>
      </c>
      <c r="AE269" s="6" t="s">
        <v>3078</v>
      </c>
      <c r="AF269" s="6" t="s">
        <v>3079</v>
      </c>
      <c r="AG269" s="6" t="s">
        <v>218</v>
      </c>
      <c r="AH269" s="6" t="s">
        <v>218</v>
      </c>
      <c r="AI269" s="6" t="s">
        <v>3080</v>
      </c>
      <c r="AJ269" s="6" t="s">
        <v>3081</v>
      </c>
      <c r="AK269" s="33" t="s">
        <v>97</v>
      </c>
      <c r="AL269" s="49" t="s">
        <v>3082</v>
      </c>
      <c r="AM269" s="6" t="s">
        <v>3083</v>
      </c>
      <c r="AN269" s="5"/>
      <c r="AO269" s="5" t="s">
        <v>3084</v>
      </c>
      <c r="AP269" s="5" t="s">
        <v>3085</v>
      </c>
      <c r="AQ269" s="75" t="s">
        <v>2901</v>
      </c>
      <c r="AR269" s="20" t="s">
        <v>97</v>
      </c>
      <c r="AS269" s="20" t="s">
        <v>107</v>
      </c>
      <c r="AT269" s="20"/>
      <c r="AU269" s="24">
        <v>0.85</v>
      </c>
      <c r="AV269" s="24">
        <f t="shared" si="55"/>
        <v>0.68</v>
      </c>
      <c r="AW269" s="24">
        <f t="shared" si="56"/>
        <v>0.51</v>
      </c>
      <c r="AX269" s="25">
        <v>1E-4</v>
      </c>
      <c r="AY269" s="24">
        <v>0</v>
      </c>
      <c r="AZ269" s="24">
        <f t="shared" si="57"/>
        <v>0.76500000000000001</v>
      </c>
      <c r="BA269" s="24">
        <f t="shared" si="58"/>
        <v>0.6120000000000001</v>
      </c>
      <c r="BB269" s="24">
        <f t="shared" si="59"/>
        <v>0.45899999999999996</v>
      </c>
      <c r="BC269" s="25">
        <v>1E-4</v>
      </c>
      <c r="BD269" s="24">
        <v>0</v>
      </c>
      <c r="BE269" s="26">
        <v>0</v>
      </c>
      <c r="BF269" s="34">
        <f t="shared" si="53"/>
        <v>0</v>
      </c>
      <c r="BG269" s="34">
        <f t="shared" si="54"/>
        <v>0</v>
      </c>
      <c r="BH269" s="26">
        <v>0</v>
      </c>
      <c r="BI269" s="26">
        <v>0</v>
      </c>
      <c r="BJ269" s="27"/>
      <c r="BK269" s="27"/>
      <c r="BL269" s="27"/>
      <c r="BM269" s="27" t="s">
        <v>3086</v>
      </c>
      <c r="BN269" s="26"/>
      <c r="BO269" s="34">
        <v>1</v>
      </c>
      <c r="BP269" s="34"/>
      <c r="BQ269" s="34"/>
      <c r="BR269" s="34"/>
      <c r="BS269" s="34"/>
      <c r="BT269" s="34"/>
      <c r="BU269" s="34"/>
      <c r="BV269" s="34"/>
      <c r="BW269" s="34"/>
      <c r="BX269" s="34"/>
      <c r="BY269" s="34"/>
      <c r="BZ269" s="34"/>
      <c r="CA269" s="20"/>
      <c r="CB269" s="20"/>
      <c r="CC269" s="46">
        <v>46006</v>
      </c>
      <c r="CD269" s="35" t="s">
        <v>3087</v>
      </c>
    </row>
    <row r="270" spans="1:82" s="18" customFormat="1" ht="210" customHeight="1" x14ac:dyDescent="0.25">
      <c r="A270" s="87">
        <v>266</v>
      </c>
      <c r="B270" s="141" t="s">
        <v>3088</v>
      </c>
      <c r="C270" s="6" t="s">
        <v>3089</v>
      </c>
      <c r="D270" s="6" t="s">
        <v>3090</v>
      </c>
      <c r="E270" s="75" t="s">
        <v>174</v>
      </c>
      <c r="F270" s="4" t="s">
        <v>81</v>
      </c>
      <c r="G270" s="33">
        <v>122</v>
      </c>
      <c r="H270" s="49" t="s">
        <v>775</v>
      </c>
      <c r="I270" s="49" t="s">
        <v>2901</v>
      </c>
      <c r="J270" s="6"/>
      <c r="K270" s="49"/>
      <c r="L270" s="49"/>
      <c r="M270" s="49" t="s">
        <v>136</v>
      </c>
      <c r="N270" s="49" t="s">
        <v>89</v>
      </c>
      <c r="O270" s="49" t="s">
        <v>3056</v>
      </c>
      <c r="P270" s="6" t="s">
        <v>3057</v>
      </c>
      <c r="Q270" s="49"/>
      <c r="R270" s="75" t="s">
        <v>91</v>
      </c>
      <c r="S270" s="33" t="s">
        <v>92</v>
      </c>
      <c r="T270" s="33" t="s">
        <v>93</v>
      </c>
      <c r="U270" s="78">
        <v>100</v>
      </c>
      <c r="V270" s="33" t="s">
        <v>94</v>
      </c>
      <c r="W270" s="33" t="s">
        <v>95</v>
      </c>
      <c r="X270" s="33">
        <v>2021</v>
      </c>
      <c r="Y270" s="33" t="s">
        <v>117</v>
      </c>
      <c r="Z270" s="33" t="s">
        <v>95</v>
      </c>
      <c r="AA270" s="33" t="s">
        <v>973</v>
      </c>
      <c r="AB270" s="49" t="s">
        <v>99</v>
      </c>
      <c r="AC270" s="79" t="s">
        <v>3091</v>
      </c>
      <c r="AD270" s="79" t="s">
        <v>3092</v>
      </c>
      <c r="AE270" s="6" t="s">
        <v>3093</v>
      </c>
      <c r="AF270" s="6" t="s">
        <v>3094</v>
      </c>
      <c r="AG270" s="6" t="s">
        <v>3095</v>
      </c>
      <c r="AH270" s="6" t="s">
        <v>1042</v>
      </c>
      <c r="AI270" s="6" t="s">
        <v>3096</v>
      </c>
      <c r="AJ270" s="47" t="s">
        <v>3097</v>
      </c>
      <c r="AK270" s="33" t="s">
        <v>97</v>
      </c>
      <c r="AL270" s="6" t="s">
        <v>3098</v>
      </c>
      <c r="AM270" s="47" t="s">
        <v>3099</v>
      </c>
      <c r="AN270" s="5"/>
      <c r="AO270" s="5" t="s">
        <v>3100</v>
      </c>
      <c r="AP270" s="5" t="s">
        <v>3101</v>
      </c>
      <c r="AQ270" s="49" t="s">
        <v>2901</v>
      </c>
      <c r="AR270" s="20" t="s">
        <v>97</v>
      </c>
      <c r="AS270" s="20" t="s">
        <v>107</v>
      </c>
      <c r="AT270" s="20"/>
      <c r="AU270" s="24">
        <v>0.85</v>
      </c>
      <c r="AV270" s="24">
        <f t="shared" si="55"/>
        <v>0.68</v>
      </c>
      <c r="AW270" s="24">
        <f t="shared" si="56"/>
        <v>0.51</v>
      </c>
      <c r="AX270" s="25">
        <v>1E-4</v>
      </c>
      <c r="AY270" s="24">
        <v>0</v>
      </c>
      <c r="AZ270" s="24">
        <f t="shared" si="57"/>
        <v>0.76500000000000001</v>
      </c>
      <c r="BA270" s="24">
        <f t="shared" si="58"/>
        <v>0.6120000000000001</v>
      </c>
      <c r="BB270" s="24">
        <f t="shared" si="59"/>
        <v>0.45899999999999996</v>
      </c>
      <c r="BC270" s="25">
        <v>1E-4</v>
      </c>
      <c r="BD270" s="24">
        <v>0</v>
      </c>
      <c r="BE270" s="20">
        <v>50</v>
      </c>
      <c r="BF270" s="34">
        <f t="shared" si="53"/>
        <v>40</v>
      </c>
      <c r="BG270" s="34">
        <f t="shared" si="54"/>
        <v>30</v>
      </c>
      <c r="BH270" s="26">
        <v>1</v>
      </c>
      <c r="BI270" s="26">
        <v>0</v>
      </c>
      <c r="BJ270" s="27">
        <v>0.63100000000000001</v>
      </c>
      <c r="BK270" s="27">
        <v>0.53385872737886753</v>
      </c>
      <c r="BL270" s="27" t="s">
        <v>3102</v>
      </c>
      <c r="BM270" s="27" t="s">
        <v>3103</v>
      </c>
      <c r="BN270" s="26"/>
      <c r="BO270" s="34">
        <v>1</v>
      </c>
      <c r="BP270" s="34"/>
      <c r="BQ270" s="34"/>
      <c r="BR270" s="34"/>
      <c r="BS270" s="34"/>
      <c r="BT270" s="34" t="s">
        <v>3104</v>
      </c>
      <c r="BU270" s="34"/>
      <c r="BV270" s="34"/>
      <c r="BW270" s="34">
        <v>1</v>
      </c>
      <c r="BX270" s="34">
        <v>1</v>
      </c>
      <c r="BY270" s="34"/>
      <c r="BZ270" s="34">
        <v>1</v>
      </c>
      <c r="CA270" s="20" t="s">
        <v>3036</v>
      </c>
      <c r="CB270" s="20" t="s">
        <v>3036</v>
      </c>
      <c r="CC270" s="29">
        <v>46003</v>
      </c>
      <c r="CD270" s="42" t="s">
        <v>3105</v>
      </c>
    </row>
    <row r="271" spans="1:82" s="18" customFormat="1" ht="66.75" customHeight="1" x14ac:dyDescent="0.25">
      <c r="A271" s="121">
        <v>267</v>
      </c>
      <c r="B271" s="141" t="s">
        <v>3106</v>
      </c>
      <c r="C271" s="6" t="s">
        <v>3107</v>
      </c>
      <c r="D271" s="6" t="s">
        <v>3108</v>
      </c>
      <c r="E271" s="75" t="s">
        <v>113</v>
      </c>
      <c r="F271" s="4" t="s">
        <v>81</v>
      </c>
      <c r="G271" s="33">
        <v>127</v>
      </c>
      <c r="H271" s="49" t="s">
        <v>775</v>
      </c>
      <c r="I271" s="49" t="s">
        <v>2901</v>
      </c>
      <c r="J271" s="6"/>
      <c r="K271" s="49"/>
      <c r="L271" s="49"/>
      <c r="M271" s="49" t="s">
        <v>136</v>
      </c>
      <c r="N271" s="49" t="s">
        <v>89</v>
      </c>
      <c r="O271" s="49" t="s">
        <v>3056</v>
      </c>
      <c r="P271" s="6" t="s">
        <v>3057</v>
      </c>
      <c r="Q271" s="49"/>
      <c r="R271" s="75" t="s">
        <v>91</v>
      </c>
      <c r="S271" s="33" t="s">
        <v>92</v>
      </c>
      <c r="T271" s="33" t="s">
        <v>93</v>
      </c>
      <c r="U271" s="78">
        <v>100</v>
      </c>
      <c r="V271" s="33" t="s">
        <v>94</v>
      </c>
      <c r="W271" s="33" t="s">
        <v>95</v>
      </c>
      <c r="X271" s="33">
        <v>2023</v>
      </c>
      <c r="Y271" s="33" t="s">
        <v>117</v>
      </c>
      <c r="Z271" s="33" t="s">
        <v>95</v>
      </c>
      <c r="AA271" s="33" t="s">
        <v>973</v>
      </c>
      <c r="AB271" s="49" t="s">
        <v>99</v>
      </c>
      <c r="AC271" s="48" t="s">
        <v>3109</v>
      </c>
      <c r="AD271" s="48" t="s">
        <v>3110</v>
      </c>
      <c r="AE271" s="6" t="s">
        <v>3093</v>
      </c>
      <c r="AF271" s="6" t="s">
        <v>3111</v>
      </c>
      <c r="AG271" s="6" t="s">
        <v>3112</v>
      </c>
      <c r="AH271" s="6" t="s">
        <v>3113</v>
      </c>
      <c r="AI271" s="6" t="s">
        <v>3064</v>
      </c>
      <c r="AJ271" s="6" t="s">
        <v>3114</v>
      </c>
      <c r="AK271" s="33" t="s">
        <v>97</v>
      </c>
      <c r="AL271" s="49" t="s">
        <v>3115</v>
      </c>
      <c r="AM271" s="6" t="s">
        <v>3083</v>
      </c>
      <c r="AN271" s="5"/>
      <c r="AO271" s="5" t="s">
        <v>3116</v>
      </c>
      <c r="AP271" s="5" t="s">
        <v>3117</v>
      </c>
      <c r="AQ271" s="75" t="s">
        <v>2901</v>
      </c>
      <c r="AR271" s="20" t="s">
        <v>97</v>
      </c>
      <c r="AS271" s="20" t="s">
        <v>107</v>
      </c>
      <c r="AT271" s="20"/>
      <c r="AU271" s="24">
        <v>0.8</v>
      </c>
      <c r="AV271" s="24">
        <f t="shared" si="55"/>
        <v>0.64000000000000012</v>
      </c>
      <c r="AW271" s="24">
        <f t="shared" si="56"/>
        <v>0.48</v>
      </c>
      <c r="AX271" s="25">
        <v>1E-4</v>
      </c>
      <c r="AY271" s="24">
        <v>0</v>
      </c>
      <c r="AZ271" s="24">
        <f t="shared" si="57"/>
        <v>0.72000000000000008</v>
      </c>
      <c r="BA271" s="24">
        <f t="shared" si="58"/>
        <v>0.57600000000000007</v>
      </c>
      <c r="BB271" s="24">
        <f t="shared" si="59"/>
        <v>0.43200000000000005</v>
      </c>
      <c r="BC271" s="25">
        <v>1E-4</v>
      </c>
      <c r="BD271" s="24">
        <v>0</v>
      </c>
      <c r="BE271" s="26">
        <v>0</v>
      </c>
      <c r="BF271" s="34">
        <f t="shared" si="53"/>
        <v>0</v>
      </c>
      <c r="BG271" s="34">
        <f t="shared" si="54"/>
        <v>0</v>
      </c>
      <c r="BH271" s="26">
        <v>0</v>
      </c>
      <c r="BI271" s="26">
        <v>0</v>
      </c>
      <c r="BJ271" s="20" t="s">
        <v>496</v>
      </c>
      <c r="BK271" s="27" t="s">
        <v>84</v>
      </c>
      <c r="BL271" s="27" t="s">
        <v>3003</v>
      </c>
      <c r="BM271" s="27" t="s">
        <v>3003</v>
      </c>
      <c r="BN271" s="26"/>
      <c r="BO271" s="34">
        <v>1</v>
      </c>
      <c r="BP271" s="34"/>
      <c r="BQ271" s="34"/>
      <c r="BR271" s="34"/>
      <c r="BS271" s="34"/>
      <c r="BT271" s="34"/>
      <c r="BU271" s="34"/>
      <c r="BV271" s="34"/>
      <c r="BW271" s="34"/>
      <c r="BX271" s="34"/>
      <c r="BY271" s="34"/>
      <c r="BZ271" s="34"/>
      <c r="CA271" s="20"/>
      <c r="CB271" s="20"/>
      <c r="CC271" s="29">
        <v>45695</v>
      </c>
      <c r="CD271" s="2" t="s">
        <v>2214</v>
      </c>
    </row>
    <row r="272" spans="1:82" s="18" customFormat="1" ht="66.75" customHeight="1" x14ac:dyDescent="0.25">
      <c r="A272" s="87">
        <v>268</v>
      </c>
      <c r="B272" s="141" t="s">
        <v>3118</v>
      </c>
      <c r="C272" s="6" t="s">
        <v>3119</v>
      </c>
      <c r="D272" s="6" t="s">
        <v>3120</v>
      </c>
      <c r="E272" s="75" t="s">
        <v>174</v>
      </c>
      <c r="F272" s="4" t="s">
        <v>81</v>
      </c>
      <c r="G272" s="33" t="s">
        <v>84</v>
      </c>
      <c r="H272" s="49" t="s">
        <v>775</v>
      </c>
      <c r="I272" s="49" t="s">
        <v>2901</v>
      </c>
      <c r="J272" s="6"/>
      <c r="K272" s="49"/>
      <c r="L272" s="49"/>
      <c r="M272" s="49" t="s">
        <v>88</v>
      </c>
      <c r="N272" s="49" t="s">
        <v>89</v>
      </c>
      <c r="O272" s="49" t="s">
        <v>3121</v>
      </c>
      <c r="P272" s="6" t="s">
        <v>3122</v>
      </c>
      <c r="Q272" s="49"/>
      <c r="R272" s="75" t="s">
        <v>91</v>
      </c>
      <c r="S272" s="33" t="s">
        <v>92</v>
      </c>
      <c r="T272" s="33" t="s">
        <v>93</v>
      </c>
      <c r="U272" s="78">
        <v>100</v>
      </c>
      <c r="V272" s="33" t="s">
        <v>94</v>
      </c>
      <c r="W272" s="33" t="s">
        <v>95</v>
      </c>
      <c r="X272" s="33">
        <v>2021</v>
      </c>
      <c r="Y272" s="33" t="s">
        <v>117</v>
      </c>
      <c r="Z272" s="33" t="s">
        <v>95</v>
      </c>
      <c r="AA272" s="33" t="s">
        <v>973</v>
      </c>
      <c r="AB272" s="49" t="s">
        <v>99</v>
      </c>
      <c r="AC272" s="48" t="s">
        <v>3123</v>
      </c>
      <c r="AD272" s="79" t="s">
        <v>3124</v>
      </c>
      <c r="AE272" s="6" t="s">
        <v>3125</v>
      </c>
      <c r="AF272" s="6" t="s">
        <v>3126</v>
      </c>
      <c r="AG272" s="6" t="s">
        <v>3095</v>
      </c>
      <c r="AH272" s="6" t="s">
        <v>3127</v>
      </c>
      <c r="AI272" s="6" t="s">
        <v>3128</v>
      </c>
      <c r="AJ272" s="6" t="s">
        <v>3129</v>
      </c>
      <c r="AK272" s="33" t="s">
        <v>97</v>
      </c>
      <c r="AL272" s="6" t="s">
        <v>3130</v>
      </c>
      <c r="AM272" s="47" t="s">
        <v>3083</v>
      </c>
      <c r="AN272" s="5"/>
      <c r="AO272" s="5" t="s">
        <v>3131</v>
      </c>
      <c r="AP272" s="5" t="s">
        <v>3132</v>
      </c>
      <c r="AQ272" s="49" t="s">
        <v>2901</v>
      </c>
      <c r="AR272" s="20" t="s">
        <v>97</v>
      </c>
      <c r="AS272" s="20" t="s">
        <v>107</v>
      </c>
      <c r="AT272" s="20"/>
      <c r="AU272" s="24">
        <v>0.8</v>
      </c>
      <c r="AV272" s="24">
        <f t="shared" si="55"/>
        <v>0.64000000000000012</v>
      </c>
      <c r="AW272" s="24">
        <f t="shared" si="56"/>
        <v>0.48</v>
      </c>
      <c r="AX272" s="25">
        <v>1E-4</v>
      </c>
      <c r="AY272" s="24">
        <v>0</v>
      </c>
      <c r="AZ272" s="24">
        <f t="shared" si="57"/>
        <v>0.72000000000000008</v>
      </c>
      <c r="BA272" s="24">
        <f t="shared" si="58"/>
        <v>0.57600000000000007</v>
      </c>
      <c r="BB272" s="24">
        <f t="shared" si="59"/>
        <v>0.43200000000000005</v>
      </c>
      <c r="BC272" s="25">
        <v>1E-4</v>
      </c>
      <c r="BD272" s="24">
        <v>0</v>
      </c>
      <c r="BE272" s="34">
        <v>20</v>
      </c>
      <c r="BF272" s="34">
        <f t="shared" si="53"/>
        <v>16</v>
      </c>
      <c r="BG272" s="34">
        <f t="shared" si="54"/>
        <v>12</v>
      </c>
      <c r="BH272" s="26">
        <v>1</v>
      </c>
      <c r="BI272" s="26">
        <v>0</v>
      </c>
      <c r="BJ272" s="27">
        <v>0.70899999999999996</v>
      </c>
      <c r="BK272" s="27">
        <v>0.72180916976456011</v>
      </c>
      <c r="BL272" s="27" t="s">
        <v>3133</v>
      </c>
      <c r="BM272" s="27" t="s">
        <v>3134</v>
      </c>
      <c r="BN272" s="26"/>
      <c r="BO272" s="34"/>
      <c r="BP272" s="34"/>
      <c r="BQ272" s="34"/>
      <c r="BR272" s="34"/>
      <c r="BS272" s="34"/>
      <c r="BT272" s="34"/>
      <c r="BU272" s="34"/>
      <c r="BV272" s="34"/>
      <c r="BW272" s="34"/>
      <c r="BX272" s="34"/>
      <c r="BY272" s="34"/>
      <c r="BZ272" s="34">
        <v>1</v>
      </c>
      <c r="CA272" s="20" t="s">
        <v>3036</v>
      </c>
      <c r="CB272" s="20" t="s">
        <v>3036</v>
      </c>
      <c r="CC272" s="46">
        <v>46006</v>
      </c>
      <c r="CD272" s="42" t="s">
        <v>3135</v>
      </c>
    </row>
    <row r="273" spans="1:82" s="18" customFormat="1" ht="66.75" customHeight="1" x14ac:dyDescent="0.25">
      <c r="A273" s="87">
        <v>269</v>
      </c>
      <c r="B273" s="143" t="s">
        <v>3136</v>
      </c>
      <c r="C273" s="6" t="s">
        <v>3137</v>
      </c>
      <c r="D273" s="6" t="s">
        <v>3138</v>
      </c>
      <c r="E273" s="75" t="s">
        <v>174</v>
      </c>
      <c r="F273" s="4" t="s">
        <v>81</v>
      </c>
      <c r="G273" s="33" t="s">
        <v>84</v>
      </c>
      <c r="H273" s="49" t="s">
        <v>775</v>
      </c>
      <c r="I273" s="49" t="s">
        <v>2901</v>
      </c>
      <c r="J273" s="6"/>
      <c r="K273" s="49"/>
      <c r="L273" s="49"/>
      <c r="M273" s="49" t="s">
        <v>88</v>
      </c>
      <c r="N273" s="49" t="s">
        <v>89</v>
      </c>
      <c r="O273" s="49" t="s">
        <v>3139</v>
      </c>
      <c r="P273" s="6" t="s">
        <v>3140</v>
      </c>
      <c r="Q273" s="49"/>
      <c r="R273" s="75" t="s">
        <v>91</v>
      </c>
      <c r="S273" s="33" t="s">
        <v>92</v>
      </c>
      <c r="T273" s="33" t="s">
        <v>93</v>
      </c>
      <c r="U273" s="78">
        <v>100</v>
      </c>
      <c r="V273" s="33" t="s">
        <v>94</v>
      </c>
      <c r="W273" s="33" t="s">
        <v>95</v>
      </c>
      <c r="X273" s="33">
        <v>2025</v>
      </c>
      <c r="Y273" s="33" t="s">
        <v>117</v>
      </c>
      <c r="Z273" s="33" t="s">
        <v>95</v>
      </c>
      <c r="AA273" s="33" t="s">
        <v>973</v>
      </c>
      <c r="AB273" s="49" t="s">
        <v>99</v>
      </c>
      <c r="AC273" s="48" t="s">
        <v>3141</v>
      </c>
      <c r="AD273" s="48" t="s">
        <v>3142</v>
      </c>
      <c r="AE273" s="47" t="s">
        <v>3143</v>
      </c>
      <c r="AF273" s="6" t="s">
        <v>3144</v>
      </c>
      <c r="AG273" s="6" t="s">
        <v>3145</v>
      </c>
      <c r="AH273" s="6" t="s">
        <v>3146</v>
      </c>
      <c r="AI273" s="6" t="s">
        <v>3147</v>
      </c>
      <c r="AJ273" s="6" t="s">
        <v>3129</v>
      </c>
      <c r="AK273" s="33" t="s">
        <v>97</v>
      </c>
      <c r="AL273" s="6" t="s">
        <v>3148</v>
      </c>
      <c r="AM273" s="47" t="s">
        <v>3149</v>
      </c>
      <c r="AN273" s="5"/>
      <c r="AO273" s="5" t="s">
        <v>3150</v>
      </c>
      <c r="AP273" s="5" t="s">
        <v>3151</v>
      </c>
      <c r="AQ273" s="6" t="s">
        <v>3152</v>
      </c>
      <c r="AR273" s="20" t="s">
        <v>97</v>
      </c>
      <c r="AS273" s="20" t="s">
        <v>107</v>
      </c>
      <c r="AT273" s="20"/>
      <c r="AU273" s="24">
        <v>0.8</v>
      </c>
      <c r="AV273" s="24">
        <f t="shared" si="55"/>
        <v>0.64000000000000012</v>
      </c>
      <c r="AW273" s="24">
        <f t="shared" si="56"/>
        <v>0.48</v>
      </c>
      <c r="AX273" s="25">
        <v>1E-4</v>
      </c>
      <c r="AY273" s="24">
        <v>0</v>
      </c>
      <c r="AZ273" s="24">
        <f t="shared" si="57"/>
        <v>0.72000000000000008</v>
      </c>
      <c r="BA273" s="24">
        <f t="shared" si="58"/>
        <v>0.57600000000000007</v>
      </c>
      <c r="BB273" s="24">
        <f t="shared" si="59"/>
        <v>0.43200000000000005</v>
      </c>
      <c r="BC273" s="25">
        <v>1E-4</v>
      </c>
      <c r="BD273" s="24">
        <v>0</v>
      </c>
      <c r="BE273" s="34">
        <v>20</v>
      </c>
      <c r="BF273" s="34">
        <f t="shared" si="53"/>
        <v>16</v>
      </c>
      <c r="BG273" s="34">
        <f t="shared" si="54"/>
        <v>12</v>
      </c>
      <c r="BH273" s="26">
        <v>1</v>
      </c>
      <c r="BI273" s="26">
        <v>0</v>
      </c>
      <c r="BJ273" s="27"/>
      <c r="BK273" s="27"/>
      <c r="BL273" s="27"/>
      <c r="BM273" s="27" t="s">
        <v>3153</v>
      </c>
      <c r="BN273" s="26"/>
      <c r="BO273" s="34"/>
      <c r="BP273" s="34"/>
      <c r="BQ273" s="34"/>
      <c r="BR273" s="34"/>
      <c r="BS273" s="34"/>
      <c r="BT273" s="34"/>
      <c r="BU273" s="34"/>
      <c r="BV273" s="34"/>
      <c r="BW273" s="34"/>
      <c r="BX273" s="34"/>
      <c r="BY273" s="34"/>
      <c r="BZ273" s="34"/>
      <c r="CA273" s="20"/>
      <c r="CB273" s="20"/>
      <c r="CC273" s="46">
        <v>46006</v>
      </c>
      <c r="CD273" s="42" t="s">
        <v>3154</v>
      </c>
    </row>
    <row r="274" spans="1:82" s="18" customFormat="1" ht="66.75" customHeight="1" x14ac:dyDescent="0.25">
      <c r="A274" s="121">
        <v>270</v>
      </c>
      <c r="B274" s="143" t="s">
        <v>3155</v>
      </c>
      <c r="C274" s="6" t="s">
        <v>3156</v>
      </c>
      <c r="D274" s="6" t="s">
        <v>3157</v>
      </c>
      <c r="E274" s="75" t="s">
        <v>113</v>
      </c>
      <c r="F274" s="4" t="s">
        <v>81</v>
      </c>
      <c r="G274" s="33" t="s">
        <v>84</v>
      </c>
      <c r="H274" s="49" t="s">
        <v>775</v>
      </c>
      <c r="I274" s="49" t="s">
        <v>2901</v>
      </c>
      <c r="J274" s="6"/>
      <c r="K274" s="49"/>
      <c r="L274" s="49"/>
      <c r="M274" s="49" t="s">
        <v>88</v>
      </c>
      <c r="N274" s="49" t="s">
        <v>89</v>
      </c>
      <c r="O274" s="49" t="s">
        <v>3121</v>
      </c>
      <c r="P274" s="6" t="s">
        <v>3122</v>
      </c>
      <c r="Q274" s="49"/>
      <c r="R274" s="75" t="s">
        <v>175</v>
      </c>
      <c r="S274" s="33" t="s">
        <v>92</v>
      </c>
      <c r="T274" s="33" t="s">
        <v>93</v>
      </c>
      <c r="U274" s="78">
        <v>100</v>
      </c>
      <c r="V274" s="33" t="s">
        <v>94</v>
      </c>
      <c r="W274" s="33" t="s">
        <v>95</v>
      </c>
      <c r="X274" s="33">
        <v>2025</v>
      </c>
      <c r="Y274" s="33" t="s">
        <v>117</v>
      </c>
      <c r="Z274" s="33" t="s">
        <v>95</v>
      </c>
      <c r="AA274" s="33" t="s">
        <v>973</v>
      </c>
      <c r="AB274" s="49" t="s">
        <v>99</v>
      </c>
      <c r="AC274" s="48" t="s">
        <v>3158</v>
      </c>
      <c r="AD274" s="48" t="s">
        <v>3159</v>
      </c>
      <c r="AE274" s="49" t="s">
        <v>3125</v>
      </c>
      <c r="AF274" s="49" t="s">
        <v>3126</v>
      </c>
      <c r="AG274" s="49" t="s">
        <v>3160</v>
      </c>
      <c r="AH274" s="49" t="s">
        <v>3160</v>
      </c>
      <c r="AI274" s="6" t="s">
        <v>3161</v>
      </c>
      <c r="AJ274" s="6" t="s">
        <v>3162</v>
      </c>
      <c r="AK274" s="33" t="s">
        <v>97</v>
      </c>
      <c r="AL274" s="49" t="s">
        <v>3163</v>
      </c>
      <c r="AM274" s="6" t="s">
        <v>3083</v>
      </c>
      <c r="AN274" s="5"/>
      <c r="AO274" s="5" t="s">
        <v>3164</v>
      </c>
      <c r="AP274" s="5" t="s">
        <v>3165</v>
      </c>
      <c r="AQ274" s="75" t="s">
        <v>2901</v>
      </c>
      <c r="AR274" s="20" t="s">
        <v>97</v>
      </c>
      <c r="AS274" s="20" t="s">
        <v>107</v>
      </c>
      <c r="AT274" s="20"/>
      <c r="AU274" s="24">
        <v>0.8</v>
      </c>
      <c r="AV274" s="24">
        <f t="shared" si="55"/>
        <v>0.64000000000000012</v>
      </c>
      <c r="AW274" s="24">
        <f t="shared" si="56"/>
        <v>0.48</v>
      </c>
      <c r="AX274" s="25">
        <v>1E-4</v>
      </c>
      <c r="AY274" s="24">
        <v>0</v>
      </c>
      <c r="AZ274" s="24">
        <f t="shared" si="57"/>
        <v>0.72000000000000008</v>
      </c>
      <c r="BA274" s="24">
        <f t="shared" si="58"/>
        <v>0.57600000000000007</v>
      </c>
      <c r="BB274" s="24">
        <f t="shared" si="59"/>
        <v>0.43200000000000005</v>
      </c>
      <c r="BC274" s="25">
        <v>1E-4</v>
      </c>
      <c r="BD274" s="24">
        <v>0</v>
      </c>
      <c r="BE274" s="26">
        <v>0</v>
      </c>
      <c r="BF274" s="34">
        <f t="shared" si="53"/>
        <v>0</v>
      </c>
      <c r="BG274" s="34">
        <f t="shared" si="54"/>
        <v>0</v>
      </c>
      <c r="BH274" s="26">
        <v>0</v>
      </c>
      <c r="BI274" s="26">
        <v>0</v>
      </c>
      <c r="BJ274" s="27"/>
      <c r="BK274" s="27"/>
      <c r="BL274" s="27"/>
      <c r="BM274" s="27" t="s">
        <v>3166</v>
      </c>
      <c r="BN274" s="26"/>
      <c r="BO274" s="34"/>
      <c r="BP274" s="34"/>
      <c r="BQ274" s="34"/>
      <c r="BR274" s="34"/>
      <c r="BS274" s="34"/>
      <c r="BT274" s="34"/>
      <c r="BU274" s="34"/>
      <c r="BV274" s="34"/>
      <c r="BW274" s="34"/>
      <c r="BX274" s="34"/>
      <c r="BY274" s="34"/>
      <c r="BZ274" s="34"/>
      <c r="CA274" s="20"/>
      <c r="CB274" s="20"/>
      <c r="CC274" s="46">
        <v>46003</v>
      </c>
      <c r="CD274" s="21" t="s">
        <v>3167</v>
      </c>
    </row>
    <row r="275" spans="1:82" s="18" customFormat="1" ht="66.75" customHeight="1" x14ac:dyDescent="0.25">
      <c r="A275" s="87">
        <v>271</v>
      </c>
      <c r="B275" s="141" t="s">
        <v>3168</v>
      </c>
      <c r="C275" s="6" t="s">
        <v>3169</v>
      </c>
      <c r="D275" s="6" t="s">
        <v>3170</v>
      </c>
      <c r="E275" s="75" t="s">
        <v>174</v>
      </c>
      <c r="F275" s="4" t="s">
        <v>81</v>
      </c>
      <c r="G275" s="33" t="s">
        <v>84</v>
      </c>
      <c r="H275" s="49" t="s">
        <v>775</v>
      </c>
      <c r="I275" s="49" t="s">
        <v>2901</v>
      </c>
      <c r="J275" s="6"/>
      <c r="K275" s="49"/>
      <c r="L275" s="49"/>
      <c r="M275" s="49" t="s">
        <v>88</v>
      </c>
      <c r="N275" s="49" t="s">
        <v>89</v>
      </c>
      <c r="O275" s="49" t="s">
        <v>3121</v>
      </c>
      <c r="P275" s="6" t="s">
        <v>3122</v>
      </c>
      <c r="Q275" s="49"/>
      <c r="R275" s="75" t="s">
        <v>91</v>
      </c>
      <c r="S275" s="33" t="s">
        <v>92</v>
      </c>
      <c r="T275" s="33" t="s">
        <v>93</v>
      </c>
      <c r="U275" s="78">
        <v>100</v>
      </c>
      <c r="V275" s="33" t="s">
        <v>94</v>
      </c>
      <c r="W275" s="33" t="s">
        <v>95</v>
      </c>
      <c r="X275" s="33">
        <v>2021</v>
      </c>
      <c r="Y275" s="33" t="s">
        <v>117</v>
      </c>
      <c r="Z275" s="33" t="s">
        <v>95</v>
      </c>
      <c r="AA275" s="33" t="s">
        <v>973</v>
      </c>
      <c r="AB275" s="49" t="s">
        <v>99</v>
      </c>
      <c r="AC275" s="79" t="s">
        <v>3171</v>
      </c>
      <c r="AD275" s="79" t="s">
        <v>3172</v>
      </c>
      <c r="AE275" s="47" t="s">
        <v>3173</v>
      </c>
      <c r="AF275" s="6" t="s">
        <v>3174</v>
      </c>
      <c r="AG275" s="6" t="s">
        <v>3127</v>
      </c>
      <c r="AH275" s="6" t="s">
        <v>3127</v>
      </c>
      <c r="AI275" s="6" t="s">
        <v>3175</v>
      </c>
      <c r="AJ275" s="6" t="s">
        <v>3176</v>
      </c>
      <c r="AK275" s="33" t="s">
        <v>97</v>
      </c>
      <c r="AL275" s="33" t="s">
        <v>97</v>
      </c>
      <c r="AM275" s="5"/>
      <c r="AN275" s="5"/>
      <c r="AO275" s="5" t="s">
        <v>3177</v>
      </c>
      <c r="AP275" s="5" t="s">
        <v>3178</v>
      </c>
      <c r="AQ275" s="49" t="s">
        <v>2901</v>
      </c>
      <c r="AR275" s="20" t="s">
        <v>97</v>
      </c>
      <c r="AS275" s="20" t="s">
        <v>107</v>
      </c>
      <c r="AT275" s="20"/>
      <c r="AU275" s="24">
        <v>0.5</v>
      </c>
      <c r="AV275" s="24">
        <f t="shared" si="55"/>
        <v>0.4</v>
      </c>
      <c r="AW275" s="24">
        <f t="shared" si="56"/>
        <v>0.3</v>
      </c>
      <c r="AX275" s="25">
        <v>1E-4</v>
      </c>
      <c r="AY275" s="24">
        <v>0</v>
      </c>
      <c r="AZ275" s="24">
        <f t="shared" si="57"/>
        <v>0.45</v>
      </c>
      <c r="BA275" s="24">
        <f t="shared" si="58"/>
        <v>0.36000000000000004</v>
      </c>
      <c r="BB275" s="24">
        <f t="shared" si="59"/>
        <v>0.27</v>
      </c>
      <c r="BC275" s="25">
        <v>1E-4</v>
      </c>
      <c r="BD275" s="24">
        <v>0</v>
      </c>
      <c r="BE275" s="34">
        <v>20</v>
      </c>
      <c r="BF275" s="34">
        <f t="shared" si="53"/>
        <v>16</v>
      </c>
      <c r="BG275" s="34">
        <f t="shared" si="54"/>
        <v>12</v>
      </c>
      <c r="BH275" s="26">
        <v>1</v>
      </c>
      <c r="BI275" s="26">
        <v>0</v>
      </c>
      <c r="BJ275" s="27">
        <v>0.43099999999999999</v>
      </c>
      <c r="BK275" s="27">
        <v>0.4057459677419355</v>
      </c>
      <c r="BL275" s="27" t="s">
        <v>3179</v>
      </c>
      <c r="BM275" s="27" t="s">
        <v>3180</v>
      </c>
      <c r="BN275" s="26"/>
      <c r="BO275" s="34"/>
      <c r="BP275" s="34"/>
      <c r="BQ275" s="34"/>
      <c r="BR275" s="34"/>
      <c r="BS275" s="34"/>
      <c r="BT275" s="34"/>
      <c r="BU275" s="34"/>
      <c r="BV275" s="34"/>
      <c r="BW275" s="34"/>
      <c r="BX275" s="34"/>
      <c r="BY275" s="34"/>
      <c r="BZ275" s="34">
        <v>1</v>
      </c>
      <c r="CA275" s="20" t="s">
        <v>3036</v>
      </c>
      <c r="CB275" s="20" t="s">
        <v>3036</v>
      </c>
      <c r="CC275" s="46">
        <v>46006</v>
      </c>
      <c r="CD275" s="42" t="s">
        <v>3181</v>
      </c>
    </row>
    <row r="276" spans="1:82" s="18" customFormat="1" ht="66.75" customHeight="1" x14ac:dyDescent="0.25">
      <c r="A276" s="87">
        <v>272</v>
      </c>
      <c r="B276" s="141" t="s">
        <v>3182</v>
      </c>
      <c r="C276" s="6" t="s">
        <v>3183</v>
      </c>
      <c r="D276" s="6" t="s">
        <v>3184</v>
      </c>
      <c r="E276" s="75" t="s">
        <v>174</v>
      </c>
      <c r="F276" s="4" t="s">
        <v>81</v>
      </c>
      <c r="G276" s="33">
        <v>111</v>
      </c>
      <c r="H276" s="49" t="s">
        <v>775</v>
      </c>
      <c r="I276" s="49" t="s">
        <v>2901</v>
      </c>
      <c r="J276" s="6"/>
      <c r="K276" s="49"/>
      <c r="L276" s="49"/>
      <c r="M276" s="49" t="s">
        <v>136</v>
      </c>
      <c r="N276" s="49" t="s">
        <v>89</v>
      </c>
      <c r="O276" s="49" t="s">
        <v>3121</v>
      </c>
      <c r="P276" s="6" t="s">
        <v>3122</v>
      </c>
      <c r="Q276" s="49"/>
      <c r="R276" s="75" t="s">
        <v>91</v>
      </c>
      <c r="S276" s="33" t="s">
        <v>92</v>
      </c>
      <c r="T276" s="33" t="s">
        <v>93</v>
      </c>
      <c r="U276" s="78">
        <v>100</v>
      </c>
      <c r="V276" s="33" t="s">
        <v>94</v>
      </c>
      <c r="W276" s="33" t="s">
        <v>95</v>
      </c>
      <c r="X276" s="33">
        <v>2023</v>
      </c>
      <c r="Y276" s="33" t="s">
        <v>117</v>
      </c>
      <c r="Z276" s="33" t="s">
        <v>95</v>
      </c>
      <c r="AA276" s="33" t="s">
        <v>973</v>
      </c>
      <c r="AB276" s="49" t="s">
        <v>99</v>
      </c>
      <c r="AC276" s="79" t="s">
        <v>3185</v>
      </c>
      <c r="AD276" s="79" t="s">
        <v>3186</v>
      </c>
      <c r="AE276" s="6" t="s">
        <v>3187</v>
      </c>
      <c r="AF276" s="47" t="s">
        <v>3188</v>
      </c>
      <c r="AG276" s="6" t="s">
        <v>3189</v>
      </c>
      <c r="AH276" s="6" t="s">
        <v>3127</v>
      </c>
      <c r="AI276" s="6" t="s">
        <v>3190</v>
      </c>
      <c r="AJ276" s="6" t="s">
        <v>3191</v>
      </c>
      <c r="AK276" s="33" t="s">
        <v>97</v>
      </c>
      <c r="AL276" s="33" t="s">
        <v>97</v>
      </c>
      <c r="AM276" s="5" t="s">
        <v>3192</v>
      </c>
      <c r="AN276" s="5"/>
      <c r="AO276" s="5" t="s">
        <v>3193</v>
      </c>
      <c r="AP276" s="5" t="s">
        <v>3194</v>
      </c>
      <c r="AQ276" s="49" t="s">
        <v>2901</v>
      </c>
      <c r="AR276" s="20" t="s">
        <v>97</v>
      </c>
      <c r="AS276" s="20" t="s">
        <v>107</v>
      </c>
      <c r="AT276" s="20"/>
      <c r="AU276" s="24">
        <v>0.7</v>
      </c>
      <c r="AV276" s="24">
        <f t="shared" si="55"/>
        <v>0.55999999999999994</v>
      </c>
      <c r="AW276" s="24">
        <f t="shared" si="56"/>
        <v>0.42</v>
      </c>
      <c r="AX276" s="25">
        <v>1E-4</v>
      </c>
      <c r="AY276" s="24">
        <v>0</v>
      </c>
      <c r="AZ276" s="24">
        <f t="shared" si="57"/>
        <v>0.63</v>
      </c>
      <c r="BA276" s="24">
        <f t="shared" si="58"/>
        <v>0.504</v>
      </c>
      <c r="BB276" s="24">
        <f t="shared" si="59"/>
        <v>0.378</v>
      </c>
      <c r="BC276" s="25">
        <v>1E-4</v>
      </c>
      <c r="BD276" s="24">
        <v>0</v>
      </c>
      <c r="BE276" s="34">
        <v>30</v>
      </c>
      <c r="BF276" s="34">
        <f t="shared" si="53"/>
        <v>24</v>
      </c>
      <c r="BG276" s="34">
        <f t="shared" si="54"/>
        <v>18</v>
      </c>
      <c r="BH276" s="26">
        <v>1</v>
      </c>
      <c r="BI276" s="26">
        <v>0</v>
      </c>
      <c r="BJ276" s="27">
        <v>0.39</v>
      </c>
      <c r="BK276" s="27">
        <v>0.31874999999999998</v>
      </c>
      <c r="BL276" s="27" t="s">
        <v>3195</v>
      </c>
      <c r="BM276" s="27" t="s">
        <v>3196</v>
      </c>
      <c r="BN276" s="26"/>
      <c r="BO276" s="34">
        <v>1</v>
      </c>
      <c r="BP276" s="34"/>
      <c r="BQ276" s="34"/>
      <c r="BR276" s="34"/>
      <c r="BS276" s="34"/>
      <c r="BT276" s="34"/>
      <c r="BU276" s="34"/>
      <c r="BV276" s="34"/>
      <c r="BW276" s="34"/>
      <c r="BX276" s="34"/>
      <c r="BY276" s="34"/>
      <c r="BZ276" s="34">
        <v>1</v>
      </c>
      <c r="CA276" s="20" t="s">
        <v>3036</v>
      </c>
      <c r="CB276" s="20" t="s">
        <v>3036</v>
      </c>
      <c r="CC276" s="46">
        <v>46006</v>
      </c>
      <c r="CD276" s="42" t="s">
        <v>3197</v>
      </c>
    </row>
    <row r="277" spans="1:82" s="18" customFormat="1" ht="66.75" customHeight="1" x14ac:dyDescent="0.25">
      <c r="A277" s="121">
        <v>273</v>
      </c>
      <c r="B277" s="145" t="s">
        <v>3198</v>
      </c>
      <c r="C277" s="6" t="s">
        <v>3199</v>
      </c>
      <c r="D277" s="6" t="s">
        <v>3200</v>
      </c>
      <c r="E277" s="75" t="s">
        <v>113</v>
      </c>
      <c r="F277" s="4" t="s">
        <v>81</v>
      </c>
      <c r="G277" s="33" t="s">
        <v>84</v>
      </c>
      <c r="H277" s="49" t="s">
        <v>775</v>
      </c>
      <c r="I277" s="49" t="s">
        <v>2901</v>
      </c>
      <c r="J277" s="6"/>
      <c r="K277" s="49"/>
      <c r="L277" s="49"/>
      <c r="M277" s="49" t="s">
        <v>136</v>
      </c>
      <c r="N277" s="49" t="s">
        <v>89</v>
      </c>
      <c r="O277" s="49" t="s">
        <v>3121</v>
      </c>
      <c r="P277" s="6" t="s">
        <v>3122</v>
      </c>
      <c r="Q277" s="49"/>
      <c r="R277" s="75" t="s">
        <v>91</v>
      </c>
      <c r="S277" s="33" t="s">
        <v>92</v>
      </c>
      <c r="T277" s="33" t="s">
        <v>93</v>
      </c>
      <c r="U277" s="78">
        <v>100</v>
      </c>
      <c r="V277" s="33" t="s">
        <v>94</v>
      </c>
      <c r="W277" s="33" t="s">
        <v>95</v>
      </c>
      <c r="X277" s="33">
        <v>2025</v>
      </c>
      <c r="Y277" s="33" t="s">
        <v>117</v>
      </c>
      <c r="Z277" s="33" t="s">
        <v>95</v>
      </c>
      <c r="AA277" s="33" t="s">
        <v>973</v>
      </c>
      <c r="AB277" s="49" t="s">
        <v>99</v>
      </c>
      <c r="AC277" s="48" t="s">
        <v>3201</v>
      </c>
      <c r="AD277" s="48" t="s">
        <v>3202</v>
      </c>
      <c r="AE277" s="49" t="s">
        <v>3203</v>
      </c>
      <c r="AF277" s="49" t="s">
        <v>3204</v>
      </c>
      <c r="AG277" s="49" t="s">
        <v>218</v>
      </c>
      <c r="AH277" s="49" t="s">
        <v>218</v>
      </c>
      <c r="AI277" s="6" t="s">
        <v>3205</v>
      </c>
      <c r="AJ277" s="6" t="s">
        <v>3206</v>
      </c>
      <c r="AK277" s="33" t="s">
        <v>97</v>
      </c>
      <c r="AL277" s="33" t="s">
        <v>97</v>
      </c>
      <c r="AM277" s="5"/>
      <c r="AN277" s="5"/>
      <c r="AO277" s="5" t="s">
        <v>3207</v>
      </c>
      <c r="AP277" s="5" t="s">
        <v>3208</v>
      </c>
      <c r="AQ277" s="75" t="s">
        <v>3209</v>
      </c>
      <c r="AR277" s="20" t="s">
        <v>97</v>
      </c>
      <c r="AS277" s="20" t="s">
        <v>107</v>
      </c>
      <c r="AT277" s="20"/>
      <c r="AU277" s="24">
        <v>0.7</v>
      </c>
      <c r="AV277" s="24">
        <f t="shared" si="55"/>
        <v>0.55999999999999994</v>
      </c>
      <c r="AW277" s="24">
        <f t="shared" si="56"/>
        <v>0.42</v>
      </c>
      <c r="AX277" s="25">
        <v>1E-4</v>
      </c>
      <c r="AY277" s="24">
        <v>0</v>
      </c>
      <c r="AZ277" s="24">
        <f t="shared" si="57"/>
        <v>0.63</v>
      </c>
      <c r="BA277" s="24">
        <f t="shared" si="58"/>
        <v>0.504</v>
      </c>
      <c r="BB277" s="24">
        <f t="shared" si="59"/>
        <v>0.378</v>
      </c>
      <c r="BC277" s="25">
        <v>1E-4</v>
      </c>
      <c r="BD277" s="24">
        <v>0</v>
      </c>
      <c r="BE277" s="26">
        <v>0</v>
      </c>
      <c r="BF277" s="34">
        <f t="shared" si="53"/>
        <v>0</v>
      </c>
      <c r="BG277" s="34">
        <f t="shared" si="54"/>
        <v>0</v>
      </c>
      <c r="BH277" s="26">
        <v>0</v>
      </c>
      <c r="BI277" s="26">
        <v>0</v>
      </c>
      <c r="BJ277" s="27"/>
      <c r="BK277" s="27"/>
      <c r="BL277" s="27"/>
      <c r="BM277" s="27" t="s">
        <v>2012</v>
      </c>
      <c r="BN277" s="26"/>
      <c r="BO277" s="34">
        <v>1</v>
      </c>
      <c r="BP277" s="34"/>
      <c r="BQ277" s="34"/>
      <c r="BR277" s="34"/>
      <c r="BS277" s="34"/>
      <c r="BT277" s="34"/>
      <c r="BU277" s="34"/>
      <c r="BV277" s="34"/>
      <c r="BW277" s="34"/>
      <c r="BX277" s="34"/>
      <c r="BY277" s="34"/>
      <c r="BZ277" s="34"/>
      <c r="CA277" s="20"/>
      <c r="CB277" s="20"/>
      <c r="CC277" s="46">
        <v>46006</v>
      </c>
      <c r="CD277" s="42" t="s">
        <v>7348</v>
      </c>
    </row>
    <row r="278" spans="1:82" s="18" customFormat="1" ht="103.5" customHeight="1" x14ac:dyDescent="0.25">
      <c r="A278" s="87">
        <v>274</v>
      </c>
      <c r="B278" s="33" t="s">
        <v>3210</v>
      </c>
      <c r="C278" s="6" t="s">
        <v>3211</v>
      </c>
      <c r="D278" s="6" t="s">
        <v>3212</v>
      </c>
      <c r="E278" s="75" t="s">
        <v>113</v>
      </c>
      <c r="F278" s="4" t="s">
        <v>81</v>
      </c>
      <c r="G278" s="33" t="s">
        <v>84</v>
      </c>
      <c r="H278" s="49" t="s">
        <v>775</v>
      </c>
      <c r="I278" s="49" t="s">
        <v>2901</v>
      </c>
      <c r="J278" s="6"/>
      <c r="K278" s="49"/>
      <c r="L278" s="49"/>
      <c r="M278" s="49" t="s">
        <v>136</v>
      </c>
      <c r="N278" s="49" t="s">
        <v>89</v>
      </c>
      <c r="O278" s="49" t="s">
        <v>3121</v>
      </c>
      <c r="P278" s="6" t="s">
        <v>3213</v>
      </c>
      <c r="Q278" s="49"/>
      <c r="R278" s="75" t="s">
        <v>246</v>
      </c>
      <c r="S278" s="33" t="s">
        <v>92</v>
      </c>
      <c r="T278" s="33" t="s">
        <v>3214</v>
      </c>
      <c r="U278" s="78" t="s">
        <v>84</v>
      </c>
      <c r="V278" s="33" t="s">
        <v>94</v>
      </c>
      <c r="W278" s="33" t="s">
        <v>95</v>
      </c>
      <c r="X278" s="33">
        <v>2025</v>
      </c>
      <c r="Y278" s="33" t="s">
        <v>117</v>
      </c>
      <c r="Z278" s="33" t="s">
        <v>95</v>
      </c>
      <c r="AA278" s="33" t="s">
        <v>973</v>
      </c>
      <c r="AB278" s="49" t="s">
        <v>99</v>
      </c>
      <c r="AC278" s="48" t="s">
        <v>3215</v>
      </c>
      <c r="AD278" s="48" t="s">
        <v>3216</v>
      </c>
      <c r="AE278" s="6" t="s">
        <v>3217</v>
      </c>
      <c r="AF278" s="6" t="s">
        <v>3218</v>
      </c>
      <c r="AG278" s="14" t="s">
        <v>7448</v>
      </c>
      <c r="AH278" s="6" t="s">
        <v>3219</v>
      </c>
      <c r="AI278" s="6"/>
      <c r="AJ278" s="6" t="s">
        <v>3220</v>
      </c>
      <c r="AK278" s="33" t="s">
        <v>97</v>
      </c>
      <c r="AL278" s="5" t="s">
        <v>3221</v>
      </c>
      <c r="AM278" s="5" t="s">
        <v>3222</v>
      </c>
      <c r="AN278" s="5"/>
      <c r="AO278" s="5" t="s">
        <v>3207</v>
      </c>
      <c r="AP278" s="5" t="s">
        <v>3223</v>
      </c>
      <c r="AQ278" s="75" t="s">
        <v>3224</v>
      </c>
      <c r="AR278" s="20" t="s">
        <v>97</v>
      </c>
      <c r="AS278" s="20" t="s">
        <v>107</v>
      </c>
      <c r="AT278" s="20"/>
      <c r="AU278" s="24" t="s">
        <v>3225</v>
      </c>
      <c r="AV278" s="50" t="s">
        <v>3226</v>
      </c>
      <c r="AW278" s="50" t="s">
        <v>3227</v>
      </c>
      <c r="AX278" s="25" t="s">
        <v>3228</v>
      </c>
      <c r="AY278" s="50">
        <v>0</v>
      </c>
      <c r="AZ278" s="50" t="s">
        <v>3229</v>
      </c>
      <c r="BA278" s="50" t="s">
        <v>3226</v>
      </c>
      <c r="BB278" s="50" t="s">
        <v>3227</v>
      </c>
      <c r="BC278" s="25" t="s">
        <v>3228</v>
      </c>
      <c r="BD278" s="50">
        <v>0</v>
      </c>
      <c r="BE278" s="26">
        <v>0</v>
      </c>
      <c r="BF278" s="34">
        <f t="shared" si="53"/>
        <v>0</v>
      </c>
      <c r="BG278" s="34">
        <f t="shared" si="54"/>
        <v>0</v>
      </c>
      <c r="BH278" s="26">
        <v>0</v>
      </c>
      <c r="BI278" s="26">
        <v>0</v>
      </c>
      <c r="BJ278" s="27"/>
      <c r="BK278" s="27"/>
      <c r="BL278" s="27"/>
      <c r="BM278" s="27" t="s">
        <v>3230</v>
      </c>
      <c r="BN278" s="26"/>
      <c r="BO278" s="34">
        <v>1</v>
      </c>
      <c r="BP278" s="34"/>
      <c r="BQ278" s="34"/>
      <c r="BR278" s="34"/>
      <c r="BS278" s="34"/>
      <c r="BT278" s="34"/>
      <c r="BU278" s="34"/>
      <c r="BV278" s="34"/>
      <c r="BW278" s="34"/>
      <c r="BX278" s="34"/>
      <c r="BY278" s="34"/>
      <c r="BZ278" s="34"/>
      <c r="CA278" s="20"/>
      <c r="CB278" s="20"/>
      <c r="CC278" s="46">
        <v>46003</v>
      </c>
      <c r="CD278" s="42" t="s">
        <v>3231</v>
      </c>
    </row>
    <row r="279" spans="1:82" s="18" customFormat="1" ht="168.75" customHeight="1" x14ac:dyDescent="0.25">
      <c r="A279" s="87">
        <v>275</v>
      </c>
      <c r="B279" s="141" t="s">
        <v>3232</v>
      </c>
      <c r="C279" s="6" t="s">
        <v>3233</v>
      </c>
      <c r="D279" s="6" t="s">
        <v>7491</v>
      </c>
      <c r="E279" s="75" t="s">
        <v>113</v>
      </c>
      <c r="F279" s="4" t="s">
        <v>81</v>
      </c>
      <c r="G279" s="33" t="s">
        <v>84</v>
      </c>
      <c r="H279" s="49" t="s">
        <v>775</v>
      </c>
      <c r="I279" s="49" t="s">
        <v>2901</v>
      </c>
      <c r="J279" s="6"/>
      <c r="K279" s="49"/>
      <c r="L279" s="49"/>
      <c r="M279" s="49" t="s">
        <v>88</v>
      </c>
      <c r="N279" s="49" t="s">
        <v>89</v>
      </c>
      <c r="O279" s="49" t="s">
        <v>2688</v>
      </c>
      <c r="P279" s="6" t="s">
        <v>3234</v>
      </c>
      <c r="Q279" s="49"/>
      <c r="R279" s="75" t="s">
        <v>91</v>
      </c>
      <c r="S279" s="33" t="s">
        <v>92</v>
      </c>
      <c r="T279" s="33" t="s">
        <v>93</v>
      </c>
      <c r="U279" s="78">
        <v>100</v>
      </c>
      <c r="V279" s="33" t="s">
        <v>94</v>
      </c>
      <c r="W279" s="33" t="s">
        <v>95</v>
      </c>
      <c r="X279" s="33">
        <v>2023</v>
      </c>
      <c r="Y279" s="33" t="s">
        <v>117</v>
      </c>
      <c r="Z279" s="33" t="s">
        <v>95</v>
      </c>
      <c r="AA279" s="33" t="s">
        <v>973</v>
      </c>
      <c r="AB279" s="49" t="s">
        <v>99</v>
      </c>
      <c r="AC279" s="48" t="s">
        <v>7484</v>
      </c>
      <c r="AD279" s="117" t="s">
        <v>7498</v>
      </c>
      <c r="AE279" s="14" t="s">
        <v>7493</v>
      </c>
      <c r="AF279" s="14" t="s">
        <v>7537</v>
      </c>
      <c r="AG279" s="6" t="s">
        <v>7538</v>
      </c>
      <c r="AH279" s="14" t="s">
        <v>1042</v>
      </c>
      <c r="AI279" s="14" t="s">
        <v>7519</v>
      </c>
      <c r="AJ279" s="6" t="s">
        <v>7487</v>
      </c>
      <c r="AK279" s="98" t="s">
        <v>7528</v>
      </c>
      <c r="AL279" s="39" t="s">
        <v>97</v>
      </c>
      <c r="AM279" s="5" t="s">
        <v>3236</v>
      </c>
      <c r="AN279" s="5"/>
      <c r="AO279" s="5" t="s">
        <v>3237</v>
      </c>
      <c r="AP279" s="5" t="s">
        <v>3238</v>
      </c>
      <c r="AQ279" s="75" t="s">
        <v>3239</v>
      </c>
      <c r="AR279" s="20" t="s">
        <v>97</v>
      </c>
      <c r="AS279" s="20" t="s">
        <v>107</v>
      </c>
      <c r="AT279" s="20"/>
      <c r="AU279" s="24">
        <v>0.6</v>
      </c>
      <c r="AV279" s="24">
        <f>+AU279*80%</f>
        <v>0.48</v>
      </c>
      <c r="AW279" s="24">
        <f>+AU279*60%</f>
        <v>0.36</v>
      </c>
      <c r="AX279" s="25">
        <v>1E-4</v>
      </c>
      <c r="AY279" s="24">
        <v>0</v>
      </c>
      <c r="AZ279" s="24">
        <f>+AU279*90%</f>
        <v>0.54</v>
      </c>
      <c r="BA279" s="24">
        <f>AZ279*80%</f>
        <v>0.43200000000000005</v>
      </c>
      <c r="BB279" s="24">
        <f>AZ279*60%</f>
        <v>0.32400000000000001</v>
      </c>
      <c r="BC279" s="25">
        <v>1E-4</v>
      </c>
      <c r="BD279" s="24">
        <v>0</v>
      </c>
      <c r="BE279" s="26">
        <v>0</v>
      </c>
      <c r="BF279" s="34">
        <f t="shared" si="53"/>
        <v>0</v>
      </c>
      <c r="BG279" s="34">
        <f t="shared" si="54"/>
        <v>0</v>
      </c>
      <c r="BH279" s="26">
        <v>0</v>
      </c>
      <c r="BI279" s="26">
        <v>0</v>
      </c>
      <c r="BJ279" s="20" t="s">
        <v>496</v>
      </c>
      <c r="BK279" s="27" t="s">
        <v>84</v>
      </c>
      <c r="BL279" s="27" t="s">
        <v>1176</v>
      </c>
      <c r="BM279" s="27" t="s">
        <v>3240</v>
      </c>
      <c r="BN279" s="26"/>
      <c r="BO279" s="34"/>
      <c r="BP279" s="34"/>
      <c r="BQ279" s="34"/>
      <c r="BR279" s="34"/>
      <c r="BS279" s="34"/>
      <c r="BT279" s="34"/>
      <c r="BU279" s="34"/>
      <c r="BV279" s="34"/>
      <c r="BW279" s="34"/>
      <c r="BX279" s="34"/>
      <c r="BY279" s="34"/>
      <c r="BZ279" s="34"/>
      <c r="CA279" s="20"/>
      <c r="CB279" s="20"/>
      <c r="CC279" s="109">
        <v>46090</v>
      </c>
      <c r="CD279" s="42" t="s">
        <v>7534</v>
      </c>
    </row>
    <row r="280" spans="1:82" s="18" customFormat="1" ht="66.75" customHeight="1" x14ac:dyDescent="0.25">
      <c r="A280" s="121">
        <v>276</v>
      </c>
      <c r="B280" s="141" t="s">
        <v>3241</v>
      </c>
      <c r="C280" s="6" t="s">
        <v>3242</v>
      </c>
      <c r="D280" s="6" t="s">
        <v>3243</v>
      </c>
      <c r="E280" s="75" t="s">
        <v>113</v>
      </c>
      <c r="F280" s="4" t="s">
        <v>81</v>
      </c>
      <c r="G280" s="33" t="s">
        <v>84</v>
      </c>
      <c r="H280" s="49" t="s">
        <v>775</v>
      </c>
      <c r="I280" s="49" t="s">
        <v>2901</v>
      </c>
      <c r="J280" s="6"/>
      <c r="K280" s="49"/>
      <c r="L280" s="49"/>
      <c r="M280" s="49" t="s">
        <v>136</v>
      </c>
      <c r="N280" s="49" t="s">
        <v>245</v>
      </c>
      <c r="O280" s="49" t="s">
        <v>3121</v>
      </c>
      <c r="P280" s="6" t="s">
        <v>3244</v>
      </c>
      <c r="Q280" s="49"/>
      <c r="R280" s="75" t="s">
        <v>175</v>
      </c>
      <c r="S280" s="33" t="s">
        <v>92</v>
      </c>
      <c r="T280" s="33" t="s">
        <v>93</v>
      </c>
      <c r="U280" s="78">
        <v>100</v>
      </c>
      <c r="V280" s="33" t="s">
        <v>94</v>
      </c>
      <c r="W280" s="33" t="s">
        <v>95</v>
      </c>
      <c r="X280" s="33">
        <v>2023</v>
      </c>
      <c r="Y280" s="33" t="s">
        <v>117</v>
      </c>
      <c r="Z280" s="33" t="s">
        <v>95</v>
      </c>
      <c r="AA280" s="33" t="s">
        <v>973</v>
      </c>
      <c r="AB280" s="49" t="s">
        <v>99</v>
      </c>
      <c r="AC280" s="48" t="s">
        <v>3245</v>
      </c>
      <c r="AD280" s="48" t="s">
        <v>3246</v>
      </c>
      <c r="AE280" s="6" t="s">
        <v>3247</v>
      </c>
      <c r="AF280" s="6" t="s">
        <v>3247</v>
      </c>
      <c r="AG280" s="6" t="s">
        <v>178</v>
      </c>
      <c r="AH280" s="49" t="s">
        <v>178</v>
      </c>
      <c r="AI280" s="49" t="s">
        <v>3248</v>
      </c>
      <c r="AJ280" s="49" t="s">
        <v>3249</v>
      </c>
      <c r="AK280" s="33" t="s">
        <v>3235</v>
      </c>
      <c r="AL280" s="33" t="s">
        <v>3235</v>
      </c>
      <c r="AM280" s="6" t="s">
        <v>3250</v>
      </c>
      <c r="AN280" s="5"/>
      <c r="AO280" s="5" t="s">
        <v>3251</v>
      </c>
      <c r="AP280" s="5" t="s">
        <v>3252</v>
      </c>
      <c r="AQ280" s="75" t="s">
        <v>3239</v>
      </c>
      <c r="AR280" s="20" t="s">
        <v>97</v>
      </c>
      <c r="AS280" s="20" t="s">
        <v>107</v>
      </c>
      <c r="AT280" s="20"/>
      <c r="AU280" s="24">
        <v>0.8</v>
      </c>
      <c r="AV280" s="24">
        <f>+AU280*80%</f>
        <v>0.64000000000000012</v>
      </c>
      <c r="AW280" s="24">
        <f>+AU280*60%</f>
        <v>0.48</v>
      </c>
      <c r="AX280" s="25">
        <v>1E-4</v>
      </c>
      <c r="AY280" s="24">
        <v>0</v>
      </c>
      <c r="AZ280" s="24">
        <f>+AU280*90%</f>
        <v>0.72000000000000008</v>
      </c>
      <c r="BA280" s="24">
        <f>AZ280*80%</f>
        <v>0.57600000000000007</v>
      </c>
      <c r="BB280" s="24">
        <f>AZ280*60%</f>
        <v>0.43200000000000005</v>
      </c>
      <c r="BC280" s="25">
        <v>1E-4</v>
      </c>
      <c r="BD280" s="24">
        <v>0</v>
      </c>
      <c r="BE280" s="26">
        <v>0</v>
      </c>
      <c r="BF280" s="34">
        <f t="shared" si="53"/>
        <v>0</v>
      </c>
      <c r="BG280" s="34">
        <f t="shared" si="54"/>
        <v>0</v>
      </c>
      <c r="BH280" s="26">
        <v>0</v>
      </c>
      <c r="BI280" s="26">
        <v>0</v>
      </c>
      <c r="BJ280" s="27">
        <v>0.38461538461538464</v>
      </c>
      <c r="BK280" s="27" t="s">
        <v>84</v>
      </c>
      <c r="BL280" s="27" t="s">
        <v>1176</v>
      </c>
      <c r="BM280" s="27" t="s">
        <v>3253</v>
      </c>
      <c r="BN280" s="26"/>
      <c r="BO280" s="34">
        <v>1</v>
      </c>
      <c r="BP280" s="34"/>
      <c r="BQ280" s="34"/>
      <c r="BR280" s="34"/>
      <c r="BS280" s="34"/>
      <c r="BT280" s="34"/>
      <c r="BU280" s="34"/>
      <c r="BV280" s="34"/>
      <c r="BW280" s="34"/>
      <c r="BX280" s="34"/>
      <c r="BY280" s="34"/>
      <c r="BZ280" s="34"/>
      <c r="CA280" s="20"/>
      <c r="CB280" s="20"/>
      <c r="CC280" s="46">
        <v>46006</v>
      </c>
      <c r="CD280" s="42" t="s">
        <v>7349</v>
      </c>
    </row>
    <row r="281" spans="1:82" s="18" customFormat="1" ht="66.75" customHeight="1" x14ac:dyDescent="0.25">
      <c r="A281" s="87">
        <v>277</v>
      </c>
      <c r="B281" s="141" t="s">
        <v>3254</v>
      </c>
      <c r="C281" s="6" t="s">
        <v>3255</v>
      </c>
      <c r="D281" s="6" t="s">
        <v>3256</v>
      </c>
      <c r="E281" s="75" t="s">
        <v>174</v>
      </c>
      <c r="F281" s="4" t="s">
        <v>81</v>
      </c>
      <c r="G281" s="33" t="s">
        <v>84</v>
      </c>
      <c r="H281" s="49" t="s">
        <v>775</v>
      </c>
      <c r="I281" s="49" t="s">
        <v>3257</v>
      </c>
      <c r="J281" s="6"/>
      <c r="K281" s="49"/>
      <c r="L281" s="49"/>
      <c r="M281" s="49" t="s">
        <v>88</v>
      </c>
      <c r="N281" s="49" t="s">
        <v>89</v>
      </c>
      <c r="O281" s="49" t="s">
        <v>3121</v>
      </c>
      <c r="P281" s="6" t="s">
        <v>3122</v>
      </c>
      <c r="Q281" s="49"/>
      <c r="R281" s="75" t="s">
        <v>175</v>
      </c>
      <c r="S281" s="33" t="s">
        <v>92</v>
      </c>
      <c r="T281" s="33" t="s">
        <v>93</v>
      </c>
      <c r="U281" s="78">
        <v>100</v>
      </c>
      <c r="V281" s="33" t="s">
        <v>94</v>
      </c>
      <c r="W281" s="33" t="s">
        <v>95</v>
      </c>
      <c r="X281" s="33">
        <v>2021</v>
      </c>
      <c r="Y281" s="33" t="s">
        <v>117</v>
      </c>
      <c r="Z281" s="33" t="s">
        <v>95</v>
      </c>
      <c r="AA281" s="33" t="s">
        <v>973</v>
      </c>
      <c r="AB281" s="49" t="s">
        <v>99</v>
      </c>
      <c r="AC281" s="79" t="s">
        <v>3258</v>
      </c>
      <c r="AD281" s="79" t="s">
        <v>3259</v>
      </c>
      <c r="AE281" s="6" t="s">
        <v>3260</v>
      </c>
      <c r="AF281" s="6" t="s">
        <v>3261</v>
      </c>
      <c r="AG281" s="6" t="s">
        <v>3112</v>
      </c>
      <c r="AH281" s="6" t="s">
        <v>3113</v>
      </c>
      <c r="AI281" s="6" t="s">
        <v>3262</v>
      </c>
      <c r="AJ281" s="6" t="s">
        <v>3263</v>
      </c>
      <c r="AK281" s="33" t="s">
        <v>97</v>
      </c>
      <c r="AL281" s="6" t="s">
        <v>3264</v>
      </c>
      <c r="AM281" s="96" t="s">
        <v>3083</v>
      </c>
      <c r="AN281" s="5"/>
      <c r="AO281" s="96" t="s">
        <v>3265</v>
      </c>
      <c r="AP281" s="96" t="s">
        <v>3266</v>
      </c>
      <c r="AQ281" s="75" t="s">
        <v>3257</v>
      </c>
      <c r="AR281" s="20" t="s">
        <v>97</v>
      </c>
      <c r="AS281" s="20" t="s">
        <v>107</v>
      </c>
      <c r="AT281" s="20"/>
      <c r="AU281" s="24">
        <v>0.9</v>
      </c>
      <c r="AV281" s="24">
        <f>+AU281*80%</f>
        <v>0.72000000000000008</v>
      </c>
      <c r="AW281" s="24">
        <f>+AU281*60%</f>
        <v>0.54</v>
      </c>
      <c r="AX281" s="25">
        <v>1E-4</v>
      </c>
      <c r="AY281" s="24">
        <v>0</v>
      </c>
      <c r="AZ281" s="24">
        <f>+AU281*90%</f>
        <v>0.81</v>
      </c>
      <c r="BA281" s="24">
        <f>AZ281*80%</f>
        <v>0.64800000000000013</v>
      </c>
      <c r="BB281" s="24">
        <f>AZ281*60%</f>
        <v>0.48599999999999999</v>
      </c>
      <c r="BC281" s="25">
        <v>1E-4</v>
      </c>
      <c r="BD281" s="24">
        <v>0</v>
      </c>
      <c r="BE281" s="34">
        <v>20</v>
      </c>
      <c r="BF281" s="34">
        <f t="shared" si="53"/>
        <v>16</v>
      </c>
      <c r="BG281" s="34">
        <f t="shared" si="54"/>
        <v>12</v>
      </c>
      <c r="BH281" s="26">
        <v>1</v>
      </c>
      <c r="BI281" s="26">
        <v>0</v>
      </c>
      <c r="BJ281" s="27">
        <v>0.77200000000000002</v>
      </c>
      <c r="BK281" s="27">
        <v>0.79970866715222144</v>
      </c>
      <c r="BL281" s="27" t="s">
        <v>3267</v>
      </c>
      <c r="BM281" s="27" t="s">
        <v>3268</v>
      </c>
      <c r="BN281" s="26"/>
      <c r="BO281" s="34"/>
      <c r="BP281" s="34"/>
      <c r="BQ281" s="34"/>
      <c r="BR281" s="34"/>
      <c r="BS281" s="34"/>
      <c r="BT281" s="34"/>
      <c r="BU281" s="34"/>
      <c r="BV281" s="34"/>
      <c r="BW281" s="34"/>
      <c r="BX281" s="34"/>
      <c r="BY281" s="34"/>
      <c r="BZ281" s="34">
        <v>1</v>
      </c>
      <c r="CA281" s="20" t="s">
        <v>3036</v>
      </c>
      <c r="CB281" s="20" t="s">
        <v>3036</v>
      </c>
      <c r="CC281" s="29">
        <v>46003</v>
      </c>
      <c r="CD281" s="2" t="s">
        <v>3269</v>
      </c>
    </row>
    <row r="282" spans="1:82" s="18" customFormat="1" ht="66.75" customHeight="1" x14ac:dyDescent="0.25">
      <c r="A282" s="87">
        <v>278</v>
      </c>
      <c r="B282" s="141" t="s">
        <v>3270</v>
      </c>
      <c r="C282" s="6" t="s">
        <v>3271</v>
      </c>
      <c r="D282" s="6" t="s">
        <v>3272</v>
      </c>
      <c r="E282" s="75" t="s">
        <v>174</v>
      </c>
      <c r="F282" s="4" t="s">
        <v>81</v>
      </c>
      <c r="G282" s="33" t="s">
        <v>84</v>
      </c>
      <c r="H282" s="49" t="s">
        <v>775</v>
      </c>
      <c r="I282" s="49" t="s">
        <v>3257</v>
      </c>
      <c r="J282" s="6"/>
      <c r="K282" s="49"/>
      <c r="L282" s="49"/>
      <c r="M282" s="49" t="s">
        <v>136</v>
      </c>
      <c r="N282" s="49" t="s">
        <v>89</v>
      </c>
      <c r="O282" s="49" t="s">
        <v>3121</v>
      </c>
      <c r="P282" s="6" t="s">
        <v>3122</v>
      </c>
      <c r="Q282" s="49"/>
      <c r="R282" s="75" t="s">
        <v>175</v>
      </c>
      <c r="S282" s="33" t="s">
        <v>92</v>
      </c>
      <c r="T282" s="33" t="s">
        <v>93</v>
      </c>
      <c r="U282" s="78">
        <v>100</v>
      </c>
      <c r="V282" s="33" t="s">
        <v>94</v>
      </c>
      <c r="W282" s="33" t="s">
        <v>95</v>
      </c>
      <c r="X282" s="33">
        <v>2021</v>
      </c>
      <c r="Y282" s="33" t="s">
        <v>117</v>
      </c>
      <c r="Z282" s="33" t="s">
        <v>95</v>
      </c>
      <c r="AA282" s="33" t="s">
        <v>973</v>
      </c>
      <c r="AB282" s="49" t="s">
        <v>99</v>
      </c>
      <c r="AC282" s="79" t="s">
        <v>3273</v>
      </c>
      <c r="AD282" s="79" t="s">
        <v>3274</v>
      </c>
      <c r="AE282" s="6" t="s">
        <v>3275</v>
      </c>
      <c r="AF282" s="6" t="s">
        <v>3276</v>
      </c>
      <c r="AG282" s="6" t="s">
        <v>3112</v>
      </c>
      <c r="AH282" s="6" t="s">
        <v>3113</v>
      </c>
      <c r="AI282" s="6" t="s">
        <v>3277</v>
      </c>
      <c r="AJ282" s="6" t="s">
        <v>3278</v>
      </c>
      <c r="AK282" s="33" t="s">
        <v>97</v>
      </c>
      <c r="AL282" s="33" t="s">
        <v>97</v>
      </c>
      <c r="AM282" s="96" t="s">
        <v>3279</v>
      </c>
      <c r="AN282" s="5"/>
      <c r="AO282" s="96" t="s">
        <v>3280</v>
      </c>
      <c r="AP282" s="96" t="s">
        <v>3266</v>
      </c>
      <c r="AQ282" s="75" t="s">
        <v>3257</v>
      </c>
      <c r="AR282" s="20" t="s">
        <v>97</v>
      </c>
      <c r="AS282" s="20" t="s">
        <v>107</v>
      </c>
      <c r="AT282" s="20"/>
      <c r="AU282" s="24">
        <v>0.8</v>
      </c>
      <c r="AV282" s="24">
        <f>+AU282*80%</f>
        <v>0.64000000000000012</v>
      </c>
      <c r="AW282" s="24">
        <f>+AU282*60%</f>
        <v>0.48</v>
      </c>
      <c r="AX282" s="25">
        <v>1E-4</v>
      </c>
      <c r="AY282" s="24">
        <v>0</v>
      </c>
      <c r="AZ282" s="24">
        <f>+AU282*90%</f>
        <v>0.72000000000000008</v>
      </c>
      <c r="BA282" s="24">
        <f>AZ282*80%</f>
        <v>0.57600000000000007</v>
      </c>
      <c r="BB282" s="24">
        <f>AZ282*60%</f>
        <v>0.43200000000000005</v>
      </c>
      <c r="BC282" s="25">
        <v>1E-4</v>
      </c>
      <c r="BD282" s="24">
        <v>0</v>
      </c>
      <c r="BE282" s="34">
        <v>40</v>
      </c>
      <c r="BF282" s="34">
        <f t="shared" si="53"/>
        <v>32</v>
      </c>
      <c r="BG282" s="34">
        <f t="shared" si="54"/>
        <v>24</v>
      </c>
      <c r="BH282" s="26">
        <v>1</v>
      </c>
      <c r="BI282" s="26">
        <v>0</v>
      </c>
      <c r="BJ282" s="27">
        <v>0.41399999999999998</v>
      </c>
      <c r="BK282" s="27">
        <v>0.38747268754552078</v>
      </c>
      <c r="BL282" s="27" t="s">
        <v>3281</v>
      </c>
      <c r="BM282" s="27" t="s">
        <v>3282</v>
      </c>
      <c r="BN282" s="26"/>
      <c r="BO282" s="34">
        <v>1</v>
      </c>
      <c r="BP282" s="34"/>
      <c r="BQ282" s="34"/>
      <c r="BR282" s="34"/>
      <c r="BS282" s="34"/>
      <c r="BT282" s="34"/>
      <c r="BU282" s="34"/>
      <c r="BV282" s="34"/>
      <c r="BW282" s="34"/>
      <c r="BX282" s="34"/>
      <c r="BY282" s="34"/>
      <c r="BZ282" s="34">
        <v>1</v>
      </c>
      <c r="CA282" s="20" t="s">
        <v>3036</v>
      </c>
      <c r="CB282" s="20" t="s">
        <v>3036</v>
      </c>
      <c r="CC282" s="46">
        <v>46006</v>
      </c>
      <c r="CD282" s="42" t="s">
        <v>3283</v>
      </c>
    </row>
    <row r="283" spans="1:82" s="18" customFormat="1" ht="66.75" customHeight="1" x14ac:dyDescent="0.25">
      <c r="A283" s="121">
        <v>279</v>
      </c>
      <c r="B283" s="141" t="s">
        <v>3284</v>
      </c>
      <c r="C283" s="6" t="s">
        <v>3285</v>
      </c>
      <c r="D283" s="6" t="s">
        <v>3286</v>
      </c>
      <c r="E283" s="75" t="s">
        <v>84</v>
      </c>
      <c r="F283" s="4" t="s">
        <v>81</v>
      </c>
      <c r="G283" s="33" t="s">
        <v>84</v>
      </c>
      <c r="H283" s="49" t="s">
        <v>775</v>
      </c>
      <c r="I283" s="49" t="s">
        <v>3257</v>
      </c>
      <c r="J283" s="6"/>
      <c r="K283" s="49"/>
      <c r="L283" s="49"/>
      <c r="M283" s="49" t="s">
        <v>88</v>
      </c>
      <c r="N283" s="49" t="s">
        <v>89</v>
      </c>
      <c r="O283" s="49" t="s">
        <v>3121</v>
      </c>
      <c r="P283" s="6" t="s">
        <v>3122</v>
      </c>
      <c r="Q283" s="49"/>
      <c r="R283" s="75" t="s">
        <v>91</v>
      </c>
      <c r="S283" s="33" t="s">
        <v>92</v>
      </c>
      <c r="T283" s="33" t="s">
        <v>93</v>
      </c>
      <c r="U283" s="78">
        <v>100</v>
      </c>
      <c r="V283" s="33" t="s">
        <v>94</v>
      </c>
      <c r="W283" s="33" t="s">
        <v>95</v>
      </c>
      <c r="X283" s="33">
        <v>2023</v>
      </c>
      <c r="Y283" s="100" t="s">
        <v>3287</v>
      </c>
      <c r="Z283" s="33" t="s">
        <v>97</v>
      </c>
      <c r="AA283" s="33" t="s">
        <v>973</v>
      </c>
      <c r="AB283" s="49" t="s">
        <v>99</v>
      </c>
      <c r="AC283" s="48" t="s">
        <v>3288</v>
      </c>
      <c r="AD283" s="48" t="s">
        <v>3289</v>
      </c>
      <c r="AE283" s="6" t="s">
        <v>3290</v>
      </c>
      <c r="AF283" s="6" t="s">
        <v>3276</v>
      </c>
      <c r="AG283" s="6" t="s">
        <v>3291</v>
      </c>
      <c r="AH283" s="6" t="s">
        <v>3292</v>
      </c>
      <c r="AI283" s="6" t="s">
        <v>3293</v>
      </c>
      <c r="AJ283" s="6" t="s">
        <v>3294</v>
      </c>
      <c r="AK283" s="33" t="s">
        <v>97</v>
      </c>
      <c r="AL283" s="6" t="s">
        <v>3264</v>
      </c>
      <c r="AM283" s="5" t="s">
        <v>3295</v>
      </c>
      <c r="AN283" s="5"/>
      <c r="AO283" s="5" t="s">
        <v>84</v>
      </c>
      <c r="AP283" s="5" t="s">
        <v>84</v>
      </c>
      <c r="AQ283" s="75" t="s">
        <v>3257</v>
      </c>
      <c r="AR283" s="20" t="s">
        <v>97</v>
      </c>
      <c r="AS283" s="20" t="s">
        <v>107</v>
      </c>
      <c r="AT283" s="20"/>
      <c r="AU283" s="24">
        <v>0.5</v>
      </c>
      <c r="AV283" s="24">
        <f>+AU283*80%</f>
        <v>0.4</v>
      </c>
      <c r="AW283" s="24">
        <f>+AU283*60%</f>
        <v>0.3</v>
      </c>
      <c r="AX283" s="25">
        <v>1E-4</v>
      </c>
      <c r="AY283" s="24">
        <v>0</v>
      </c>
      <c r="AZ283" s="24">
        <f>+AU283*90%</f>
        <v>0.45</v>
      </c>
      <c r="BA283" s="24">
        <f>AZ283*80%</f>
        <v>0.36000000000000004</v>
      </c>
      <c r="BB283" s="24">
        <f>AZ283*60%</f>
        <v>0.27</v>
      </c>
      <c r="BC283" s="25">
        <v>1E-4</v>
      </c>
      <c r="BD283" s="24">
        <v>0</v>
      </c>
      <c r="BE283" s="26">
        <v>0</v>
      </c>
      <c r="BF283" s="34">
        <f t="shared" si="53"/>
        <v>0</v>
      </c>
      <c r="BG283" s="34">
        <f t="shared" si="54"/>
        <v>0</v>
      </c>
      <c r="BH283" s="26">
        <v>0</v>
      </c>
      <c r="BI283" s="26">
        <v>0</v>
      </c>
      <c r="BJ283" s="20" t="s">
        <v>496</v>
      </c>
      <c r="BK283" s="27">
        <v>0.39453125</v>
      </c>
      <c r="BL283" s="27" t="s">
        <v>3296</v>
      </c>
      <c r="BM283" s="27" t="e">
        <v>#N/A</v>
      </c>
      <c r="BN283" s="26"/>
      <c r="BO283" s="34"/>
      <c r="BP283" s="34"/>
      <c r="BQ283" s="34"/>
      <c r="BR283" s="34"/>
      <c r="BS283" s="34"/>
      <c r="BT283" s="34"/>
      <c r="BU283" s="34">
        <v>1</v>
      </c>
      <c r="BV283" s="34"/>
      <c r="BW283" s="34"/>
      <c r="BX283" s="34"/>
      <c r="BY283" s="34"/>
      <c r="BZ283" s="34"/>
      <c r="CA283" s="20"/>
      <c r="CB283" s="20"/>
      <c r="CC283" s="46">
        <v>46006</v>
      </c>
      <c r="CD283" s="42" t="s">
        <v>7350</v>
      </c>
    </row>
    <row r="284" spans="1:82" s="18" customFormat="1" ht="66.75" customHeight="1" x14ac:dyDescent="0.25">
      <c r="A284" s="87">
        <v>280</v>
      </c>
      <c r="B284" s="141" t="s">
        <v>3297</v>
      </c>
      <c r="C284" s="6" t="s">
        <v>3298</v>
      </c>
      <c r="D284" s="6" t="s">
        <v>3212</v>
      </c>
      <c r="E284" s="75" t="s">
        <v>113</v>
      </c>
      <c r="F284" s="4" t="s">
        <v>81</v>
      </c>
      <c r="G284" s="33" t="s">
        <v>84</v>
      </c>
      <c r="H284" s="49" t="s">
        <v>775</v>
      </c>
      <c r="I284" s="49" t="s">
        <v>3257</v>
      </c>
      <c r="J284" s="6"/>
      <c r="K284" s="49"/>
      <c r="L284" s="49"/>
      <c r="M284" s="49" t="s">
        <v>136</v>
      </c>
      <c r="N284" s="49" t="s">
        <v>89</v>
      </c>
      <c r="O284" s="49" t="s">
        <v>3121</v>
      </c>
      <c r="P284" s="6" t="s">
        <v>3213</v>
      </c>
      <c r="Q284" s="49"/>
      <c r="R284" s="75" t="s">
        <v>246</v>
      </c>
      <c r="S284" s="33" t="s">
        <v>92</v>
      </c>
      <c r="T284" s="33" t="s">
        <v>3214</v>
      </c>
      <c r="U284" s="78" t="s">
        <v>84</v>
      </c>
      <c r="V284" s="33" t="s">
        <v>94</v>
      </c>
      <c r="W284" s="33" t="s">
        <v>95</v>
      </c>
      <c r="X284" s="33">
        <v>2023</v>
      </c>
      <c r="Y284" s="33" t="s">
        <v>117</v>
      </c>
      <c r="Z284" s="33" t="s">
        <v>97</v>
      </c>
      <c r="AA284" s="33" t="s">
        <v>973</v>
      </c>
      <c r="AB284" s="49" t="s">
        <v>99</v>
      </c>
      <c r="AC284" s="48" t="s">
        <v>3299</v>
      </c>
      <c r="AD284" s="48" t="s">
        <v>3300</v>
      </c>
      <c r="AE284" s="6" t="s">
        <v>3301</v>
      </c>
      <c r="AF284" s="6" t="s">
        <v>3302</v>
      </c>
      <c r="AG284" s="49" t="s">
        <v>3303</v>
      </c>
      <c r="AH284" s="49" t="s">
        <v>3304</v>
      </c>
      <c r="AI284" s="49" t="s">
        <v>84</v>
      </c>
      <c r="AJ284" s="49" t="s">
        <v>3220</v>
      </c>
      <c r="AK284" s="33" t="s">
        <v>97</v>
      </c>
      <c r="AL284" s="33" t="s">
        <v>3305</v>
      </c>
      <c r="AM284" s="5" t="s">
        <v>3222</v>
      </c>
      <c r="AN284" s="5"/>
      <c r="AO284" s="5" t="s">
        <v>3306</v>
      </c>
      <c r="AP284" s="5" t="s">
        <v>3307</v>
      </c>
      <c r="AQ284" s="75" t="s">
        <v>3308</v>
      </c>
      <c r="AR284" s="20" t="s">
        <v>97</v>
      </c>
      <c r="AS284" s="20" t="s">
        <v>107</v>
      </c>
      <c r="AT284" s="20"/>
      <c r="AU284" s="24" t="s">
        <v>3225</v>
      </c>
      <c r="AV284" s="50" t="s">
        <v>3226</v>
      </c>
      <c r="AW284" s="50" t="s">
        <v>3227</v>
      </c>
      <c r="AX284" s="25" t="s">
        <v>3228</v>
      </c>
      <c r="AY284" s="50">
        <v>0</v>
      </c>
      <c r="AZ284" s="50" t="s">
        <v>3229</v>
      </c>
      <c r="BA284" s="50" t="s">
        <v>3226</v>
      </c>
      <c r="BB284" s="50" t="s">
        <v>3227</v>
      </c>
      <c r="BC284" s="25" t="s">
        <v>3228</v>
      </c>
      <c r="BD284" s="50">
        <v>0</v>
      </c>
      <c r="BE284" s="26">
        <v>0</v>
      </c>
      <c r="BF284" s="34">
        <f t="shared" si="53"/>
        <v>0</v>
      </c>
      <c r="BG284" s="34">
        <f t="shared" si="54"/>
        <v>0</v>
      </c>
      <c r="BH284" s="26">
        <v>0</v>
      </c>
      <c r="BI284" s="26">
        <v>0</v>
      </c>
      <c r="BJ284" s="20" t="s">
        <v>496</v>
      </c>
      <c r="BK284" s="27" t="s">
        <v>84</v>
      </c>
      <c r="BL284" s="27" t="s">
        <v>1176</v>
      </c>
      <c r="BM284" s="27" t="s">
        <v>3309</v>
      </c>
      <c r="BN284" s="26"/>
      <c r="BO284" s="34">
        <v>1</v>
      </c>
      <c r="BP284" s="34"/>
      <c r="BQ284" s="34"/>
      <c r="BR284" s="34"/>
      <c r="BS284" s="34"/>
      <c r="BT284" s="34"/>
      <c r="BU284" s="34"/>
      <c r="BV284" s="34"/>
      <c r="BW284" s="34"/>
      <c r="BX284" s="34"/>
      <c r="BY284" s="34"/>
      <c r="BZ284" s="34"/>
      <c r="CA284" s="20"/>
      <c r="CB284" s="20"/>
      <c r="CC284" s="46">
        <v>46003</v>
      </c>
      <c r="CD284" s="51" t="s">
        <v>3310</v>
      </c>
    </row>
    <row r="285" spans="1:82" s="18" customFormat="1" ht="66.75" customHeight="1" x14ac:dyDescent="0.25">
      <c r="A285" s="87">
        <v>281</v>
      </c>
      <c r="B285" s="145" t="s">
        <v>3311</v>
      </c>
      <c r="C285" s="6" t="s">
        <v>3312</v>
      </c>
      <c r="D285" s="6" t="s">
        <v>3212</v>
      </c>
      <c r="E285" s="75" t="s">
        <v>113</v>
      </c>
      <c r="F285" s="4" t="s">
        <v>81</v>
      </c>
      <c r="G285" s="33" t="s">
        <v>84</v>
      </c>
      <c r="H285" s="49" t="s">
        <v>775</v>
      </c>
      <c r="I285" s="49" t="s">
        <v>3313</v>
      </c>
      <c r="J285" s="6"/>
      <c r="K285" s="49"/>
      <c r="L285" s="49"/>
      <c r="M285" s="49" t="s">
        <v>88</v>
      </c>
      <c r="N285" s="49" t="s">
        <v>89</v>
      </c>
      <c r="O285" s="49" t="s">
        <v>3121</v>
      </c>
      <c r="P285" s="6" t="s">
        <v>3213</v>
      </c>
      <c r="Q285" s="49"/>
      <c r="R285" s="75" t="s">
        <v>246</v>
      </c>
      <c r="S285" s="33" t="s">
        <v>92</v>
      </c>
      <c r="T285" s="33" t="s">
        <v>3214</v>
      </c>
      <c r="U285" s="78" t="s">
        <v>84</v>
      </c>
      <c r="V285" s="33" t="s">
        <v>94</v>
      </c>
      <c r="W285" s="33" t="s">
        <v>95</v>
      </c>
      <c r="X285" s="33">
        <v>2025</v>
      </c>
      <c r="Y285" s="33" t="s">
        <v>117</v>
      </c>
      <c r="Z285" s="33" t="s">
        <v>97</v>
      </c>
      <c r="AA285" s="33" t="s">
        <v>1011</v>
      </c>
      <c r="AB285" s="49" t="s">
        <v>99</v>
      </c>
      <c r="AC285" s="48" t="s">
        <v>3215</v>
      </c>
      <c r="AD285" s="48" t="s">
        <v>3314</v>
      </c>
      <c r="AE285" s="6" t="s">
        <v>3315</v>
      </c>
      <c r="AF285" s="49" t="s">
        <v>3316</v>
      </c>
      <c r="AG285" s="49" t="s">
        <v>3317</v>
      </c>
      <c r="AH285" s="49" t="s">
        <v>3304</v>
      </c>
      <c r="AI285" s="49" t="s">
        <v>84</v>
      </c>
      <c r="AJ285" s="49" t="s">
        <v>3318</v>
      </c>
      <c r="AK285" s="33" t="s">
        <v>97</v>
      </c>
      <c r="AL285" s="33" t="s">
        <v>3319</v>
      </c>
      <c r="AM285" s="5" t="s">
        <v>3222</v>
      </c>
      <c r="AN285" s="5"/>
      <c r="AO285" s="5" t="s">
        <v>3320</v>
      </c>
      <c r="AP285" s="5" t="s">
        <v>3321</v>
      </c>
      <c r="AQ285" s="49" t="s">
        <v>3322</v>
      </c>
      <c r="AR285" s="20" t="s">
        <v>97</v>
      </c>
      <c r="AS285" s="20" t="s">
        <v>107</v>
      </c>
      <c r="AT285" s="20"/>
      <c r="AU285" s="24" t="s">
        <v>3225</v>
      </c>
      <c r="AV285" s="50" t="s">
        <v>3226</v>
      </c>
      <c r="AW285" s="50" t="s">
        <v>3227</v>
      </c>
      <c r="AX285" s="25" t="s">
        <v>3228</v>
      </c>
      <c r="AY285" s="50">
        <v>0</v>
      </c>
      <c r="AZ285" s="50" t="s">
        <v>3229</v>
      </c>
      <c r="BA285" s="50" t="s">
        <v>3226</v>
      </c>
      <c r="BB285" s="50" t="s">
        <v>3227</v>
      </c>
      <c r="BC285" s="25" t="s">
        <v>3228</v>
      </c>
      <c r="BD285" s="50">
        <v>0</v>
      </c>
      <c r="BE285" s="26">
        <v>0</v>
      </c>
      <c r="BF285" s="34">
        <f t="shared" si="53"/>
        <v>0</v>
      </c>
      <c r="BG285" s="34">
        <f t="shared" si="54"/>
        <v>0</v>
      </c>
      <c r="BH285" s="26">
        <v>0</v>
      </c>
      <c r="BI285" s="26">
        <v>0</v>
      </c>
      <c r="BJ285" s="20" t="s">
        <v>496</v>
      </c>
      <c r="BK285" s="27" t="s">
        <v>84</v>
      </c>
      <c r="BL285" s="27" t="s">
        <v>1176</v>
      </c>
      <c r="BM285" s="27" t="s">
        <v>3323</v>
      </c>
      <c r="BN285" s="26"/>
      <c r="BO285" s="34">
        <v>1</v>
      </c>
      <c r="BP285" s="34"/>
      <c r="BQ285" s="34"/>
      <c r="BR285" s="34"/>
      <c r="BS285" s="34"/>
      <c r="BT285" s="34"/>
      <c r="BU285" s="34"/>
      <c r="BV285" s="34"/>
      <c r="BW285" s="34"/>
      <c r="BX285" s="34"/>
      <c r="BY285" s="34"/>
      <c r="BZ285" s="34"/>
      <c r="CA285" s="20"/>
      <c r="CB285" s="20"/>
      <c r="CC285" s="46">
        <v>46003</v>
      </c>
      <c r="CD285" s="51" t="s">
        <v>3324</v>
      </c>
    </row>
    <row r="286" spans="1:82" s="18" customFormat="1" ht="66.75" customHeight="1" x14ac:dyDescent="0.25">
      <c r="A286" s="121">
        <v>282</v>
      </c>
      <c r="B286" s="141" t="s">
        <v>3325</v>
      </c>
      <c r="C286" s="6" t="s">
        <v>3326</v>
      </c>
      <c r="D286" s="6" t="s">
        <v>3327</v>
      </c>
      <c r="E286" s="75" t="s">
        <v>113</v>
      </c>
      <c r="F286" s="4" t="s">
        <v>81</v>
      </c>
      <c r="G286" s="33" t="s">
        <v>84</v>
      </c>
      <c r="H286" s="49" t="s">
        <v>775</v>
      </c>
      <c r="I286" s="49" t="s">
        <v>3328</v>
      </c>
      <c r="J286" s="6"/>
      <c r="K286" s="49"/>
      <c r="L286" s="49"/>
      <c r="M286" s="49" t="s">
        <v>88</v>
      </c>
      <c r="N286" s="49" t="s">
        <v>89</v>
      </c>
      <c r="O286" s="49" t="s">
        <v>3121</v>
      </c>
      <c r="P286" s="6" t="s">
        <v>3213</v>
      </c>
      <c r="Q286" s="49"/>
      <c r="R286" s="75" t="s">
        <v>246</v>
      </c>
      <c r="S286" s="33" t="s">
        <v>92</v>
      </c>
      <c r="T286" s="33" t="s">
        <v>3214</v>
      </c>
      <c r="U286" s="78" t="s">
        <v>84</v>
      </c>
      <c r="V286" s="33" t="s">
        <v>94</v>
      </c>
      <c r="W286" s="33" t="s">
        <v>95</v>
      </c>
      <c r="X286" s="33">
        <v>2025</v>
      </c>
      <c r="Y286" s="33" t="s">
        <v>117</v>
      </c>
      <c r="Z286" s="33" t="s">
        <v>97</v>
      </c>
      <c r="AA286" s="33" t="s">
        <v>98</v>
      </c>
      <c r="AB286" s="49" t="s">
        <v>99</v>
      </c>
      <c r="AC286" s="48" t="s">
        <v>3329</v>
      </c>
      <c r="AD286" s="48" t="s">
        <v>3330</v>
      </c>
      <c r="AE286" s="6" t="s">
        <v>3331</v>
      </c>
      <c r="AF286" s="6" t="s">
        <v>3332</v>
      </c>
      <c r="AG286" s="6" t="s">
        <v>3333</v>
      </c>
      <c r="AH286" s="6" t="s">
        <v>3304</v>
      </c>
      <c r="AI286" s="6" t="s">
        <v>84</v>
      </c>
      <c r="AJ286" s="6" t="s">
        <v>3334</v>
      </c>
      <c r="AK286" s="33" t="s">
        <v>97</v>
      </c>
      <c r="AL286" s="33" t="s">
        <v>3335</v>
      </c>
      <c r="AM286" s="5" t="s">
        <v>3222</v>
      </c>
      <c r="AN286" s="5"/>
      <c r="AO286" s="5" t="s">
        <v>3336</v>
      </c>
      <c r="AP286" s="5" t="s">
        <v>3337</v>
      </c>
      <c r="AQ286" s="75" t="s">
        <v>3338</v>
      </c>
      <c r="AR286" s="20" t="s">
        <v>97</v>
      </c>
      <c r="AS286" s="20" t="s">
        <v>107</v>
      </c>
      <c r="AT286" s="20"/>
      <c r="AU286" s="24" t="s">
        <v>3225</v>
      </c>
      <c r="AV286" s="50" t="s">
        <v>3226</v>
      </c>
      <c r="AW286" s="50" t="s">
        <v>3227</v>
      </c>
      <c r="AX286" s="25" t="s">
        <v>3228</v>
      </c>
      <c r="AY286" s="50">
        <v>0</v>
      </c>
      <c r="AZ286" s="24" t="s">
        <v>3225</v>
      </c>
      <c r="BA286" s="50" t="s">
        <v>3226</v>
      </c>
      <c r="BB286" s="50" t="s">
        <v>3227</v>
      </c>
      <c r="BC286" s="25" t="s">
        <v>3228</v>
      </c>
      <c r="BD286" s="50">
        <v>0</v>
      </c>
      <c r="BE286" s="26">
        <v>0</v>
      </c>
      <c r="BF286" s="34">
        <f t="shared" si="53"/>
        <v>0</v>
      </c>
      <c r="BG286" s="34">
        <f t="shared" si="54"/>
        <v>0</v>
      </c>
      <c r="BH286" s="26">
        <v>0</v>
      </c>
      <c r="BI286" s="26">
        <v>0</v>
      </c>
      <c r="BJ286" s="20" t="s">
        <v>496</v>
      </c>
      <c r="BK286" s="27" t="s">
        <v>84</v>
      </c>
      <c r="BL286" s="27" t="s">
        <v>1176</v>
      </c>
      <c r="BM286" s="27" t="s">
        <v>3339</v>
      </c>
      <c r="BN286" s="26"/>
      <c r="BO286" s="34">
        <v>1</v>
      </c>
      <c r="BP286" s="34"/>
      <c r="BQ286" s="34"/>
      <c r="BR286" s="34"/>
      <c r="BS286" s="34"/>
      <c r="BT286" s="34"/>
      <c r="BU286" s="34"/>
      <c r="BV286" s="34"/>
      <c r="BW286" s="34"/>
      <c r="BX286" s="34"/>
      <c r="BY286" s="34"/>
      <c r="BZ286" s="34"/>
      <c r="CA286" s="20"/>
      <c r="CB286" s="20"/>
      <c r="CC286" s="46">
        <v>46006</v>
      </c>
      <c r="CD286" s="51" t="s">
        <v>3340</v>
      </c>
    </row>
    <row r="287" spans="1:82" s="18" customFormat="1" ht="82.5" customHeight="1" x14ac:dyDescent="0.25">
      <c r="A287" s="87">
        <v>283</v>
      </c>
      <c r="B287" s="141" t="s">
        <v>3341</v>
      </c>
      <c r="C287" s="6" t="s">
        <v>3342</v>
      </c>
      <c r="D287" s="6" t="s">
        <v>7494</v>
      </c>
      <c r="E287" s="75" t="s">
        <v>113</v>
      </c>
      <c r="F287" s="4" t="s">
        <v>81</v>
      </c>
      <c r="G287" s="33" t="s">
        <v>84</v>
      </c>
      <c r="H287" s="49" t="s">
        <v>775</v>
      </c>
      <c r="I287" s="49" t="s">
        <v>3257</v>
      </c>
      <c r="J287" s="6"/>
      <c r="K287" s="49"/>
      <c r="L287" s="49"/>
      <c r="M287" s="49" t="s">
        <v>88</v>
      </c>
      <c r="N287" s="49" t="s">
        <v>89</v>
      </c>
      <c r="O287" s="49" t="s">
        <v>3121</v>
      </c>
      <c r="P287" s="6" t="s">
        <v>3244</v>
      </c>
      <c r="Q287" s="49"/>
      <c r="R287" s="75" t="s">
        <v>91</v>
      </c>
      <c r="S287" s="33" t="s">
        <v>92</v>
      </c>
      <c r="T287" s="33" t="s">
        <v>93</v>
      </c>
      <c r="U287" s="78">
        <v>100</v>
      </c>
      <c r="V287" s="33" t="s">
        <v>94</v>
      </c>
      <c r="W287" s="33" t="s">
        <v>95</v>
      </c>
      <c r="X287" s="33">
        <v>2023</v>
      </c>
      <c r="Y287" s="33" t="s">
        <v>117</v>
      </c>
      <c r="Z287" s="33" t="s">
        <v>95</v>
      </c>
      <c r="AA287" s="33" t="s">
        <v>973</v>
      </c>
      <c r="AB287" s="49" t="s">
        <v>99</v>
      </c>
      <c r="AC287" s="48" t="s">
        <v>7470</v>
      </c>
      <c r="AD287" s="117" t="s">
        <v>7499</v>
      </c>
      <c r="AE287" s="6" t="s">
        <v>7471</v>
      </c>
      <c r="AF287" s="14" t="s">
        <v>7508</v>
      </c>
      <c r="AG287" s="6" t="s">
        <v>7539</v>
      </c>
      <c r="AH287" s="14" t="s">
        <v>1042</v>
      </c>
      <c r="AI287" s="14" t="s">
        <v>7520</v>
      </c>
      <c r="AJ287" s="6" t="s">
        <v>7473</v>
      </c>
      <c r="AK287" s="98" t="s">
        <v>7528</v>
      </c>
      <c r="AL287" s="39" t="s">
        <v>97</v>
      </c>
      <c r="AM287" s="5" t="s">
        <v>3236</v>
      </c>
      <c r="AN287" s="5"/>
      <c r="AO287" s="5" t="s">
        <v>3343</v>
      </c>
      <c r="AP287" s="5" t="s">
        <v>3344</v>
      </c>
      <c r="AQ287" s="82" t="s">
        <v>7475</v>
      </c>
      <c r="AR287" s="20" t="s">
        <v>97</v>
      </c>
      <c r="AS287" s="20" t="s">
        <v>107</v>
      </c>
      <c r="AT287" s="20"/>
      <c r="AU287" s="24">
        <v>0.5</v>
      </c>
      <c r="AV287" s="24">
        <f t="shared" ref="AV287:AV316" si="60">+AU287*80%</f>
        <v>0.4</v>
      </c>
      <c r="AW287" s="24">
        <f t="shared" ref="AW287:AW316" si="61">+AU287*60%</f>
        <v>0.3</v>
      </c>
      <c r="AX287" s="25">
        <v>1E-4</v>
      </c>
      <c r="AY287" s="24">
        <v>0</v>
      </c>
      <c r="AZ287" s="24">
        <f t="shared" ref="AZ287:AZ316" si="62">+AU287*90%</f>
        <v>0.45</v>
      </c>
      <c r="BA287" s="24">
        <f t="shared" ref="BA287:BA316" si="63">AZ287*80%</f>
        <v>0.36000000000000004</v>
      </c>
      <c r="BB287" s="24">
        <f t="shared" ref="BB287:BB316" si="64">AZ287*60%</f>
        <v>0.27</v>
      </c>
      <c r="BC287" s="25">
        <v>1E-4</v>
      </c>
      <c r="BD287" s="24">
        <v>0</v>
      </c>
      <c r="BE287" s="26">
        <v>0</v>
      </c>
      <c r="BF287" s="34">
        <f t="shared" si="53"/>
        <v>0</v>
      </c>
      <c r="BG287" s="34">
        <f t="shared" si="54"/>
        <v>0</v>
      </c>
      <c r="BH287" s="26">
        <v>0</v>
      </c>
      <c r="BI287" s="26">
        <v>0</v>
      </c>
      <c r="BJ287" s="20" t="s">
        <v>496</v>
      </c>
      <c r="BK287" s="27" t="s">
        <v>84</v>
      </c>
      <c r="BL287" s="27" t="s">
        <v>1176</v>
      </c>
      <c r="BM287" s="27" t="s">
        <v>1176</v>
      </c>
      <c r="BN287" s="26"/>
      <c r="BO287" s="34"/>
      <c r="BP287" s="34"/>
      <c r="BQ287" s="34"/>
      <c r="BR287" s="34"/>
      <c r="BS287" s="34"/>
      <c r="BT287" s="34"/>
      <c r="BU287" s="34"/>
      <c r="BV287" s="34"/>
      <c r="BW287" s="34"/>
      <c r="BX287" s="34"/>
      <c r="BY287" s="34"/>
      <c r="BZ287" s="34"/>
      <c r="CA287" s="20"/>
      <c r="CB287" s="20"/>
      <c r="CC287" s="109">
        <v>46090</v>
      </c>
      <c r="CD287" s="42" t="s">
        <v>7535</v>
      </c>
    </row>
    <row r="288" spans="1:82" s="18" customFormat="1" ht="66.75" customHeight="1" x14ac:dyDescent="0.25">
      <c r="A288" s="87">
        <v>284</v>
      </c>
      <c r="B288" s="141" t="s">
        <v>3345</v>
      </c>
      <c r="C288" s="6" t="s">
        <v>3346</v>
      </c>
      <c r="D288" s="6" t="s">
        <v>7469</v>
      </c>
      <c r="E288" s="75" t="s">
        <v>113</v>
      </c>
      <c r="F288" s="4" t="s">
        <v>81</v>
      </c>
      <c r="G288" s="33" t="s">
        <v>84</v>
      </c>
      <c r="H288" s="49" t="s">
        <v>775</v>
      </c>
      <c r="I288" s="49" t="s">
        <v>3257</v>
      </c>
      <c r="J288" s="6"/>
      <c r="K288" s="49"/>
      <c r="L288" s="49"/>
      <c r="M288" s="49" t="s">
        <v>136</v>
      </c>
      <c r="N288" s="49" t="s">
        <v>245</v>
      </c>
      <c r="O288" s="49" t="s">
        <v>3121</v>
      </c>
      <c r="P288" s="6" t="s">
        <v>3244</v>
      </c>
      <c r="Q288" s="49"/>
      <c r="R288" s="75" t="s">
        <v>175</v>
      </c>
      <c r="S288" s="33" t="s">
        <v>92</v>
      </c>
      <c r="T288" s="33" t="s">
        <v>93</v>
      </c>
      <c r="U288" s="78">
        <v>100</v>
      </c>
      <c r="V288" s="33" t="s">
        <v>94</v>
      </c>
      <c r="W288" s="33" t="s">
        <v>95</v>
      </c>
      <c r="X288" s="33">
        <v>2023</v>
      </c>
      <c r="Y288" s="33" t="s">
        <v>117</v>
      </c>
      <c r="Z288" s="33" t="s">
        <v>95</v>
      </c>
      <c r="AA288" s="33" t="s">
        <v>973</v>
      </c>
      <c r="AB288" s="49" t="s">
        <v>99</v>
      </c>
      <c r="AC288" s="48" t="s">
        <v>7472</v>
      </c>
      <c r="AD288" s="117" t="s">
        <v>7500</v>
      </c>
      <c r="AE288" s="6" t="s">
        <v>7510</v>
      </c>
      <c r="AF288" s="6" t="s">
        <v>7509</v>
      </c>
      <c r="AG288" s="6" t="s">
        <v>178</v>
      </c>
      <c r="AH288" s="6" t="s">
        <v>178</v>
      </c>
      <c r="AI288" s="6" t="s">
        <v>7474</v>
      </c>
      <c r="AJ288" s="14" t="s">
        <v>7521</v>
      </c>
      <c r="AK288" s="98" t="s">
        <v>7528</v>
      </c>
      <c r="AL288" s="39" t="s">
        <v>97</v>
      </c>
      <c r="AM288" s="6" t="s">
        <v>3250</v>
      </c>
      <c r="AN288" s="5"/>
      <c r="AO288" s="5" t="s">
        <v>3347</v>
      </c>
      <c r="AP288" s="5" t="s">
        <v>3348</v>
      </c>
      <c r="AQ288" s="82" t="s">
        <v>7475</v>
      </c>
      <c r="AR288" s="20" t="s">
        <v>97</v>
      </c>
      <c r="AS288" s="20" t="s">
        <v>107</v>
      </c>
      <c r="AT288" s="20"/>
      <c r="AU288" s="24">
        <v>0.8</v>
      </c>
      <c r="AV288" s="24">
        <f t="shared" si="60"/>
        <v>0.64000000000000012</v>
      </c>
      <c r="AW288" s="24">
        <f t="shared" si="61"/>
        <v>0.48</v>
      </c>
      <c r="AX288" s="25">
        <v>1E-4</v>
      </c>
      <c r="AY288" s="24">
        <v>0</v>
      </c>
      <c r="AZ288" s="24">
        <f t="shared" si="62"/>
        <v>0.72000000000000008</v>
      </c>
      <c r="BA288" s="24">
        <f t="shared" si="63"/>
        <v>0.57600000000000007</v>
      </c>
      <c r="BB288" s="24">
        <f t="shared" si="64"/>
        <v>0.43200000000000005</v>
      </c>
      <c r="BC288" s="25">
        <v>1E-4</v>
      </c>
      <c r="BD288" s="24">
        <v>0</v>
      </c>
      <c r="BE288" s="26">
        <v>0</v>
      </c>
      <c r="BF288" s="34">
        <f t="shared" si="53"/>
        <v>0</v>
      </c>
      <c r="BG288" s="34">
        <f t="shared" si="54"/>
        <v>0</v>
      </c>
      <c r="BH288" s="26">
        <v>0</v>
      </c>
      <c r="BI288" s="26">
        <v>0</v>
      </c>
      <c r="BJ288" s="27">
        <v>0.54689564068692209</v>
      </c>
      <c r="BK288" s="27" t="s">
        <v>84</v>
      </c>
      <c r="BL288" s="27" t="s">
        <v>1176</v>
      </c>
      <c r="BM288" s="27" t="s">
        <v>1176</v>
      </c>
      <c r="BN288" s="26"/>
      <c r="BO288" s="34">
        <v>1</v>
      </c>
      <c r="BP288" s="34"/>
      <c r="BQ288" s="34"/>
      <c r="BR288" s="34"/>
      <c r="BS288" s="34"/>
      <c r="BT288" s="34"/>
      <c r="BU288" s="34"/>
      <c r="BV288" s="34"/>
      <c r="BW288" s="34"/>
      <c r="BX288" s="34"/>
      <c r="BY288" s="34"/>
      <c r="BZ288" s="34"/>
      <c r="CA288" s="20"/>
      <c r="CB288" s="20"/>
      <c r="CC288" s="109">
        <v>46086</v>
      </c>
      <c r="CD288" s="42" t="s">
        <v>7480</v>
      </c>
    </row>
    <row r="289" spans="1:82" s="18" customFormat="1" ht="82.5" customHeight="1" x14ac:dyDescent="0.25">
      <c r="A289" s="121">
        <v>285</v>
      </c>
      <c r="B289" s="141" t="s">
        <v>3350</v>
      </c>
      <c r="C289" s="6" t="s">
        <v>3351</v>
      </c>
      <c r="D289" s="6" t="s">
        <v>3352</v>
      </c>
      <c r="E289" s="75" t="s">
        <v>113</v>
      </c>
      <c r="F289" s="4" t="s">
        <v>81</v>
      </c>
      <c r="G289" s="33" t="s">
        <v>84</v>
      </c>
      <c r="H289" s="49" t="s">
        <v>775</v>
      </c>
      <c r="I289" s="49" t="s">
        <v>3313</v>
      </c>
      <c r="J289" s="6"/>
      <c r="K289" s="49"/>
      <c r="L289" s="49"/>
      <c r="M289" s="49" t="s">
        <v>136</v>
      </c>
      <c r="N289" s="49" t="s">
        <v>89</v>
      </c>
      <c r="O289" s="49" t="s">
        <v>579</v>
      </c>
      <c r="P289" s="6" t="s">
        <v>3353</v>
      </c>
      <c r="Q289" s="49"/>
      <c r="R289" s="75" t="s">
        <v>91</v>
      </c>
      <c r="S289" s="33" t="s">
        <v>92</v>
      </c>
      <c r="T289" s="33" t="s">
        <v>93</v>
      </c>
      <c r="U289" s="78">
        <v>100</v>
      </c>
      <c r="V289" s="33" t="s">
        <v>94</v>
      </c>
      <c r="W289" s="33" t="s">
        <v>95</v>
      </c>
      <c r="X289" s="33">
        <v>2022</v>
      </c>
      <c r="Y289" s="33" t="s">
        <v>117</v>
      </c>
      <c r="Z289" s="33" t="s">
        <v>95</v>
      </c>
      <c r="AA289" s="33" t="s">
        <v>1011</v>
      </c>
      <c r="AB289" s="49" t="s">
        <v>99</v>
      </c>
      <c r="AC289" s="48" t="s">
        <v>3354</v>
      </c>
      <c r="AD289" s="79" t="s">
        <v>3355</v>
      </c>
      <c r="AE289" s="6" t="s">
        <v>3356</v>
      </c>
      <c r="AF289" s="6" t="s">
        <v>121</v>
      </c>
      <c r="AG289" s="6" t="s">
        <v>1600</v>
      </c>
      <c r="AH289" s="6" t="s">
        <v>123</v>
      </c>
      <c r="AI289" s="6" t="s">
        <v>3357</v>
      </c>
      <c r="AJ289" s="6" t="s">
        <v>7435</v>
      </c>
      <c r="AK289" s="5" t="s">
        <v>97</v>
      </c>
      <c r="AL289" s="5" t="s">
        <v>97</v>
      </c>
      <c r="AM289" s="5" t="s">
        <v>221</v>
      </c>
      <c r="AN289" s="5"/>
      <c r="AO289" s="5" t="s">
        <v>3358</v>
      </c>
      <c r="AP289" s="5" t="s">
        <v>3359</v>
      </c>
      <c r="AQ289" s="49" t="s">
        <v>3360</v>
      </c>
      <c r="AR289" s="20" t="s">
        <v>97</v>
      </c>
      <c r="AS289" s="20" t="s">
        <v>107</v>
      </c>
      <c r="AT289" s="20"/>
      <c r="AU289" s="24">
        <v>0.4</v>
      </c>
      <c r="AV289" s="24">
        <f t="shared" si="60"/>
        <v>0.32000000000000006</v>
      </c>
      <c r="AW289" s="24">
        <f t="shared" si="61"/>
        <v>0.24</v>
      </c>
      <c r="AX289" s="25">
        <v>1E-4</v>
      </c>
      <c r="AY289" s="24">
        <v>0</v>
      </c>
      <c r="AZ289" s="24">
        <f t="shared" si="62"/>
        <v>0.36000000000000004</v>
      </c>
      <c r="BA289" s="24">
        <f t="shared" si="63"/>
        <v>0.28800000000000003</v>
      </c>
      <c r="BB289" s="24">
        <f t="shared" si="64"/>
        <v>0.21600000000000003</v>
      </c>
      <c r="BC289" s="25">
        <v>1E-4</v>
      </c>
      <c r="BD289" s="24">
        <v>0</v>
      </c>
      <c r="BE289" s="26">
        <v>0</v>
      </c>
      <c r="BF289" s="34">
        <f t="shared" si="53"/>
        <v>0</v>
      </c>
      <c r="BG289" s="34">
        <f t="shared" si="54"/>
        <v>0</v>
      </c>
      <c r="BH289" s="26">
        <v>0</v>
      </c>
      <c r="BI289" s="26">
        <v>0</v>
      </c>
      <c r="BJ289" s="27">
        <v>1.2E-2</v>
      </c>
      <c r="BK289" s="27">
        <v>6.3611353418774746E-2</v>
      </c>
      <c r="BL289" s="27" t="s">
        <v>3361</v>
      </c>
      <c r="BM289" s="27" t="s">
        <v>3362</v>
      </c>
      <c r="BN289" s="26"/>
      <c r="BO289" s="34">
        <v>1</v>
      </c>
      <c r="BP289" s="34"/>
      <c r="BQ289" s="34"/>
      <c r="BR289" s="34"/>
      <c r="BS289" s="34"/>
      <c r="BT289" s="34"/>
      <c r="BU289" s="34"/>
      <c r="BV289" s="34"/>
      <c r="BW289" s="34"/>
      <c r="BX289" s="34"/>
      <c r="BY289" s="34"/>
      <c r="BZ289" s="34"/>
      <c r="CA289" s="20"/>
      <c r="CB289" s="20"/>
      <c r="CC289" s="46">
        <v>46006</v>
      </c>
      <c r="CD289" s="2" t="s">
        <v>3363</v>
      </c>
    </row>
    <row r="290" spans="1:82" s="18" customFormat="1" ht="93.75" customHeight="1" x14ac:dyDescent="0.25">
      <c r="A290" s="87">
        <v>286</v>
      </c>
      <c r="B290" s="141" t="s">
        <v>3364</v>
      </c>
      <c r="C290" s="6" t="s">
        <v>3365</v>
      </c>
      <c r="D290" s="6" t="s">
        <v>3366</v>
      </c>
      <c r="E290" s="75" t="s">
        <v>174</v>
      </c>
      <c r="F290" s="4" t="s">
        <v>81</v>
      </c>
      <c r="G290" s="33" t="s">
        <v>84</v>
      </c>
      <c r="H290" s="49" t="s">
        <v>775</v>
      </c>
      <c r="I290" s="49" t="s">
        <v>3313</v>
      </c>
      <c r="J290" s="6"/>
      <c r="K290" s="49"/>
      <c r="L290" s="49"/>
      <c r="M290" s="49" t="s">
        <v>136</v>
      </c>
      <c r="N290" s="49" t="s">
        <v>89</v>
      </c>
      <c r="O290" s="49" t="s">
        <v>2688</v>
      </c>
      <c r="P290" s="6" t="s">
        <v>3353</v>
      </c>
      <c r="Q290" s="49"/>
      <c r="R290" s="75" t="s">
        <v>91</v>
      </c>
      <c r="S290" s="33" t="s">
        <v>92</v>
      </c>
      <c r="T290" s="33" t="s">
        <v>93</v>
      </c>
      <c r="U290" s="78">
        <v>100</v>
      </c>
      <c r="V290" s="33" t="s">
        <v>94</v>
      </c>
      <c r="W290" s="33" t="s">
        <v>95</v>
      </c>
      <c r="X290" s="33">
        <v>2022</v>
      </c>
      <c r="Y290" s="33" t="s">
        <v>117</v>
      </c>
      <c r="Z290" s="33" t="s">
        <v>95</v>
      </c>
      <c r="AA290" s="33" t="s">
        <v>1011</v>
      </c>
      <c r="AB290" s="49" t="s">
        <v>99</v>
      </c>
      <c r="AC290" s="79" t="s">
        <v>3367</v>
      </c>
      <c r="AD290" s="79" t="s">
        <v>3368</v>
      </c>
      <c r="AE290" s="6" t="s">
        <v>3369</v>
      </c>
      <c r="AF290" s="14" t="s">
        <v>7263</v>
      </c>
      <c r="AG290" s="6" t="s">
        <v>1600</v>
      </c>
      <c r="AH290" s="6" t="s">
        <v>123</v>
      </c>
      <c r="AI290" s="6" t="s">
        <v>3370</v>
      </c>
      <c r="AJ290" s="6" t="s">
        <v>3371</v>
      </c>
      <c r="AK290" s="33" t="s">
        <v>97</v>
      </c>
      <c r="AL290" s="5" t="s">
        <v>3372</v>
      </c>
      <c r="AM290" s="5"/>
      <c r="AN290" s="5"/>
      <c r="AO290" s="113" t="s">
        <v>3373</v>
      </c>
      <c r="AP290" s="113" t="s">
        <v>3374</v>
      </c>
      <c r="AQ290" s="49" t="s">
        <v>3360</v>
      </c>
      <c r="AR290" s="20" t="s">
        <v>97</v>
      </c>
      <c r="AS290" s="20" t="s">
        <v>107</v>
      </c>
      <c r="AT290" s="20"/>
      <c r="AU290" s="24">
        <v>0.4</v>
      </c>
      <c r="AV290" s="24">
        <f t="shared" si="60"/>
        <v>0.32000000000000006</v>
      </c>
      <c r="AW290" s="24">
        <f t="shared" si="61"/>
        <v>0.24</v>
      </c>
      <c r="AX290" s="25">
        <v>1E-4</v>
      </c>
      <c r="AY290" s="24">
        <v>0</v>
      </c>
      <c r="AZ290" s="24">
        <f t="shared" si="62"/>
        <v>0.36000000000000004</v>
      </c>
      <c r="BA290" s="24">
        <f t="shared" si="63"/>
        <v>0.28800000000000003</v>
      </c>
      <c r="BB290" s="24">
        <f t="shared" si="64"/>
        <v>0.21600000000000003</v>
      </c>
      <c r="BC290" s="25">
        <v>1E-4</v>
      </c>
      <c r="BD290" s="24">
        <v>0</v>
      </c>
      <c r="BE290" s="26">
        <v>10</v>
      </c>
      <c r="BF290" s="34">
        <f t="shared" si="53"/>
        <v>8</v>
      </c>
      <c r="BG290" s="34">
        <f t="shared" si="54"/>
        <v>6</v>
      </c>
      <c r="BH290" s="26">
        <v>1</v>
      </c>
      <c r="BI290" s="26">
        <v>0</v>
      </c>
      <c r="BJ290" s="27">
        <v>0.04</v>
      </c>
      <c r="BK290" s="27">
        <v>7.6631063710005318E-2</v>
      </c>
      <c r="BL290" s="27" t="s">
        <v>3375</v>
      </c>
      <c r="BM290" s="27" t="s">
        <v>3376</v>
      </c>
      <c r="BN290" s="26"/>
      <c r="BO290" s="34">
        <v>1</v>
      </c>
      <c r="BP290" s="34"/>
      <c r="BQ290" s="34">
        <v>1</v>
      </c>
      <c r="BR290" s="34"/>
      <c r="BS290" s="34"/>
      <c r="BT290" s="34"/>
      <c r="BU290" s="34"/>
      <c r="BV290" s="34"/>
      <c r="BW290" s="34"/>
      <c r="BX290" s="34"/>
      <c r="BY290" s="34"/>
      <c r="BZ290" s="34"/>
      <c r="CA290" s="20"/>
      <c r="CB290" s="20"/>
      <c r="CC290" s="46">
        <v>46006</v>
      </c>
      <c r="CD290" s="2" t="s">
        <v>3377</v>
      </c>
    </row>
    <row r="291" spans="1:82" s="18" customFormat="1" ht="66.75" customHeight="1" x14ac:dyDescent="0.25">
      <c r="A291" s="87">
        <v>287</v>
      </c>
      <c r="B291" s="141" t="s">
        <v>3378</v>
      </c>
      <c r="C291" s="6" t="s">
        <v>3379</v>
      </c>
      <c r="D291" s="6" t="s">
        <v>3380</v>
      </c>
      <c r="E291" s="75" t="s">
        <v>113</v>
      </c>
      <c r="F291" s="4" t="s">
        <v>81</v>
      </c>
      <c r="G291" s="33" t="s">
        <v>84</v>
      </c>
      <c r="H291" s="49" t="s">
        <v>775</v>
      </c>
      <c r="I291" s="49" t="s">
        <v>3313</v>
      </c>
      <c r="J291" s="6"/>
      <c r="K291" s="49"/>
      <c r="L291" s="49"/>
      <c r="M291" s="49" t="s">
        <v>88</v>
      </c>
      <c r="N291" s="49" t="s">
        <v>89</v>
      </c>
      <c r="O291" s="49" t="s">
        <v>1520</v>
      </c>
      <c r="P291" s="6" t="s">
        <v>3381</v>
      </c>
      <c r="Q291" s="49"/>
      <c r="R291" s="75" t="s">
        <v>91</v>
      </c>
      <c r="S291" s="33" t="s">
        <v>92</v>
      </c>
      <c r="T291" s="33" t="s">
        <v>93</v>
      </c>
      <c r="U291" s="78">
        <v>100</v>
      </c>
      <c r="V291" s="33" t="s">
        <v>94</v>
      </c>
      <c r="W291" s="33" t="s">
        <v>95</v>
      </c>
      <c r="X291" s="33">
        <v>2021</v>
      </c>
      <c r="Y291" s="33" t="s">
        <v>117</v>
      </c>
      <c r="Z291" s="33" t="s">
        <v>95</v>
      </c>
      <c r="AA291" s="33" t="s">
        <v>1011</v>
      </c>
      <c r="AB291" s="49" t="s">
        <v>99</v>
      </c>
      <c r="AC291" s="48" t="s">
        <v>3382</v>
      </c>
      <c r="AD291" s="79" t="s">
        <v>3383</v>
      </c>
      <c r="AE291" s="6" t="s">
        <v>3384</v>
      </c>
      <c r="AF291" s="49" t="s">
        <v>121</v>
      </c>
      <c r="AG291" s="49" t="s">
        <v>1600</v>
      </c>
      <c r="AH291" s="49" t="s">
        <v>123</v>
      </c>
      <c r="AI291" s="49" t="s">
        <v>3385</v>
      </c>
      <c r="AJ291" s="6" t="s">
        <v>3386</v>
      </c>
      <c r="AK291" s="33" t="s">
        <v>97</v>
      </c>
      <c r="AL291" s="33" t="s">
        <v>97</v>
      </c>
      <c r="AM291" s="5" t="s">
        <v>221</v>
      </c>
      <c r="AN291" s="5"/>
      <c r="AO291" s="5" t="s">
        <v>3387</v>
      </c>
      <c r="AP291" s="5" t="s">
        <v>3388</v>
      </c>
      <c r="AQ291" s="49" t="s">
        <v>3360</v>
      </c>
      <c r="AR291" s="20" t="s">
        <v>97</v>
      </c>
      <c r="AS291" s="20" t="s">
        <v>107</v>
      </c>
      <c r="AT291" s="20"/>
      <c r="AU291" s="24">
        <v>0.6</v>
      </c>
      <c r="AV291" s="24">
        <f t="shared" si="60"/>
        <v>0.48</v>
      </c>
      <c r="AW291" s="24">
        <f t="shared" si="61"/>
        <v>0.36</v>
      </c>
      <c r="AX291" s="25">
        <v>1E-4</v>
      </c>
      <c r="AY291" s="24">
        <v>0</v>
      </c>
      <c r="AZ291" s="24">
        <f t="shared" si="62"/>
        <v>0.54</v>
      </c>
      <c r="BA291" s="24">
        <f t="shared" si="63"/>
        <v>0.43200000000000005</v>
      </c>
      <c r="BB291" s="24">
        <f t="shared" si="64"/>
        <v>0.32400000000000001</v>
      </c>
      <c r="BC291" s="25">
        <v>1E-4</v>
      </c>
      <c r="BD291" s="24">
        <v>0</v>
      </c>
      <c r="BE291" s="26">
        <v>0</v>
      </c>
      <c r="BF291" s="34">
        <f t="shared" si="53"/>
        <v>0</v>
      </c>
      <c r="BG291" s="34">
        <f t="shared" si="54"/>
        <v>0</v>
      </c>
      <c r="BH291" s="26">
        <v>0</v>
      </c>
      <c r="BI291" s="26">
        <v>0</v>
      </c>
      <c r="BJ291" s="27">
        <v>0.438</v>
      </c>
      <c r="BK291" s="27">
        <v>0.36260184374315829</v>
      </c>
      <c r="BL291" s="27" t="s">
        <v>3389</v>
      </c>
      <c r="BM291" s="27" t="s">
        <v>3390</v>
      </c>
      <c r="BN291" s="26"/>
      <c r="BO291" s="34"/>
      <c r="BP291" s="34"/>
      <c r="BQ291" s="34"/>
      <c r="BR291" s="34"/>
      <c r="BS291" s="34"/>
      <c r="BT291" s="34"/>
      <c r="BU291" s="34"/>
      <c r="BV291" s="34"/>
      <c r="BW291" s="34"/>
      <c r="BX291" s="34"/>
      <c r="BY291" s="34"/>
      <c r="BZ291" s="34"/>
      <c r="CA291" s="20"/>
      <c r="CB291" s="20"/>
      <c r="CC291" s="46">
        <v>46006</v>
      </c>
      <c r="CD291" s="2" t="s">
        <v>3391</v>
      </c>
    </row>
    <row r="292" spans="1:82" s="18" customFormat="1" ht="66.75" customHeight="1" x14ac:dyDescent="0.25">
      <c r="A292" s="121">
        <v>288</v>
      </c>
      <c r="B292" s="141" t="s">
        <v>3392</v>
      </c>
      <c r="C292" s="6" t="s">
        <v>3393</v>
      </c>
      <c r="D292" s="6" t="s">
        <v>3394</v>
      </c>
      <c r="E292" s="75" t="s">
        <v>174</v>
      </c>
      <c r="F292" s="4" t="s">
        <v>81</v>
      </c>
      <c r="G292" s="33" t="s">
        <v>84</v>
      </c>
      <c r="H292" s="49" t="s">
        <v>775</v>
      </c>
      <c r="I292" s="49" t="s">
        <v>3313</v>
      </c>
      <c r="J292" s="6"/>
      <c r="K292" s="49"/>
      <c r="L292" s="49"/>
      <c r="M292" s="49" t="s">
        <v>88</v>
      </c>
      <c r="N292" s="49" t="s">
        <v>89</v>
      </c>
      <c r="O292" s="49" t="s">
        <v>1520</v>
      </c>
      <c r="P292" s="6" t="s">
        <v>3381</v>
      </c>
      <c r="Q292" s="49"/>
      <c r="R292" s="75" t="s">
        <v>175</v>
      </c>
      <c r="S292" s="33" t="s">
        <v>92</v>
      </c>
      <c r="T292" s="33" t="s">
        <v>93</v>
      </c>
      <c r="U292" s="78">
        <v>100</v>
      </c>
      <c r="V292" s="33" t="s">
        <v>94</v>
      </c>
      <c r="W292" s="33" t="s">
        <v>95</v>
      </c>
      <c r="X292" s="33">
        <v>2023</v>
      </c>
      <c r="Y292" s="33" t="s">
        <v>117</v>
      </c>
      <c r="Z292" s="33" t="s">
        <v>95</v>
      </c>
      <c r="AA292" s="33" t="s">
        <v>1011</v>
      </c>
      <c r="AB292" s="49" t="s">
        <v>99</v>
      </c>
      <c r="AC292" s="79" t="s">
        <v>3395</v>
      </c>
      <c r="AD292" s="79" t="s">
        <v>3396</v>
      </c>
      <c r="AE292" s="6" t="s">
        <v>3384</v>
      </c>
      <c r="AF292" s="6" t="s">
        <v>3397</v>
      </c>
      <c r="AG292" s="49" t="s">
        <v>178</v>
      </c>
      <c r="AH292" s="6" t="s">
        <v>3398</v>
      </c>
      <c r="AI292" s="6" t="s">
        <v>3399</v>
      </c>
      <c r="AJ292" s="6" t="s">
        <v>3400</v>
      </c>
      <c r="AK292" s="33" t="s">
        <v>97</v>
      </c>
      <c r="AL292" s="5" t="s">
        <v>3398</v>
      </c>
      <c r="AM292" s="5" t="s">
        <v>3401</v>
      </c>
      <c r="AN292" s="5" t="s">
        <v>3402</v>
      </c>
      <c r="AO292" s="5" t="s">
        <v>3403</v>
      </c>
      <c r="AP292" s="5" t="s">
        <v>3404</v>
      </c>
      <c r="AQ292" s="49" t="s">
        <v>3360</v>
      </c>
      <c r="AR292" s="20" t="s">
        <v>95</v>
      </c>
      <c r="AS292" s="20" t="s">
        <v>185</v>
      </c>
      <c r="AT292" s="7" t="s">
        <v>3405</v>
      </c>
      <c r="AU292" s="24">
        <v>0.3</v>
      </c>
      <c r="AV292" s="24">
        <f t="shared" si="60"/>
        <v>0.24</v>
      </c>
      <c r="AW292" s="24">
        <f t="shared" si="61"/>
        <v>0.18</v>
      </c>
      <c r="AX292" s="25">
        <v>1E-4</v>
      </c>
      <c r="AY292" s="24">
        <v>0</v>
      </c>
      <c r="AZ292" s="24">
        <f t="shared" si="62"/>
        <v>0.27</v>
      </c>
      <c r="BA292" s="24">
        <f t="shared" si="63"/>
        <v>0.21600000000000003</v>
      </c>
      <c r="BB292" s="24">
        <f t="shared" si="64"/>
        <v>0.16200000000000001</v>
      </c>
      <c r="BC292" s="25">
        <v>1E-4</v>
      </c>
      <c r="BD292" s="24">
        <v>0</v>
      </c>
      <c r="BE292" s="34">
        <v>20</v>
      </c>
      <c r="BF292" s="34">
        <f t="shared" si="53"/>
        <v>16</v>
      </c>
      <c r="BG292" s="34">
        <f t="shared" si="54"/>
        <v>12</v>
      </c>
      <c r="BH292" s="26">
        <v>1</v>
      </c>
      <c r="BI292" s="26">
        <v>0</v>
      </c>
      <c r="BJ292" s="27">
        <v>0.33400000000000002</v>
      </c>
      <c r="BK292" s="27">
        <v>0.22194519086766051</v>
      </c>
      <c r="BL292" s="27" t="s">
        <v>3406</v>
      </c>
      <c r="BM292" s="27" t="s">
        <v>3407</v>
      </c>
      <c r="BN292" s="26"/>
      <c r="BO292" s="34"/>
      <c r="BP292" s="34"/>
      <c r="BQ292" s="34"/>
      <c r="BR292" s="34"/>
      <c r="BS292" s="34"/>
      <c r="BT292" s="34"/>
      <c r="BU292" s="34"/>
      <c r="BV292" s="34"/>
      <c r="BW292" s="34"/>
      <c r="BX292" s="34"/>
      <c r="BY292" s="34"/>
      <c r="BZ292" s="34">
        <v>1</v>
      </c>
      <c r="CA292" s="20" t="s">
        <v>3036</v>
      </c>
      <c r="CB292" s="20" t="s">
        <v>3036</v>
      </c>
      <c r="CC292" s="46">
        <v>46006</v>
      </c>
      <c r="CD292" s="21" t="s">
        <v>3408</v>
      </c>
    </row>
    <row r="293" spans="1:82" s="18" customFormat="1" ht="84" customHeight="1" x14ac:dyDescent="0.25">
      <c r="A293" s="87">
        <v>289</v>
      </c>
      <c r="B293" s="141" t="s">
        <v>3409</v>
      </c>
      <c r="C293" s="6" t="s">
        <v>3410</v>
      </c>
      <c r="D293" s="6" t="s">
        <v>3411</v>
      </c>
      <c r="E293" s="75" t="s">
        <v>174</v>
      </c>
      <c r="F293" s="4" t="s">
        <v>81</v>
      </c>
      <c r="G293" s="33" t="s">
        <v>84</v>
      </c>
      <c r="H293" s="49" t="s">
        <v>775</v>
      </c>
      <c r="I293" s="49" t="s">
        <v>3313</v>
      </c>
      <c r="J293" s="6"/>
      <c r="K293" s="49"/>
      <c r="L293" s="49"/>
      <c r="M293" s="49" t="s">
        <v>88</v>
      </c>
      <c r="N293" s="49" t="s">
        <v>89</v>
      </c>
      <c r="O293" s="49" t="s">
        <v>1520</v>
      </c>
      <c r="P293" s="6" t="s">
        <v>3412</v>
      </c>
      <c r="Q293" s="49"/>
      <c r="R293" s="75" t="s">
        <v>175</v>
      </c>
      <c r="S293" s="33" t="s">
        <v>92</v>
      </c>
      <c r="T293" s="33" t="s">
        <v>93</v>
      </c>
      <c r="U293" s="78">
        <v>100</v>
      </c>
      <c r="V293" s="33" t="s">
        <v>94</v>
      </c>
      <c r="W293" s="33" t="s">
        <v>95</v>
      </c>
      <c r="X293" s="33">
        <v>2023</v>
      </c>
      <c r="Y293" s="33" t="s">
        <v>117</v>
      </c>
      <c r="Z293" s="33" t="s">
        <v>95</v>
      </c>
      <c r="AA293" s="33" t="s">
        <v>1011</v>
      </c>
      <c r="AB293" s="49" t="s">
        <v>99</v>
      </c>
      <c r="AC293" s="79" t="s">
        <v>3413</v>
      </c>
      <c r="AD293" s="79" t="s">
        <v>3414</v>
      </c>
      <c r="AE293" s="49" t="s">
        <v>3415</v>
      </c>
      <c r="AF293" s="6" t="s">
        <v>3416</v>
      </c>
      <c r="AG293" s="49" t="s">
        <v>178</v>
      </c>
      <c r="AH293" s="6" t="s">
        <v>3417</v>
      </c>
      <c r="AI293" s="6" t="s">
        <v>3418</v>
      </c>
      <c r="AJ293" s="6" t="s">
        <v>3419</v>
      </c>
      <c r="AK293" s="33" t="s">
        <v>97</v>
      </c>
      <c r="AL293" s="5" t="s">
        <v>3420</v>
      </c>
      <c r="AM293" s="5"/>
      <c r="AN293" s="5" t="s">
        <v>470</v>
      </c>
      <c r="AO293" s="5" t="s">
        <v>3421</v>
      </c>
      <c r="AP293" s="5" t="s">
        <v>3422</v>
      </c>
      <c r="AQ293" s="49" t="s">
        <v>3360</v>
      </c>
      <c r="AR293" s="20" t="s">
        <v>97</v>
      </c>
      <c r="AS293" s="20" t="s">
        <v>107</v>
      </c>
      <c r="AT293" s="20"/>
      <c r="AU293" s="24">
        <v>0.3</v>
      </c>
      <c r="AV293" s="24">
        <f t="shared" si="60"/>
        <v>0.24</v>
      </c>
      <c r="AW293" s="24">
        <f t="shared" si="61"/>
        <v>0.18</v>
      </c>
      <c r="AX293" s="25">
        <v>1E-4</v>
      </c>
      <c r="AY293" s="24">
        <v>0</v>
      </c>
      <c r="AZ293" s="24">
        <f t="shared" si="62"/>
        <v>0.27</v>
      </c>
      <c r="BA293" s="24">
        <f t="shared" si="63"/>
        <v>0.21600000000000003</v>
      </c>
      <c r="BB293" s="24">
        <f t="shared" si="64"/>
        <v>0.16200000000000001</v>
      </c>
      <c r="BC293" s="25">
        <v>1E-4</v>
      </c>
      <c r="BD293" s="24">
        <v>0</v>
      </c>
      <c r="BE293" s="34">
        <v>20</v>
      </c>
      <c r="BF293" s="34">
        <f t="shared" si="53"/>
        <v>16</v>
      </c>
      <c r="BG293" s="34">
        <f t="shared" si="54"/>
        <v>12</v>
      </c>
      <c r="BH293" s="26">
        <v>1</v>
      </c>
      <c r="BI293" s="26">
        <v>0</v>
      </c>
      <c r="BJ293" s="27">
        <v>4.7E-2</v>
      </c>
      <c r="BK293" s="27">
        <v>6.3728821655473583E-2</v>
      </c>
      <c r="BL293" s="27" t="s">
        <v>3423</v>
      </c>
      <c r="BM293" s="27" t="s">
        <v>3424</v>
      </c>
      <c r="BN293" s="26"/>
      <c r="BO293" s="34"/>
      <c r="BP293" s="34"/>
      <c r="BQ293" s="34"/>
      <c r="BR293" s="34"/>
      <c r="BS293" s="34"/>
      <c r="BT293" s="34"/>
      <c r="BU293" s="34"/>
      <c r="BV293" s="34"/>
      <c r="BW293" s="34"/>
      <c r="BX293" s="34"/>
      <c r="BY293" s="34"/>
      <c r="BZ293" s="34">
        <v>1</v>
      </c>
      <c r="CA293" s="20" t="s">
        <v>3036</v>
      </c>
      <c r="CB293" s="20" t="s">
        <v>3036</v>
      </c>
      <c r="CC293" s="46">
        <v>46006</v>
      </c>
      <c r="CD293" s="2" t="s">
        <v>3425</v>
      </c>
    </row>
    <row r="294" spans="1:82" s="18" customFormat="1" ht="92.25" customHeight="1" x14ac:dyDescent="0.25">
      <c r="A294" s="87">
        <v>290</v>
      </c>
      <c r="B294" s="141" t="s">
        <v>3426</v>
      </c>
      <c r="C294" s="6" t="s">
        <v>3427</v>
      </c>
      <c r="D294" s="6" t="s">
        <v>3428</v>
      </c>
      <c r="E294" s="75" t="s">
        <v>174</v>
      </c>
      <c r="F294" s="4" t="s">
        <v>81</v>
      </c>
      <c r="G294" s="33" t="s">
        <v>84</v>
      </c>
      <c r="H294" s="49" t="s">
        <v>775</v>
      </c>
      <c r="I294" s="49" t="s">
        <v>3313</v>
      </c>
      <c r="J294" s="6"/>
      <c r="K294" s="49"/>
      <c r="L294" s="49"/>
      <c r="M294" s="49" t="s">
        <v>136</v>
      </c>
      <c r="N294" s="49" t="s">
        <v>89</v>
      </c>
      <c r="O294" s="49" t="s">
        <v>579</v>
      </c>
      <c r="P294" s="6" t="s">
        <v>3429</v>
      </c>
      <c r="Q294" s="49"/>
      <c r="R294" s="75" t="s">
        <v>91</v>
      </c>
      <c r="S294" s="33" t="s">
        <v>92</v>
      </c>
      <c r="T294" s="33" t="s">
        <v>93</v>
      </c>
      <c r="U294" s="78">
        <v>100</v>
      </c>
      <c r="V294" s="33" t="s">
        <v>94</v>
      </c>
      <c r="W294" s="33" t="s">
        <v>95</v>
      </c>
      <c r="X294" s="33">
        <v>2025</v>
      </c>
      <c r="Y294" s="33" t="s">
        <v>117</v>
      </c>
      <c r="Z294" s="33" t="s">
        <v>95</v>
      </c>
      <c r="AA294" s="33" t="s">
        <v>1011</v>
      </c>
      <c r="AB294" s="49" t="s">
        <v>99</v>
      </c>
      <c r="AC294" s="97" t="s">
        <v>3430</v>
      </c>
      <c r="AD294" s="79" t="s">
        <v>3431</v>
      </c>
      <c r="AE294" s="6" t="s">
        <v>3432</v>
      </c>
      <c r="AF294" s="47" t="s">
        <v>3433</v>
      </c>
      <c r="AG294" s="6" t="s">
        <v>3434</v>
      </c>
      <c r="AH294" s="6" t="s">
        <v>3435</v>
      </c>
      <c r="AI294" s="6" t="s">
        <v>3436</v>
      </c>
      <c r="AJ294" s="6" t="s">
        <v>3437</v>
      </c>
      <c r="AK294" s="54" t="s">
        <v>97</v>
      </c>
      <c r="AL294" s="39" t="s">
        <v>97</v>
      </c>
      <c r="AM294" s="5"/>
      <c r="AN294" s="5"/>
      <c r="AO294" s="5" t="s">
        <v>3438</v>
      </c>
      <c r="AP294" s="5" t="s">
        <v>3439</v>
      </c>
      <c r="AQ294" s="49" t="s">
        <v>3360</v>
      </c>
      <c r="AR294" s="20" t="s">
        <v>97</v>
      </c>
      <c r="AS294" s="20" t="s">
        <v>107</v>
      </c>
      <c r="AT294" s="20"/>
      <c r="AU294" s="24">
        <v>0.6</v>
      </c>
      <c r="AV294" s="24">
        <f t="shared" si="60"/>
        <v>0.48</v>
      </c>
      <c r="AW294" s="24">
        <f t="shared" si="61"/>
        <v>0.36</v>
      </c>
      <c r="AX294" s="25">
        <v>1E-4</v>
      </c>
      <c r="AY294" s="24">
        <v>0</v>
      </c>
      <c r="AZ294" s="24">
        <f t="shared" si="62"/>
        <v>0.54</v>
      </c>
      <c r="BA294" s="24">
        <f t="shared" si="63"/>
        <v>0.43200000000000005</v>
      </c>
      <c r="BB294" s="24">
        <f t="shared" si="64"/>
        <v>0.32400000000000001</v>
      </c>
      <c r="BC294" s="25">
        <v>1E-4</v>
      </c>
      <c r="BD294" s="24">
        <v>0</v>
      </c>
      <c r="BE294" s="34">
        <v>30</v>
      </c>
      <c r="BF294" s="34">
        <f t="shared" si="53"/>
        <v>24</v>
      </c>
      <c r="BG294" s="34">
        <f t="shared" si="54"/>
        <v>18</v>
      </c>
      <c r="BH294" s="26">
        <v>1</v>
      </c>
      <c r="BI294" s="26">
        <v>0</v>
      </c>
      <c r="BJ294" s="20"/>
      <c r="BK294" s="20"/>
      <c r="BL294" s="27"/>
      <c r="BM294" s="27" t="s">
        <v>3440</v>
      </c>
      <c r="BN294" s="26"/>
      <c r="BO294" s="34"/>
      <c r="BP294" s="34"/>
      <c r="BQ294" s="34"/>
      <c r="BR294" s="34"/>
      <c r="BS294" s="34"/>
      <c r="BT294" s="34"/>
      <c r="BU294" s="34"/>
      <c r="BV294" s="34"/>
      <c r="BW294" s="34"/>
      <c r="BX294" s="34"/>
      <c r="BY294" s="34"/>
      <c r="BZ294" s="34"/>
      <c r="CA294" s="20"/>
      <c r="CB294" s="20"/>
      <c r="CC294" s="46">
        <v>46045</v>
      </c>
      <c r="CD294" s="42" t="s">
        <v>7338</v>
      </c>
    </row>
    <row r="295" spans="1:82" s="18" customFormat="1" ht="66.75" customHeight="1" x14ac:dyDescent="0.25">
      <c r="A295" s="121">
        <v>291</v>
      </c>
      <c r="B295" s="141" t="s">
        <v>3441</v>
      </c>
      <c r="C295" s="6" t="s">
        <v>3442</v>
      </c>
      <c r="D295" s="6" t="s">
        <v>3443</v>
      </c>
      <c r="E295" s="75" t="s">
        <v>174</v>
      </c>
      <c r="F295" s="4" t="s">
        <v>81</v>
      </c>
      <c r="G295" s="33" t="s">
        <v>84</v>
      </c>
      <c r="H295" s="49" t="s">
        <v>775</v>
      </c>
      <c r="I295" s="49" t="s">
        <v>3313</v>
      </c>
      <c r="J295" s="6"/>
      <c r="K295" s="49"/>
      <c r="L295" s="49"/>
      <c r="M295" s="49" t="s">
        <v>136</v>
      </c>
      <c r="N295" s="49" t="s">
        <v>89</v>
      </c>
      <c r="O295" s="49" t="s">
        <v>579</v>
      </c>
      <c r="P295" s="6" t="s">
        <v>3122</v>
      </c>
      <c r="Q295" s="49"/>
      <c r="R295" s="75" t="s">
        <v>175</v>
      </c>
      <c r="S295" s="33" t="s">
        <v>92</v>
      </c>
      <c r="T295" s="33" t="s">
        <v>93</v>
      </c>
      <c r="U295" s="78">
        <v>100</v>
      </c>
      <c r="V295" s="33" t="s">
        <v>94</v>
      </c>
      <c r="W295" s="33" t="s">
        <v>95</v>
      </c>
      <c r="X295" s="33">
        <v>2023</v>
      </c>
      <c r="Y295" s="33" t="s">
        <v>117</v>
      </c>
      <c r="Z295" s="33" t="s">
        <v>95</v>
      </c>
      <c r="AA295" s="33" t="s">
        <v>1011</v>
      </c>
      <c r="AB295" s="49" t="s">
        <v>99</v>
      </c>
      <c r="AC295" s="79" t="s">
        <v>3444</v>
      </c>
      <c r="AD295" s="79" t="s">
        <v>3445</v>
      </c>
      <c r="AE295" s="6" t="s">
        <v>3446</v>
      </c>
      <c r="AF295" s="6" t="s">
        <v>3447</v>
      </c>
      <c r="AG295" s="6" t="s">
        <v>3448</v>
      </c>
      <c r="AH295" s="6" t="s">
        <v>3449</v>
      </c>
      <c r="AI295" s="6" t="s">
        <v>3450</v>
      </c>
      <c r="AJ295" s="6" t="s">
        <v>3451</v>
      </c>
      <c r="AK295" s="33" t="s">
        <v>97</v>
      </c>
      <c r="AL295" s="33" t="s">
        <v>97</v>
      </c>
      <c r="AM295" s="94"/>
      <c r="AN295" s="5"/>
      <c r="AO295" s="5" t="s">
        <v>3452</v>
      </c>
      <c r="AP295" s="5" t="s">
        <v>3453</v>
      </c>
      <c r="AQ295" s="6" t="s">
        <v>3360</v>
      </c>
      <c r="AR295" s="20" t="s">
        <v>97</v>
      </c>
      <c r="AS295" s="20" t="s">
        <v>107</v>
      </c>
      <c r="AT295" s="20"/>
      <c r="AU295" s="41">
        <v>0.5</v>
      </c>
      <c r="AV295" s="24">
        <f t="shared" si="60"/>
        <v>0.4</v>
      </c>
      <c r="AW295" s="24">
        <f t="shared" si="61"/>
        <v>0.3</v>
      </c>
      <c r="AX295" s="25">
        <v>1E-4</v>
      </c>
      <c r="AY295" s="24">
        <v>0</v>
      </c>
      <c r="AZ295" s="24">
        <f t="shared" si="62"/>
        <v>0.45</v>
      </c>
      <c r="BA295" s="24">
        <f t="shared" si="63"/>
        <v>0.36000000000000004</v>
      </c>
      <c r="BB295" s="24">
        <f t="shared" si="64"/>
        <v>0.27</v>
      </c>
      <c r="BC295" s="25">
        <v>1E-4</v>
      </c>
      <c r="BD295" s="24">
        <v>0</v>
      </c>
      <c r="BE295" s="34">
        <v>20</v>
      </c>
      <c r="BF295" s="34">
        <f t="shared" si="53"/>
        <v>16</v>
      </c>
      <c r="BG295" s="34">
        <f t="shared" si="54"/>
        <v>12</v>
      </c>
      <c r="BH295" s="26">
        <v>1</v>
      </c>
      <c r="BI295" s="26">
        <v>0</v>
      </c>
      <c r="BJ295" s="27">
        <v>3.9E-2</v>
      </c>
      <c r="BK295" s="27">
        <v>4.4458359423919798E-2</v>
      </c>
      <c r="BL295" s="27" t="s">
        <v>3454</v>
      </c>
      <c r="BM295" s="27" t="s">
        <v>3455</v>
      </c>
      <c r="BN295" s="26"/>
      <c r="BO295" s="34">
        <v>1</v>
      </c>
      <c r="BP295" s="34"/>
      <c r="BQ295" s="34"/>
      <c r="BR295" s="34"/>
      <c r="BS295" s="34"/>
      <c r="BT295" s="34"/>
      <c r="BU295" s="34"/>
      <c r="BV295" s="34"/>
      <c r="BW295" s="34"/>
      <c r="BX295" s="34"/>
      <c r="BY295" s="34"/>
      <c r="BZ295" s="34"/>
      <c r="CA295" s="20"/>
      <c r="CB295" s="20"/>
      <c r="CC295" s="46">
        <v>46006</v>
      </c>
      <c r="CD295" s="42" t="s">
        <v>3456</v>
      </c>
    </row>
    <row r="296" spans="1:82" s="18" customFormat="1" ht="66.75" customHeight="1" x14ac:dyDescent="0.2">
      <c r="A296" s="87">
        <v>292</v>
      </c>
      <c r="B296" s="141" t="s">
        <v>3457</v>
      </c>
      <c r="C296" s="213" t="s">
        <v>3458</v>
      </c>
      <c r="D296" s="6" t="s">
        <v>3459</v>
      </c>
      <c r="E296" s="75" t="s">
        <v>113</v>
      </c>
      <c r="F296" s="4" t="s">
        <v>81</v>
      </c>
      <c r="G296" s="33" t="s">
        <v>84</v>
      </c>
      <c r="H296" s="49" t="s">
        <v>775</v>
      </c>
      <c r="I296" s="49" t="s">
        <v>3313</v>
      </c>
      <c r="J296" s="6"/>
      <c r="K296" s="49"/>
      <c r="L296" s="49"/>
      <c r="M296" s="49" t="s">
        <v>136</v>
      </c>
      <c r="N296" s="49" t="s">
        <v>89</v>
      </c>
      <c r="O296" s="49" t="s">
        <v>579</v>
      </c>
      <c r="P296" s="6" t="s">
        <v>3122</v>
      </c>
      <c r="Q296" s="49"/>
      <c r="R296" s="75" t="s">
        <v>91</v>
      </c>
      <c r="S296" s="33" t="s">
        <v>92</v>
      </c>
      <c r="T296" s="33" t="s">
        <v>93</v>
      </c>
      <c r="U296" s="78">
        <v>100</v>
      </c>
      <c r="V296" s="33" t="s">
        <v>94</v>
      </c>
      <c r="W296" s="33" t="s">
        <v>95</v>
      </c>
      <c r="X296" s="33">
        <v>2025</v>
      </c>
      <c r="Y296" s="33" t="s">
        <v>117</v>
      </c>
      <c r="Z296" s="33" t="s">
        <v>95</v>
      </c>
      <c r="AA296" s="33" t="s">
        <v>1011</v>
      </c>
      <c r="AB296" s="49" t="s">
        <v>99</v>
      </c>
      <c r="AC296" s="202" t="s">
        <v>3460</v>
      </c>
      <c r="AD296" s="201" t="s">
        <v>3461</v>
      </c>
      <c r="AE296" s="6" t="s">
        <v>3462</v>
      </c>
      <c r="AF296" s="204" t="s">
        <v>3463</v>
      </c>
      <c r="AG296" s="49" t="s">
        <v>218</v>
      </c>
      <c r="AH296" s="49" t="s">
        <v>218</v>
      </c>
      <c r="AI296" s="6" t="s">
        <v>3464</v>
      </c>
      <c r="AJ296" s="6" t="s">
        <v>3465</v>
      </c>
      <c r="AK296" s="33" t="s">
        <v>97</v>
      </c>
      <c r="AL296" s="33" t="s">
        <v>97</v>
      </c>
      <c r="AM296" s="6" t="s">
        <v>3466</v>
      </c>
      <c r="AN296" s="5"/>
      <c r="AO296" s="5" t="s">
        <v>3467</v>
      </c>
      <c r="AP296" s="5" t="s">
        <v>3468</v>
      </c>
      <c r="AQ296" s="49" t="s">
        <v>3360</v>
      </c>
      <c r="AR296" s="20" t="s">
        <v>97</v>
      </c>
      <c r="AS296" s="20" t="s">
        <v>107</v>
      </c>
      <c r="AT296" s="20"/>
      <c r="AU296" s="24">
        <v>0.7</v>
      </c>
      <c r="AV296" s="24">
        <f t="shared" si="60"/>
        <v>0.55999999999999994</v>
      </c>
      <c r="AW296" s="24">
        <f t="shared" si="61"/>
        <v>0.42</v>
      </c>
      <c r="AX296" s="25">
        <v>1E-4</v>
      </c>
      <c r="AY296" s="24">
        <v>0</v>
      </c>
      <c r="AZ296" s="24">
        <f t="shared" si="62"/>
        <v>0.63</v>
      </c>
      <c r="BA296" s="24">
        <f t="shared" si="63"/>
        <v>0.504</v>
      </c>
      <c r="BB296" s="24">
        <f t="shared" si="64"/>
        <v>0.378</v>
      </c>
      <c r="BC296" s="25">
        <v>1E-4</v>
      </c>
      <c r="BD296" s="24">
        <v>0</v>
      </c>
      <c r="BE296" s="26">
        <v>0</v>
      </c>
      <c r="BF296" s="34">
        <f t="shared" si="53"/>
        <v>0</v>
      </c>
      <c r="BG296" s="34">
        <f t="shared" si="54"/>
        <v>0</v>
      </c>
      <c r="BH296" s="26">
        <v>0</v>
      </c>
      <c r="BI296" s="26">
        <v>0</v>
      </c>
      <c r="BJ296" s="27"/>
      <c r="BK296" s="27"/>
      <c r="BL296" s="27"/>
      <c r="BM296" s="27" t="s">
        <v>1176</v>
      </c>
      <c r="BN296" s="26"/>
      <c r="BO296" s="34">
        <v>1</v>
      </c>
      <c r="BP296" s="34"/>
      <c r="BQ296" s="34"/>
      <c r="BR296" s="34"/>
      <c r="BS296" s="34"/>
      <c r="BT296" s="34"/>
      <c r="BU296" s="34"/>
      <c r="BV296" s="34"/>
      <c r="BW296" s="34"/>
      <c r="BX296" s="34"/>
      <c r="BY296" s="34"/>
      <c r="BZ296" s="34"/>
      <c r="CA296" s="20"/>
      <c r="CB296" s="20"/>
      <c r="CC296" s="46">
        <v>46045</v>
      </c>
      <c r="CD296" s="42" t="s">
        <v>7339</v>
      </c>
    </row>
    <row r="297" spans="1:82" s="18" customFormat="1" ht="66.75" customHeight="1" x14ac:dyDescent="0.25">
      <c r="A297" s="87">
        <v>293</v>
      </c>
      <c r="B297" s="141" t="s">
        <v>3469</v>
      </c>
      <c r="C297" s="6" t="s">
        <v>3470</v>
      </c>
      <c r="D297" s="6" t="s">
        <v>3471</v>
      </c>
      <c r="E297" s="75" t="s">
        <v>113</v>
      </c>
      <c r="F297" s="4" t="s">
        <v>81</v>
      </c>
      <c r="G297" s="33" t="s">
        <v>84</v>
      </c>
      <c r="H297" s="49" t="s">
        <v>775</v>
      </c>
      <c r="I297" s="49" t="s">
        <v>3313</v>
      </c>
      <c r="J297" s="6"/>
      <c r="K297" s="49"/>
      <c r="L297" s="49"/>
      <c r="M297" s="49" t="s">
        <v>136</v>
      </c>
      <c r="N297" s="49" t="s">
        <v>89</v>
      </c>
      <c r="O297" s="49" t="s">
        <v>579</v>
      </c>
      <c r="P297" s="6" t="s">
        <v>3122</v>
      </c>
      <c r="Q297" s="49"/>
      <c r="R297" s="65" t="s">
        <v>91</v>
      </c>
      <c r="S297" s="33" t="s">
        <v>92</v>
      </c>
      <c r="T297" s="33" t="s">
        <v>93</v>
      </c>
      <c r="U297" s="78">
        <v>100</v>
      </c>
      <c r="V297" s="33" t="s">
        <v>94</v>
      </c>
      <c r="W297" s="33" t="s">
        <v>95</v>
      </c>
      <c r="X297" s="33">
        <v>2025</v>
      </c>
      <c r="Y297" s="33" t="s">
        <v>117</v>
      </c>
      <c r="Z297" s="33" t="s">
        <v>95</v>
      </c>
      <c r="AA297" s="33" t="s">
        <v>1011</v>
      </c>
      <c r="AB297" s="49" t="s">
        <v>99</v>
      </c>
      <c r="AC297" s="99" t="s">
        <v>3472</v>
      </c>
      <c r="AD297" s="101" t="s">
        <v>3473</v>
      </c>
      <c r="AE297" s="47" t="s">
        <v>3474</v>
      </c>
      <c r="AF297" s="203" t="s">
        <v>3475</v>
      </c>
      <c r="AG297" s="49" t="s">
        <v>218</v>
      </c>
      <c r="AH297" s="49" t="s">
        <v>218</v>
      </c>
      <c r="AI297" s="6" t="s">
        <v>3476</v>
      </c>
      <c r="AJ297" s="6" t="s">
        <v>3477</v>
      </c>
      <c r="AK297" s="33" t="s">
        <v>97</v>
      </c>
      <c r="AL297" s="33" t="s">
        <v>97</v>
      </c>
      <c r="AM297" s="6" t="s">
        <v>3466</v>
      </c>
      <c r="AN297" s="5"/>
      <c r="AO297" s="5" t="s">
        <v>3478</v>
      </c>
      <c r="AP297" s="5" t="s">
        <v>3479</v>
      </c>
      <c r="AQ297" s="49" t="s">
        <v>3360</v>
      </c>
      <c r="AR297" s="20" t="s">
        <v>97</v>
      </c>
      <c r="AS297" s="20" t="s">
        <v>107</v>
      </c>
      <c r="AT297" s="20"/>
      <c r="AU297" s="24">
        <v>0.7</v>
      </c>
      <c r="AV297" s="24">
        <f t="shared" si="60"/>
        <v>0.55999999999999994</v>
      </c>
      <c r="AW297" s="24">
        <f t="shared" si="61"/>
        <v>0.42</v>
      </c>
      <c r="AX297" s="25">
        <v>1E-4</v>
      </c>
      <c r="AY297" s="24">
        <v>0</v>
      </c>
      <c r="AZ297" s="24">
        <f t="shared" si="62"/>
        <v>0.63</v>
      </c>
      <c r="BA297" s="24">
        <f t="shared" si="63"/>
        <v>0.504</v>
      </c>
      <c r="BB297" s="24">
        <f t="shared" si="64"/>
        <v>0.378</v>
      </c>
      <c r="BC297" s="25">
        <v>1E-4</v>
      </c>
      <c r="BD297" s="24">
        <v>0</v>
      </c>
      <c r="BE297" s="26">
        <v>0</v>
      </c>
      <c r="BF297" s="34">
        <f t="shared" si="53"/>
        <v>0</v>
      </c>
      <c r="BG297" s="34">
        <f t="shared" si="54"/>
        <v>0</v>
      </c>
      <c r="BH297" s="26">
        <v>0</v>
      </c>
      <c r="BI297" s="26">
        <v>0</v>
      </c>
      <c r="BJ297" s="27"/>
      <c r="BK297" s="27"/>
      <c r="BL297" s="27"/>
      <c r="BM297" s="27" t="s">
        <v>1176</v>
      </c>
      <c r="BN297" s="26"/>
      <c r="BO297" s="34">
        <v>1</v>
      </c>
      <c r="BP297" s="34"/>
      <c r="BQ297" s="34"/>
      <c r="BR297" s="34"/>
      <c r="BS297" s="34"/>
      <c r="BT297" s="34"/>
      <c r="BU297" s="34"/>
      <c r="BV297" s="34"/>
      <c r="BW297" s="34"/>
      <c r="BX297" s="34"/>
      <c r="BY297" s="34"/>
      <c r="BZ297" s="34"/>
      <c r="CA297" s="20"/>
      <c r="CB297" s="20"/>
      <c r="CC297" s="46">
        <v>46045</v>
      </c>
      <c r="CD297" s="42" t="s">
        <v>7340</v>
      </c>
    </row>
    <row r="298" spans="1:82" s="18" customFormat="1" ht="66.75" customHeight="1" x14ac:dyDescent="0.25">
      <c r="A298" s="121">
        <v>294</v>
      </c>
      <c r="B298" s="141" t="s">
        <v>3480</v>
      </c>
      <c r="C298" s="2" t="s">
        <v>3481</v>
      </c>
      <c r="D298" s="2" t="s">
        <v>7497</v>
      </c>
      <c r="E298" s="75" t="s">
        <v>113</v>
      </c>
      <c r="F298" s="4" t="s">
        <v>81</v>
      </c>
      <c r="G298" s="33" t="s">
        <v>84</v>
      </c>
      <c r="H298" s="49" t="s">
        <v>775</v>
      </c>
      <c r="I298" s="49" t="s">
        <v>3313</v>
      </c>
      <c r="J298" s="6"/>
      <c r="K298" s="49"/>
      <c r="L298" s="49"/>
      <c r="M298" s="49" t="s">
        <v>88</v>
      </c>
      <c r="N298" s="49" t="s">
        <v>89</v>
      </c>
      <c r="O298" s="49" t="s">
        <v>246</v>
      </c>
      <c r="P298" s="6" t="s">
        <v>3234</v>
      </c>
      <c r="Q298" s="49"/>
      <c r="R298" s="19" t="s">
        <v>91</v>
      </c>
      <c r="S298" s="33" t="s">
        <v>92</v>
      </c>
      <c r="T298" s="33" t="s">
        <v>93</v>
      </c>
      <c r="U298" s="78">
        <v>100</v>
      </c>
      <c r="V298" s="33" t="s">
        <v>94</v>
      </c>
      <c r="W298" s="33" t="s">
        <v>95</v>
      </c>
      <c r="X298" s="33">
        <v>2023</v>
      </c>
      <c r="Y298" s="33" t="s">
        <v>117</v>
      </c>
      <c r="Z298" s="33" t="s">
        <v>95</v>
      </c>
      <c r="AA298" s="33" t="s">
        <v>1011</v>
      </c>
      <c r="AB298" s="49" t="s">
        <v>99</v>
      </c>
      <c r="AC298" s="117" t="s">
        <v>7501</v>
      </c>
      <c r="AD298" s="117" t="s">
        <v>7502</v>
      </c>
      <c r="AE298" s="6" t="s">
        <v>7478</v>
      </c>
      <c r="AF298" s="14" t="s">
        <v>7511</v>
      </c>
      <c r="AG298" s="6" t="s">
        <v>3482</v>
      </c>
      <c r="AH298" s="6" t="s">
        <v>7517</v>
      </c>
      <c r="AI298" s="14" t="s">
        <v>7522</v>
      </c>
      <c r="AJ298" s="6" t="s">
        <v>7479</v>
      </c>
      <c r="AK298" s="98" t="s">
        <v>7528</v>
      </c>
      <c r="AL298" s="39" t="s">
        <v>97</v>
      </c>
      <c r="AM298" s="5" t="s">
        <v>3236</v>
      </c>
      <c r="AN298" s="5"/>
      <c r="AO298" s="5" t="s">
        <v>3483</v>
      </c>
      <c r="AP298" s="5" t="s">
        <v>3484</v>
      </c>
      <c r="AQ298" s="49" t="s">
        <v>3239</v>
      </c>
      <c r="AR298" s="20" t="s">
        <v>97</v>
      </c>
      <c r="AS298" s="20" t="s">
        <v>107</v>
      </c>
      <c r="AT298" s="20"/>
      <c r="AU298" s="24">
        <v>0.5</v>
      </c>
      <c r="AV298" s="24">
        <f t="shared" si="60"/>
        <v>0.4</v>
      </c>
      <c r="AW298" s="24">
        <f t="shared" si="61"/>
        <v>0.3</v>
      </c>
      <c r="AX298" s="25">
        <v>1E-4</v>
      </c>
      <c r="AY298" s="24">
        <v>0</v>
      </c>
      <c r="AZ298" s="24">
        <f t="shared" si="62"/>
        <v>0.45</v>
      </c>
      <c r="BA298" s="24">
        <f t="shared" si="63"/>
        <v>0.36000000000000004</v>
      </c>
      <c r="BB298" s="24">
        <f t="shared" si="64"/>
        <v>0.27</v>
      </c>
      <c r="BC298" s="25">
        <v>1E-4</v>
      </c>
      <c r="BD298" s="24">
        <v>0</v>
      </c>
      <c r="BE298" s="26">
        <v>0</v>
      </c>
      <c r="BF298" s="34">
        <f t="shared" si="53"/>
        <v>0</v>
      </c>
      <c r="BG298" s="34">
        <f t="shared" si="54"/>
        <v>0</v>
      </c>
      <c r="BH298" s="26">
        <v>0</v>
      </c>
      <c r="BI298" s="26">
        <v>0</v>
      </c>
      <c r="BJ298" s="20" t="s">
        <v>496</v>
      </c>
      <c r="BK298" s="27" t="s">
        <v>84</v>
      </c>
      <c r="BL298" s="27" t="s">
        <v>1176</v>
      </c>
      <c r="BM298" s="27" t="s">
        <v>1176</v>
      </c>
      <c r="BN298" s="26"/>
      <c r="BO298" s="34"/>
      <c r="BP298" s="34"/>
      <c r="BQ298" s="34"/>
      <c r="BR298" s="34"/>
      <c r="BS298" s="34"/>
      <c r="BT298" s="34"/>
      <c r="BU298" s="34"/>
      <c r="BV298" s="34"/>
      <c r="BW298" s="34"/>
      <c r="BX298" s="34"/>
      <c r="BY298" s="34"/>
      <c r="BZ298" s="34"/>
      <c r="CA298" s="20"/>
      <c r="CB298" s="20"/>
      <c r="CC298" s="109">
        <v>46086</v>
      </c>
      <c r="CD298" s="42" t="s">
        <v>7481</v>
      </c>
    </row>
    <row r="299" spans="1:82" s="18" customFormat="1" ht="66.75" customHeight="1" x14ac:dyDescent="0.25">
      <c r="A299" s="87">
        <v>295</v>
      </c>
      <c r="B299" s="141" t="s">
        <v>3485</v>
      </c>
      <c r="C299" s="6" t="s">
        <v>7476</v>
      </c>
      <c r="D299" s="6" t="s">
        <v>7477</v>
      </c>
      <c r="E299" s="75" t="s">
        <v>113</v>
      </c>
      <c r="F299" s="4" t="s">
        <v>81</v>
      </c>
      <c r="G299" s="33">
        <v>117</v>
      </c>
      <c r="H299" s="49" t="s">
        <v>775</v>
      </c>
      <c r="I299" s="49" t="s">
        <v>3313</v>
      </c>
      <c r="J299" s="6"/>
      <c r="K299" s="49"/>
      <c r="L299" s="49"/>
      <c r="M299" s="49" t="s">
        <v>136</v>
      </c>
      <c r="N299" s="49" t="s">
        <v>245</v>
      </c>
      <c r="O299" s="49" t="s">
        <v>246</v>
      </c>
      <c r="P299" s="6" t="s">
        <v>3244</v>
      </c>
      <c r="Q299" s="49"/>
      <c r="R299" s="75" t="s">
        <v>175</v>
      </c>
      <c r="S299" s="33" t="s">
        <v>92</v>
      </c>
      <c r="T299" s="33" t="s">
        <v>93</v>
      </c>
      <c r="U299" s="78">
        <v>100</v>
      </c>
      <c r="V299" s="33" t="s">
        <v>94</v>
      </c>
      <c r="W299" s="33" t="s">
        <v>95</v>
      </c>
      <c r="X299" s="33">
        <v>2023</v>
      </c>
      <c r="Y299" s="33" t="s">
        <v>117</v>
      </c>
      <c r="Z299" s="33" t="s">
        <v>95</v>
      </c>
      <c r="AA299" s="33" t="s">
        <v>1011</v>
      </c>
      <c r="AB299" s="49" t="s">
        <v>99</v>
      </c>
      <c r="AC299" s="48" t="s">
        <v>7504</v>
      </c>
      <c r="AD299" s="117" t="s">
        <v>7503</v>
      </c>
      <c r="AE299" s="6" t="s">
        <v>7512</v>
      </c>
      <c r="AF299" s="14" t="s">
        <v>7513</v>
      </c>
      <c r="AG299" s="49" t="s">
        <v>178</v>
      </c>
      <c r="AH299" s="49" t="s">
        <v>178</v>
      </c>
      <c r="AI299" s="6" t="s">
        <v>7523</v>
      </c>
      <c r="AJ299" s="14" t="s">
        <v>7524</v>
      </c>
      <c r="AK299" s="98" t="s">
        <v>7528</v>
      </c>
      <c r="AL299" s="39" t="s">
        <v>97</v>
      </c>
      <c r="AM299" s="6" t="s">
        <v>3250</v>
      </c>
      <c r="AN299" s="5"/>
      <c r="AO299" s="5" t="s">
        <v>3486</v>
      </c>
      <c r="AP299" s="5" t="s">
        <v>3484</v>
      </c>
      <c r="AQ299" s="49" t="s">
        <v>3239</v>
      </c>
      <c r="AR299" s="20" t="s">
        <v>97</v>
      </c>
      <c r="AS299" s="20" t="s">
        <v>107</v>
      </c>
      <c r="AT299" s="20"/>
      <c r="AU299" s="24">
        <v>0.8</v>
      </c>
      <c r="AV299" s="24">
        <f t="shared" si="60"/>
        <v>0.64000000000000012</v>
      </c>
      <c r="AW299" s="24">
        <f t="shared" si="61"/>
        <v>0.48</v>
      </c>
      <c r="AX299" s="25">
        <v>1E-4</v>
      </c>
      <c r="AY299" s="24">
        <v>0</v>
      </c>
      <c r="AZ299" s="24">
        <f t="shared" si="62"/>
        <v>0.72000000000000008</v>
      </c>
      <c r="BA299" s="24">
        <f t="shared" si="63"/>
        <v>0.57600000000000007</v>
      </c>
      <c r="BB299" s="24">
        <f t="shared" si="64"/>
        <v>0.43200000000000005</v>
      </c>
      <c r="BC299" s="25">
        <v>1E-4</v>
      </c>
      <c r="BD299" s="24">
        <v>0</v>
      </c>
      <c r="BE299" s="26">
        <v>0</v>
      </c>
      <c r="BF299" s="34">
        <f t="shared" si="53"/>
        <v>0</v>
      </c>
      <c r="BG299" s="34">
        <f t="shared" si="54"/>
        <v>0</v>
      </c>
      <c r="BH299" s="26">
        <v>0</v>
      </c>
      <c r="BI299" s="26">
        <v>0</v>
      </c>
      <c r="BJ299" s="27">
        <v>0.60888888888888892</v>
      </c>
      <c r="BK299" s="27" t="s">
        <v>84</v>
      </c>
      <c r="BL299" s="27" t="s">
        <v>1176</v>
      </c>
      <c r="BM299" s="27" t="s">
        <v>1176</v>
      </c>
      <c r="BN299" s="26"/>
      <c r="BO299" s="34">
        <v>1</v>
      </c>
      <c r="BP299" s="34"/>
      <c r="BQ299" s="34"/>
      <c r="BR299" s="34"/>
      <c r="BS299" s="34"/>
      <c r="BT299" s="34"/>
      <c r="BU299" s="34"/>
      <c r="BV299" s="34">
        <v>1</v>
      </c>
      <c r="BW299" s="34"/>
      <c r="BX299" s="34"/>
      <c r="BY299" s="34"/>
      <c r="BZ299" s="34"/>
      <c r="CA299" s="20"/>
      <c r="CB299" s="20"/>
      <c r="CC299" s="109">
        <v>46086</v>
      </c>
      <c r="CD299" s="42" t="s">
        <v>7482</v>
      </c>
    </row>
    <row r="300" spans="1:82" s="18" customFormat="1" ht="66.75" customHeight="1" x14ac:dyDescent="0.25">
      <c r="A300" s="87">
        <v>296</v>
      </c>
      <c r="B300" s="141" t="s">
        <v>3487</v>
      </c>
      <c r="C300" s="6" t="s">
        <v>3488</v>
      </c>
      <c r="D300" s="6" t="s">
        <v>3489</v>
      </c>
      <c r="E300" s="75" t="s">
        <v>174</v>
      </c>
      <c r="F300" s="4" t="s">
        <v>81</v>
      </c>
      <c r="G300" s="33" t="s">
        <v>84</v>
      </c>
      <c r="H300" s="49" t="s">
        <v>775</v>
      </c>
      <c r="I300" s="49" t="s">
        <v>3328</v>
      </c>
      <c r="J300" s="6"/>
      <c r="K300" s="49"/>
      <c r="L300" s="49"/>
      <c r="M300" s="49" t="s">
        <v>88</v>
      </c>
      <c r="N300" s="49" t="s">
        <v>89</v>
      </c>
      <c r="O300" s="49" t="s">
        <v>579</v>
      </c>
      <c r="P300" s="6" t="s">
        <v>3122</v>
      </c>
      <c r="Q300" s="49"/>
      <c r="R300" s="75" t="s">
        <v>91</v>
      </c>
      <c r="S300" s="33" t="s">
        <v>92</v>
      </c>
      <c r="T300" s="33" t="s">
        <v>93</v>
      </c>
      <c r="U300" s="78">
        <v>100</v>
      </c>
      <c r="V300" s="33" t="s">
        <v>94</v>
      </c>
      <c r="W300" s="33" t="s">
        <v>95</v>
      </c>
      <c r="X300" s="33">
        <v>2022</v>
      </c>
      <c r="Y300" s="33" t="s">
        <v>117</v>
      </c>
      <c r="Z300" s="33" t="s">
        <v>95</v>
      </c>
      <c r="AA300" s="33" t="s">
        <v>98</v>
      </c>
      <c r="AB300" s="49" t="s">
        <v>99</v>
      </c>
      <c r="AC300" s="97" t="s">
        <v>3490</v>
      </c>
      <c r="AD300" s="79" t="s">
        <v>3491</v>
      </c>
      <c r="AE300" s="6" t="s">
        <v>3492</v>
      </c>
      <c r="AF300" s="6" t="s">
        <v>3493</v>
      </c>
      <c r="AG300" s="6" t="s">
        <v>1042</v>
      </c>
      <c r="AH300" s="6" t="s">
        <v>3494</v>
      </c>
      <c r="AI300" s="6" t="s">
        <v>3495</v>
      </c>
      <c r="AJ300" s="6" t="s">
        <v>3496</v>
      </c>
      <c r="AK300" s="33" t="s">
        <v>97</v>
      </c>
      <c r="AL300" s="33" t="s">
        <v>97</v>
      </c>
      <c r="AM300" s="5"/>
      <c r="AN300" s="5"/>
      <c r="AO300" s="96" t="s">
        <v>3497</v>
      </c>
      <c r="AP300" s="96" t="s">
        <v>3498</v>
      </c>
      <c r="AQ300" s="75" t="s">
        <v>3328</v>
      </c>
      <c r="AR300" s="20" t="s">
        <v>97</v>
      </c>
      <c r="AS300" s="20" t="s">
        <v>107</v>
      </c>
      <c r="AT300" s="20"/>
      <c r="AU300" s="24">
        <v>0.7</v>
      </c>
      <c r="AV300" s="24">
        <f t="shared" si="60"/>
        <v>0.55999999999999994</v>
      </c>
      <c r="AW300" s="24">
        <f t="shared" si="61"/>
        <v>0.42</v>
      </c>
      <c r="AX300" s="25">
        <v>1E-4</v>
      </c>
      <c r="AY300" s="24">
        <v>0</v>
      </c>
      <c r="AZ300" s="24">
        <f t="shared" si="62"/>
        <v>0.63</v>
      </c>
      <c r="BA300" s="24">
        <f t="shared" si="63"/>
        <v>0.504</v>
      </c>
      <c r="BB300" s="24">
        <f t="shared" si="64"/>
        <v>0.378</v>
      </c>
      <c r="BC300" s="25">
        <v>1E-4</v>
      </c>
      <c r="BD300" s="24">
        <v>0</v>
      </c>
      <c r="BE300" s="34">
        <v>20</v>
      </c>
      <c r="BF300" s="34">
        <f t="shared" si="53"/>
        <v>16</v>
      </c>
      <c r="BG300" s="34">
        <f t="shared" si="54"/>
        <v>12</v>
      </c>
      <c r="BH300" s="26">
        <v>1</v>
      </c>
      <c r="BI300" s="26">
        <v>0</v>
      </c>
      <c r="BJ300" s="27" t="s">
        <v>1176</v>
      </c>
      <c r="BK300" s="27">
        <v>0.65979381443298968</v>
      </c>
      <c r="BL300" s="27" t="s">
        <v>3499</v>
      </c>
      <c r="BM300" s="27" t="s">
        <v>3500</v>
      </c>
      <c r="BN300" s="26"/>
      <c r="BO300" s="34"/>
      <c r="BP300" s="34"/>
      <c r="BQ300" s="34"/>
      <c r="BR300" s="34"/>
      <c r="BS300" s="34"/>
      <c r="BT300" s="34"/>
      <c r="BU300" s="34"/>
      <c r="BV300" s="34"/>
      <c r="BW300" s="34"/>
      <c r="BX300" s="34"/>
      <c r="BY300" s="34"/>
      <c r="BZ300" s="34">
        <v>1</v>
      </c>
      <c r="CA300" s="20" t="s">
        <v>3036</v>
      </c>
      <c r="CB300" s="20" t="s">
        <v>3036</v>
      </c>
      <c r="CC300" s="46">
        <v>45721</v>
      </c>
      <c r="CD300" s="42" t="s">
        <v>3501</v>
      </c>
    </row>
    <row r="301" spans="1:82" s="18" customFormat="1" ht="66.75" customHeight="1" x14ac:dyDescent="0.25">
      <c r="A301" s="121">
        <v>297</v>
      </c>
      <c r="B301" s="141" t="s">
        <v>3502</v>
      </c>
      <c r="C301" s="6" t="s">
        <v>3503</v>
      </c>
      <c r="D301" s="6" t="s">
        <v>3504</v>
      </c>
      <c r="E301" s="75" t="s">
        <v>113</v>
      </c>
      <c r="F301" s="4" t="s">
        <v>81</v>
      </c>
      <c r="G301" s="33" t="s">
        <v>84</v>
      </c>
      <c r="H301" s="49" t="s">
        <v>775</v>
      </c>
      <c r="I301" s="49" t="s">
        <v>3328</v>
      </c>
      <c r="J301" s="6"/>
      <c r="K301" s="49"/>
      <c r="L301" s="49"/>
      <c r="M301" s="49" t="s">
        <v>136</v>
      </c>
      <c r="N301" s="49" t="s">
        <v>89</v>
      </c>
      <c r="O301" s="49" t="s">
        <v>579</v>
      </c>
      <c r="P301" s="6" t="s">
        <v>3122</v>
      </c>
      <c r="Q301" s="49"/>
      <c r="R301" s="75" t="s">
        <v>175</v>
      </c>
      <c r="S301" s="33" t="s">
        <v>92</v>
      </c>
      <c r="T301" s="33" t="s">
        <v>93</v>
      </c>
      <c r="U301" s="78">
        <v>100</v>
      </c>
      <c r="V301" s="33" t="s">
        <v>94</v>
      </c>
      <c r="W301" s="33" t="s">
        <v>95</v>
      </c>
      <c r="X301" s="33">
        <v>2025</v>
      </c>
      <c r="Y301" s="33" t="s">
        <v>117</v>
      </c>
      <c r="Z301" s="33" t="s">
        <v>95</v>
      </c>
      <c r="AA301" s="33" t="s">
        <v>98</v>
      </c>
      <c r="AB301" s="49" t="s">
        <v>99</v>
      </c>
      <c r="AC301" s="48" t="s">
        <v>3505</v>
      </c>
      <c r="AD301" s="48" t="s">
        <v>3506</v>
      </c>
      <c r="AE301" s="6" t="s">
        <v>3507</v>
      </c>
      <c r="AF301" s="6" t="s">
        <v>3508</v>
      </c>
      <c r="AG301" s="6" t="s">
        <v>218</v>
      </c>
      <c r="AH301" s="6" t="s">
        <v>218</v>
      </c>
      <c r="AI301" s="6" t="s">
        <v>3509</v>
      </c>
      <c r="AJ301" s="6" t="s">
        <v>3510</v>
      </c>
      <c r="AK301" s="33" t="s">
        <v>97</v>
      </c>
      <c r="AL301" s="33" t="s">
        <v>97</v>
      </c>
      <c r="AM301" s="5"/>
      <c r="AN301" s="5" t="s">
        <v>470</v>
      </c>
      <c r="AO301" s="5" t="s">
        <v>3511</v>
      </c>
      <c r="AP301" s="5" t="s">
        <v>3512</v>
      </c>
      <c r="AQ301" s="75" t="s">
        <v>3328</v>
      </c>
      <c r="AR301" s="20" t="s">
        <v>97</v>
      </c>
      <c r="AS301" s="20" t="s">
        <v>107</v>
      </c>
      <c r="AT301" s="20"/>
      <c r="AU301" s="24">
        <v>0.8</v>
      </c>
      <c r="AV301" s="24">
        <f t="shared" si="60"/>
        <v>0.64000000000000012</v>
      </c>
      <c r="AW301" s="24">
        <f t="shared" si="61"/>
        <v>0.48</v>
      </c>
      <c r="AX301" s="25">
        <v>1E-4</v>
      </c>
      <c r="AY301" s="24">
        <v>0</v>
      </c>
      <c r="AZ301" s="24">
        <f t="shared" si="62"/>
        <v>0.72000000000000008</v>
      </c>
      <c r="BA301" s="24">
        <f t="shared" si="63"/>
        <v>0.57600000000000007</v>
      </c>
      <c r="BB301" s="24">
        <f t="shared" si="64"/>
        <v>0.43200000000000005</v>
      </c>
      <c r="BC301" s="25">
        <v>1E-4</v>
      </c>
      <c r="BD301" s="24">
        <v>0</v>
      </c>
      <c r="BE301" s="26">
        <v>0</v>
      </c>
      <c r="BF301" s="34">
        <f t="shared" si="53"/>
        <v>0</v>
      </c>
      <c r="BG301" s="34">
        <f t="shared" si="54"/>
        <v>0</v>
      </c>
      <c r="BH301" s="26">
        <v>0</v>
      </c>
      <c r="BI301" s="26">
        <v>0</v>
      </c>
      <c r="BJ301" s="20" t="s">
        <v>496</v>
      </c>
      <c r="BK301" s="27">
        <v>0.78350515463917525</v>
      </c>
      <c r="BL301" s="27" t="s">
        <v>3513</v>
      </c>
      <c r="BM301" s="27" t="s">
        <v>3003</v>
      </c>
      <c r="BN301" s="26"/>
      <c r="BO301" s="34"/>
      <c r="BP301" s="34"/>
      <c r="BQ301" s="34"/>
      <c r="BR301" s="34"/>
      <c r="BS301" s="34"/>
      <c r="BT301" s="34"/>
      <c r="BU301" s="34"/>
      <c r="BV301" s="34"/>
      <c r="BW301" s="34"/>
      <c r="BX301" s="34"/>
      <c r="BY301" s="34"/>
      <c r="BZ301" s="34"/>
      <c r="CA301" s="20"/>
      <c r="CB301" s="19"/>
      <c r="CC301" s="46">
        <v>46006</v>
      </c>
      <c r="CD301" s="21" t="s">
        <v>3514</v>
      </c>
    </row>
    <row r="302" spans="1:82" s="116" customFormat="1" ht="74.25" customHeight="1" x14ac:dyDescent="0.25">
      <c r="A302" s="87">
        <v>298</v>
      </c>
      <c r="B302" s="141" t="s">
        <v>3515</v>
      </c>
      <c r="C302" s="6" t="s">
        <v>7447</v>
      </c>
      <c r="D302" s="6" t="s">
        <v>3516</v>
      </c>
      <c r="E302" s="75" t="s">
        <v>113</v>
      </c>
      <c r="F302" s="4" t="s">
        <v>81</v>
      </c>
      <c r="G302" s="54" t="s">
        <v>84</v>
      </c>
      <c r="H302" s="37" t="s">
        <v>775</v>
      </c>
      <c r="I302" s="37" t="s">
        <v>3328</v>
      </c>
      <c r="J302" s="14"/>
      <c r="K302" s="37"/>
      <c r="L302" s="37"/>
      <c r="M302" s="37" t="s">
        <v>136</v>
      </c>
      <c r="N302" s="37" t="s">
        <v>89</v>
      </c>
      <c r="O302" s="37" t="s">
        <v>579</v>
      </c>
      <c r="P302" s="14" t="s">
        <v>3122</v>
      </c>
      <c r="Q302" s="37"/>
      <c r="R302" s="65" t="s">
        <v>175</v>
      </c>
      <c r="S302" s="33" t="s">
        <v>92</v>
      </c>
      <c r="T302" s="54" t="s">
        <v>93</v>
      </c>
      <c r="U302" s="114">
        <v>100</v>
      </c>
      <c r="V302" s="54" t="s">
        <v>94</v>
      </c>
      <c r="W302" s="54" t="s">
        <v>95</v>
      </c>
      <c r="X302" s="54">
        <v>2025</v>
      </c>
      <c r="Y302" s="54" t="s">
        <v>117</v>
      </c>
      <c r="Z302" s="54" t="s">
        <v>95</v>
      </c>
      <c r="AA302" s="54" t="s">
        <v>98</v>
      </c>
      <c r="AB302" s="37" t="s">
        <v>99</v>
      </c>
      <c r="AC302" s="115" t="s">
        <v>3517</v>
      </c>
      <c r="AD302" s="115" t="s">
        <v>3518</v>
      </c>
      <c r="AE302" s="37" t="s">
        <v>3507</v>
      </c>
      <c r="AF302" s="37" t="s">
        <v>3519</v>
      </c>
      <c r="AG302" s="37" t="s">
        <v>1042</v>
      </c>
      <c r="AH302" s="37" t="s">
        <v>3113</v>
      </c>
      <c r="AI302" s="37" t="s">
        <v>3509</v>
      </c>
      <c r="AJ302" s="37" t="s">
        <v>3520</v>
      </c>
      <c r="AK302" s="54" t="s">
        <v>97</v>
      </c>
      <c r="AL302" s="54" t="s">
        <v>97</v>
      </c>
      <c r="AM302" s="39"/>
      <c r="AN302" s="39" t="s">
        <v>470</v>
      </c>
      <c r="AO302" s="39" t="s">
        <v>3521</v>
      </c>
      <c r="AP302" s="39" t="s">
        <v>3522</v>
      </c>
      <c r="AQ302" s="65" t="s">
        <v>3328</v>
      </c>
      <c r="AR302" s="54" t="s">
        <v>97</v>
      </c>
      <c r="AS302" s="20" t="s">
        <v>107</v>
      </c>
      <c r="AT302" s="54"/>
      <c r="AU302" s="41">
        <v>0.8</v>
      </c>
      <c r="AV302" s="41">
        <f t="shared" si="60"/>
        <v>0.64000000000000012</v>
      </c>
      <c r="AW302" s="41">
        <f t="shared" si="61"/>
        <v>0.48</v>
      </c>
      <c r="AX302" s="62">
        <v>1E-4</v>
      </c>
      <c r="AY302" s="41">
        <v>0</v>
      </c>
      <c r="AZ302" s="41">
        <f t="shared" si="62"/>
        <v>0.72000000000000008</v>
      </c>
      <c r="BA302" s="41">
        <f t="shared" si="63"/>
        <v>0.57600000000000007</v>
      </c>
      <c r="BB302" s="41">
        <f t="shared" si="64"/>
        <v>0.43200000000000005</v>
      </c>
      <c r="BC302" s="62">
        <v>1E-4</v>
      </c>
      <c r="BD302" s="41">
        <v>0</v>
      </c>
      <c r="BE302" s="26">
        <v>0</v>
      </c>
      <c r="BF302" s="34">
        <f t="shared" si="53"/>
        <v>0</v>
      </c>
      <c r="BG302" s="34">
        <f t="shared" si="54"/>
        <v>0</v>
      </c>
      <c r="BH302" s="26">
        <v>0</v>
      </c>
      <c r="BI302" s="26">
        <v>0</v>
      </c>
      <c r="BJ302" s="54" t="s">
        <v>496</v>
      </c>
      <c r="BK302" s="80">
        <v>0.78350515463917525</v>
      </c>
      <c r="BL302" s="80" t="s">
        <v>3513</v>
      </c>
      <c r="BM302" s="80" t="s">
        <v>1176</v>
      </c>
      <c r="BN302" s="26"/>
      <c r="BO302" s="34"/>
      <c r="BP302" s="34"/>
      <c r="BQ302" s="34"/>
      <c r="BR302" s="34"/>
      <c r="BS302" s="34"/>
      <c r="BT302" s="34"/>
      <c r="BU302" s="34"/>
      <c r="BV302" s="34"/>
      <c r="BW302" s="34"/>
      <c r="BX302" s="34"/>
      <c r="BY302" s="34"/>
      <c r="BZ302" s="34"/>
      <c r="CA302" s="20"/>
      <c r="CB302" s="65"/>
      <c r="CC302" s="217">
        <v>46006</v>
      </c>
      <c r="CD302" s="75" t="s">
        <v>3523</v>
      </c>
    </row>
    <row r="303" spans="1:82" s="18" customFormat="1" ht="66.75" customHeight="1" x14ac:dyDescent="0.25">
      <c r="A303" s="87">
        <v>299</v>
      </c>
      <c r="B303" s="141" t="s">
        <v>3524</v>
      </c>
      <c r="C303" s="6" t="s">
        <v>3525</v>
      </c>
      <c r="D303" s="6" t="s">
        <v>7492</v>
      </c>
      <c r="E303" s="75" t="s">
        <v>113</v>
      </c>
      <c r="F303" s="4" t="s">
        <v>81</v>
      </c>
      <c r="G303" s="33" t="s">
        <v>84</v>
      </c>
      <c r="H303" s="49" t="s">
        <v>775</v>
      </c>
      <c r="I303" s="49" t="s">
        <v>3328</v>
      </c>
      <c r="J303" s="6"/>
      <c r="K303" s="49"/>
      <c r="L303" s="49"/>
      <c r="M303" s="49" t="s">
        <v>88</v>
      </c>
      <c r="N303" s="49" t="s">
        <v>89</v>
      </c>
      <c r="O303" s="49" t="s">
        <v>2688</v>
      </c>
      <c r="P303" s="6" t="s">
        <v>3234</v>
      </c>
      <c r="Q303" s="49"/>
      <c r="R303" s="75" t="s">
        <v>91</v>
      </c>
      <c r="S303" s="33" t="s">
        <v>92</v>
      </c>
      <c r="T303" s="33" t="s">
        <v>93</v>
      </c>
      <c r="U303" s="78">
        <v>100</v>
      </c>
      <c r="V303" s="33" t="s">
        <v>94</v>
      </c>
      <c r="W303" s="33" t="s">
        <v>95</v>
      </c>
      <c r="X303" s="33">
        <v>2023</v>
      </c>
      <c r="Y303" s="33" t="s">
        <v>117</v>
      </c>
      <c r="Z303" s="33" t="s">
        <v>95</v>
      </c>
      <c r="AA303" s="33" t="s">
        <v>98</v>
      </c>
      <c r="AB303" s="49" t="s">
        <v>99</v>
      </c>
      <c r="AC303" s="117" t="s">
        <v>7505</v>
      </c>
      <c r="AD303" s="117" t="s">
        <v>7506</v>
      </c>
      <c r="AE303" s="6" t="s">
        <v>7486</v>
      </c>
      <c r="AF303" s="6" t="s">
        <v>7514</v>
      </c>
      <c r="AG303" s="49" t="s">
        <v>218</v>
      </c>
      <c r="AH303" s="14" t="s">
        <v>7518</v>
      </c>
      <c r="AI303" s="6" t="s">
        <v>7525</v>
      </c>
      <c r="AJ303" s="6" t="s">
        <v>7488</v>
      </c>
      <c r="AK303" s="98" t="s">
        <v>7528</v>
      </c>
      <c r="AL303" s="39" t="s">
        <v>97</v>
      </c>
      <c r="AM303" s="5" t="s">
        <v>3236</v>
      </c>
      <c r="AN303" s="5"/>
      <c r="AO303" s="5" t="s">
        <v>3526</v>
      </c>
      <c r="AP303" s="5" t="s">
        <v>3527</v>
      </c>
      <c r="AQ303" s="75" t="s">
        <v>3239</v>
      </c>
      <c r="AR303" s="20" t="s">
        <v>97</v>
      </c>
      <c r="AS303" s="20" t="s">
        <v>107</v>
      </c>
      <c r="AT303" s="20"/>
      <c r="AU303" s="24">
        <v>0.5</v>
      </c>
      <c r="AV303" s="24">
        <f t="shared" si="60"/>
        <v>0.4</v>
      </c>
      <c r="AW303" s="24">
        <f t="shared" si="61"/>
        <v>0.3</v>
      </c>
      <c r="AX303" s="25">
        <v>1E-4</v>
      </c>
      <c r="AY303" s="24">
        <v>0</v>
      </c>
      <c r="AZ303" s="24">
        <f t="shared" si="62"/>
        <v>0.45</v>
      </c>
      <c r="BA303" s="24">
        <f t="shared" si="63"/>
        <v>0.36000000000000004</v>
      </c>
      <c r="BB303" s="24">
        <f t="shared" si="64"/>
        <v>0.27</v>
      </c>
      <c r="BC303" s="25">
        <v>1E-4</v>
      </c>
      <c r="BD303" s="24">
        <v>0</v>
      </c>
      <c r="BE303" s="26">
        <v>0</v>
      </c>
      <c r="BF303" s="34">
        <f t="shared" si="53"/>
        <v>0</v>
      </c>
      <c r="BG303" s="34">
        <f t="shared" si="54"/>
        <v>0</v>
      </c>
      <c r="BH303" s="26">
        <v>0</v>
      </c>
      <c r="BI303" s="26">
        <v>0</v>
      </c>
      <c r="BJ303" s="20" t="s">
        <v>496</v>
      </c>
      <c r="BK303" s="27" t="s">
        <v>84</v>
      </c>
      <c r="BL303" s="27" t="s">
        <v>1176</v>
      </c>
      <c r="BM303" s="27" t="s">
        <v>1176</v>
      </c>
      <c r="BN303" s="26"/>
      <c r="BO303" s="34"/>
      <c r="BP303" s="34"/>
      <c r="BQ303" s="34"/>
      <c r="BR303" s="34"/>
      <c r="BS303" s="34"/>
      <c r="BT303" s="34"/>
      <c r="BU303" s="34"/>
      <c r="BV303" s="34"/>
      <c r="BW303" s="34"/>
      <c r="BX303" s="34"/>
      <c r="BY303" s="34"/>
      <c r="BZ303" s="34"/>
      <c r="CA303" s="20"/>
      <c r="CB303" s="20"/>
      <c r="CC303" s="109">
        <v>46086</v>
      </c>
      <c r="CD303" s="42" t="s">
        <v>7489</v>
      </c>
    </row>
    <row r="304" spans="1:82" s="18" customFormat="1" ht="66.75" customHeight="1" x14ac:dyDescent="0.25">
      <c r="A304" s="121">
        <v>300</v>
      </c>
      <c r="B304" s="141" t="s">
        <v>3528</v>
      </c>
      <c r="C304" s="6" t="s">
        <v>3529</v>
      </c>
      <c r="D304" s="6" t="s">
        <v>3530</v>
      </c>
      <c r="E304" s="75" t="s">
        <v>113</v>
      </c>
      <c r="F304" s="4" t="s">
        <v>81</v>
      </c>
      <c r="G304" s="33">
        <v>163</v>
      </c>
      <c r="H304" s="49" t="s">
        <v>775</v>
      </c>
      <c r="I304" s="49" t="s">
        <v>3531</v>
      </c>
      <c r="J304" s="6"/>
      <c r="K304" s="49"/>
      <c r="L304" s="49"/>
      <c r="M304" s="49" t="s">
        <v>136</v>
      </c>
      <c r="N304" s="49" t="s">
        <v>89</v>
      </c>
      <c r="O304" s="49" t="s">
        <v>87</v>
      </c>
      <c r="P304" s="6" t="s">
        <v>3532</v>
      </c>
      <c r="Q304" s="49"/>
      <c r="R304" s="75" t="s">
        <v>91</v>
      </c>
      <c r="S304" s="33" t="s">
        <v>92</v>
      </c>
      <c r="T304" s="33" t="s">
        <v>93</v>
      </c>
      <c r="U304" s="78">
        <v>100</v>
      </c>
      <c r="V304" s="33" t="s">
        <v>94</v>
      </c>
      <c r="W304" s="33" t="s">
        <v>95</v>
      </c>
      <c r="X304" s="33">
        <v>2021</v>
      </c>
      <c r="Y304" s="33" t="s">
        <v>117</v>
      </c>
      <c r="Z304" s="33" t="s">
        <v>95</v>
      </c>
      <c r="AA304" s="33" t="s">
        <v>98</v>
      </c>
      <c r="AB304" s="49" t="s">
        <v>99</v>
      </c>
      <c r="AC304" s="48" t="s">
        <v>3533</v>
      </c>
      <c r="AD304" s="48" t="s">
        <v>3534</v>
      </c>
      <c r="AE304" s="49" t="s">
        <v>3535</v>
      </c>
      <c r="AF304" s="49" t="s">
        <v>121</v>
      </c>
      <c r="AG304" s="49" t="s">
        <v>122</v>
      </c>
      <c r="AH304" s="49" t="s">
        <v>123</v>
      </c>
      <c r="AI304" s="49" t="s">
        <v>3536</v>
      </c>
      <c r="AJ304" s="49" t="s">
        <v>3537</v>
      </c>
      <c r="AK304" s="5" t="s">
        <v>97</v>
      </c>
      <c r="AL304" s="33" t="s">
        <v>97</v>
      </c>
      <c r="AM304" s="5" t="s">
        <v>3538</v>
      </c>
      <c r="AN304" s="5"/>
      <c r="AO304" s="5"/>
      <c r="AP304" s="5"/>
      <c r="AQ304" s="49" t="s">
        <v>3539</v>
      </c>
      <c r="AR304" s="20" t="s">
        <v>97</v>
      </c>
      <c r="AS304" s="20" t="s">
        <v>107</v>
      </c>
      <c r="AT304" s="20"/>
      <c r="AU304" s="24">
        <v>0.2</v>
      </c>
      <c r="AV304" s="24">
        <f t="shared" si="60"/>
        <v>0.16000000000000003</v>
      </c>
      <c r="AW304" s="24">
        <f t="shared" si="61"/>
        <v>0.12</v>
      </c>
      <c r="AX304" s="25">
        <v>1E-4</v>
      </c>
      <c r="AY304" s="24">
        <v>0</v>
      </c>
      <c r="AZ304" s="24">
        <f t="shared" si="62"/>
        <v>0.18000000000000002</v>
      </c>
      <c r="BA304" s="24">
        <f t="shared" si="63"/>
        <v>0.14400000000000002</v>
      </c>
      <c r="BB304" s="24">
        <f t="shared" si="64"/>
        <v>0.10800000000000001</v>
      </c>
      <c r="BC304" s="25">
        <v>1E-4</v>
      </c>
      <c r="BD304" s="24">
        <v>0</v>
      </c>
      <c r="BE304" s="26">
        <v>0</v>
      </c>
      <c r="BF304" s="34">
        <f t="shared" si="53"/>
        <v>0</v>
      </c>
      <c r="BG304" s="34">
        <f t="shared" si="54"/>
        <v>0</v>
      </c>
      <c r="BH304" s="26">
        <v>0</v>
      </c>
      <c r="BI304" s="26">
        <v>0</v>
      </c>
      <c r="BJ304" s="27">
        <v>8.2000000000000003E-2</v>
      </c>
      <c r="BK304" s="27">
        <v>9.0720542806749044E-2</v>
      </c>
      <c r="BL304" s="27" t="s">
        <v>3540</v>
      </c>
      <c r="BM304" s="27" t="s">
        <v>3541</v>
      </c>
      <c r="BN304" s="26"/>
      <c r="BO304" s="34">
        <v>1</v>
      </c>
      <c r="BP304" s="34"/>
      <c r="BQ304" s="34"/>
      <c r="BR304" s="34"/>
      <c r="BS304" s="34"/>
      <c r="BT304" s="34"/>
      <c r="BU304" s="34"/>
      <c r="BV304" s="34"/>
      <c r="BW304" s="34"/>
      <c r="BX304" s="34"/>
      <c r="BY304" s="34"/>
      <c r="BZ304" s="34"/>
      <c r="CA304" s="20"/>
      <c r="CB304" s="20"/>
      <c r="CC304" s="29">
        <v>46003</v>
      </c>
      <c r="CD304" s="35" t="s">
        <v>3542</v>
      </c>
    </row>
    <row r="305" spans="1:82" s="18" customFormat="1" ht="66.75" customHeight="1" x14ac:dyDescent="0.25">
      <c r="A305" s="87">
        <v>301</v>
      </c>
      <c r="B305" s="141" t="s">
        <v>3543</v>
      </c>
      <c r="C305" s="6" t="s">
        <v>3544</v>
      </c>
      <c r="D305" s="6" t="s">
        <v>3545</v>
      </c>
      <c r="E305" s="75" t="s">
        <v>174</v>
      </c>
      <c r="F305" s="4" t="s">
        <v>81</v>
      </c>
      <c r="G305" s="33" t="s">
        <v>84</v>
      </c>
      <c r="H305" s="49" t="s">
        <v>775</v>
      </c>
      <c r="I305" s="49" t="s">
        <v>3531</v>
      </c>
      <c r="J305" s="6" t="s">
        <v>115</v>
      </c>
      <c r="K305" s="49"/>
      <c r="L305" s="49"/>
      <c r="M305" s="49" t="s">
        <v>88</v>
      </c>
      <c r="N305" s="49" t="s">
        <v>89</v>
      </c>
      <c r="O305" s="49" t="s">
        <v>116</v>
      </c>
      <c r="P305" s="6" t="s">
        <v>115</v>
      </c>
      <c r="Q305" s="49"/>
      <c r="R305" s="75" t="s">
        <v>91</v>
      </c>
      <c r="S305" s="33" t="s">
        <v>92</v>
      </c>
      <c r="T305" s="33" t="s">
        <v>93</v>
      </c>
      <c r="U305" s="78">
        <v>100</v>
      </c>
      <c r="V305" s="33" t="s">
        <v>94</v>
      </c>
      <c r="W305" s="33" t="s">
        <v>95</v>
      </c>
      <c r="X305" s="33">
        <v>2022</v>
      </c>
      <c r="Y305" s="33" t="s">
        <v>117</v>
      </c>
      <c r="Z305" s="33" t="s">
        <v>95</v>
      </c>
      <c r="AA305" s="33" t="s">
        <v>98</v>
      </c>
      <c r="AB305" s="49" t="s">
        <v>99</v>
      </c>
      <c r="AC305" s="48" t="s">
        <v>3546</v>
      </c>
      <c r="AD305" s="48" t="s">
        <v>3534</v>
      </c>
      <c r="AE305" s="6" t="s">
        <v>3547</v>
      </c>
      <c r="AF305" s="49" t="s">
        <v>121</v>
      </c>
      <c r="AG305" s="6" t="s">
        <v>3548</v>
      </c>
      <c r="AH305" s="6" t="s">
        <v>123</v>
      </c>
      <c r="AI305" s="6" t="s">
        <v>3549</v>
      </c>
      <c r="AJ305" s="6" t="s">
        <v>3550</v>
      </c>
      <c r="AK305" s="5" t="s">
        <v>3551</v>
      </c>
      <c r="AL305" s="5" t="s">
        <v>3552</v>
      </c>
      <c r="AM305" s="5" t="s">
        <v>3553</v>
      </c>
      <c r="AN305" s="5"/>
      <c r="AO305" s="5"/>
      <c r="AP305" s="5"/>
      <c r="AQ305" s="49" t="s">
        <v>143</v>
      </c>
      <c r="AR305" s="20" t="s">
        <v>97</v>
      </c>
      <c r="AS305" s="20" t="s">
        <v>107</v>
      </c>
      <c r="AT305" s="20"/>
      <c r="AU305" s="24">
        <v>0.5</v>
      </c>
      <c r="AV305" s="24">
        <f t="shared" si="60"/>
        <v>0.4</v>
      </c>
      <c r="AW305" s="24">
        <f t="shared" si="61"/>
        <v>0.3</v>
      </c>
      <c r="AX305" s="25">
        <v>1E-4</v>
      </c>
      <c r="AY305" s="24">
        <v>0</v>
      </c>
      <c r="AZ305" s="24">
        <f t="shared" si="62"/>
        <v>0.45</v>
      </c>
      <c r="BA305" s="24">
        <f t="shared" si="63"/>
        <v>0.36000000000000004</v>
      </c>
      <c r="BB305" s="24">
        <f t="shared" si="64"/>
        <v>0.27</v>
      </c>
      <c r="BC305" s="25">
        <v>1E-4</v>
      </c>
      <c r="BD305" s="24">
        <v>0</v>
      </c>
      <c r="BE305" s="34">
        <v>20</v>
      </c>
      <c r="BF305" s="34">
        <f t="shared" si="53"/>
        <v>16</v>
      </c>
      <c r="BG305" s="34">
        <f t="shared" si="54"/>
        <v>12</v>
      </c>
      <c r="BH305" s="26">
        <v>1</v>
      </c>
      <c r="BI305" s="26">
        <v>0</v>
      </c>
      <c r="BJ305" s="27">
        <v>0.42399999999999999</v>
      </c>
      <c r="BK305" s="27">
        <v>0.42146335162160925</v>
      </c>
      <c r="BL305" s="27" t="s">
        <v>3554</v>
      </c>
      <c r="BM305" s="27" t="s">
        <v>3555</v>
      </c>
      <c r="BN305" s="26"/>
      <c r="BO305" s="34"/>
      <c r="BP305" s="34"/>
      <c r="BQ305" s="34"/>
      <c r="BR305" s="34"/>
      <c r="BS305" s="34">
        <v>1</v>
      </c>
      <c r="BT305" s="34"/>
      <c r="BU305" s="34"/>
      <c r="BV305" s="34"/>
      <c r="BW305" s="34"/>
      <c r="BX305" s="34"/>
      <c r="BY305" s="34"/>
      <c r="BZ305" s="34">
        <v>1</v>
      </c>
      <c r="CA305" s="20" t="s">
        <v>240</v>
      </c>
      <c r="CB305" s="20" t="s">
        <v>240</v>
      </c>
      <c r="CC305" s="29">
        <v>46003</v>
      </c>
      <c r="CD305" s="35" t="s">
        <v>3556</v>
      </c>
    </row>
    <row r="306" spans="1:82" s="18" customFormat="1" ht="66.75" customHeight="1" x14ac:dyDescent="0.25">
      <c r="A306" s="87">
        <v>302</v>
      </c>
      <c r="B306" s="141" t="s">
        <v>3557</v>
      </c>
      <c r="C306" s="6" t="s">
        <v>3558</v>
      </c>
      <c r="D306" s="6" t="s">
        <v>3559</v>
      </c>
      <c r="E306" s="75" t="s">
        <v>113</v>
      </c>
      <c r="F306" s="4" t="s">
        <v>3560</v>
      </c>
      <c r="G306" s="33" t="s">
        <v>84</v>
      </c>
      <c r="H306" s="49" t="s">
        <v>775</v>
      </c>
      <c r="I306" s="49" t="s">
        <v>3561</v>
      </c>
      <c r="J306" s="6"/>
      <c r="K306" s="49"/>
      <c r="L306" s="49"/>
      <c r="M306" s="49" t="s">
        <v>88</v>
      </c>
      <c r="N306" s="49" t="s">
        <v>89</v>
      </c>
      <c r="O306" s="49" t="s">
        <v>3562</v>
      </c>
      <c r="P306" s="6" t="s">
        <v>115</v>
      </c>
      <c r="Q306" s="49"/>
      <c r="R306" s="75" t="s">
        <v>91</v>
      </c>
      <c r="S306" s="33" t="s">
        <v>92</v>
      </c>
      <c r="T306" s="33" t="s">
        <v>93</v>
      </c>
      <c r="U306" s="78">
        <v>100</v>
      </c>
      <c r="V306" s="33" t="s">
        <v>94</v>
      </c>
      <c r="W306" s="33" t="s">
        <v>95</v>
      </c>
      <c r="X306" s="33">
        <v>2022</v>
      </c>
      <c r="Y306" s="33" t="s">
        <v>117</v>
      </c>
      <c r="Z306" s="33" t="s">
        <v>97</v>
      </c>
      <c r="AA306" s="33" t="s">
        <v>98</v>
      </c>
      <c r="AB306" s="49" t="s">
        <v>99</v>
      </c>
      <c r="AC306" s="48" t="s">
        <v>3563</v>
      </c>
      <c r="AD306" s="48" t="s">
        <v>3564</v>
      </c>
      <c r="AE306" s="49" t="s">
        <v>3565</v>
      </c>
      <c r="AF306" s="6" t="s">
        <v>3566</v>
      </c>
      <c r="AG306" s="6" t="s">
        <v>1042</v>
      </c>
      <c r="AH306" s="49" t="s">
        <v>3567</v>
      </c>
      <c r="AI306" s="49" t="s">
        <v>3568</v>
      </c>
      <c r="AJ306" s="49" t="s">
        <v>3569</v>
      </c>
      <c r="AK306" s="5" t="s">
        <v>97</v>
      </c>
      <c r="AL306" s="33" t="s">
        <v>97</v>
      </c>
      <c r="AM306" s="5" t="s">
        <v>3570</v>
      </c>
      <c r="AN306" s="5"/>
      <c r="AO306" s="5"/>
      <c r="AP306" s="5"/>
      <c r="AQ306" s="49" t="s">
        <v>3539</v>
      </c>
      <c r="AR306" s="20" t="s">
        <v>97</v>
      </c>
      <c r="AS306" s="20" t="s">
        <v>107</v>
      </c>
      <c r="AT306" s="20"/>
      <c r="AU306" s="24">
        <v>0.6</v>
      </c>
      <c r="AV306" s="24">
        <f t="shared" si="60"/>
        <v>0.48</v>
      </c>
      <c r="AW306" s="24">
        <f t="shared" si="61"/>
        <v>0.36</v>
      </c>
      <c r="AX306" s="25">
        <v>1E-4</v>
      </c>
      <c r="AY306" s="24">
        <v>0</v>
      </c>
      <c r="AZ306" s="24">
        <f t="shared" si="62"/>
        <v>0.54</v>
      </c>
      <c r="BA306" s="24">
        <f t="shared" si="63"/>
        <v>0.43200000000000005</v>
      </c>
      <c r="BB306" s="24">
        <f t="shared" si="64"/>
        <v>0.32400000000000001</v>
      </c>
      <c r="BC306" s="25">
        <v>1E-4</v>
      </c>
      <c r="BD306" s="24">
        <v>0</v>
      </c>
      <c r="BE306" s="26">
        <v>0</v>
      </c>
      <c r="BF306" s="34">
        <f t="shared" si="53"/>
        <v>0</v>
      </c>
      <c r="BG306" s="34">
        <f t="shared" si="54"/>
        <v>0</v>
      </c>
      <c r="BH306" s="26">
        <v>0</v>
      </c>
      <c r="BI306" s="26">
        <v>0</v>
      </c>
      <c r="BJ306" s="27" t="s">
        <v>1176</v>
      </c>
      <c r="BK306" s="27">
        <v>0.57677487200350019</v>
      </c>
      <c r="BL306" s="27" t="s">
        <v>3571</v>
      </c>
      <c r="BM306" s="27" t="s">
        <v>3572</v>
      </c>
      <c r="BN306" s="26"/>
      <c r="BO306" s="34"/>
      <c r="BP306" s="34"/>
      <c r="BQ306" s="34"/>
      <c r="BR306" s="34"/>
      <c r="BS306" s="34"/>
      <c r="BT306" s="34"/>
      <c r="BU306" s="34"/>
      <c r="BV306" s="34"/>
      <c r="BW306" s="34"/>
      <c r="BX306" s="34"/>
      <c r="BY306" s="34"/>
      <c r="BZ306" s="34"/>
      <c r="CA306" s="20"/>
      <c r="CB306" s="20"/>
      <c r="CC306" s="46">
        <v>46006</v>
      </c>
      <c r="CD306" s="42" t="s">
        <v>7351</v>
      </c>
    </row>
    <row r="307" spans="1:82" s="18" customFormat="1" ht="66.75" customHeight="1" x14ac:dyDescent="0.25">
      <c r="A307" s="121">
        <v>303</v>
      </c>
      <c r="B307" s="141" t="s">
        <v>3573</v>
      </c>
      <c r="C307" s="6" t="s">
        <v>3574</v>
      </c>
      <c r="D307" s="6" t="s">
        <v>3575</v>
      </c>
      <c r="E307" s="75" t="s">
        <v>113</v>
      </c>
      <c r="F307" s="4" t="s">
        <v>3560</v>
      </c>
      <c r="G307" s="33" t="s">
        <v>84</v>
      </c>
      <c r="H307" s="49" t="s">
        <v>775</v>
      </c>
      <c r="I307" s="49" t="s">
        <v>3576</v>
      </c>
      <c r="J307" s="6" t="s">
        <v>3577</v>
      </c>
      <c r="K307" s="49"/>
      <c r="L307" s="49"/>
      <c r="M307" s="49" t="s">
        <v>88</v>
      </c>
      <c r="N307" s="49" t="s">
        <v>89</v>
      </c>
      <c r="O307" s="49" t="s">
        <v>3578</v>
      </c>
      <c r="P307" s="6" t="s">
        <v>3578</v>
      </c>
      <c r="Q307" s="49"/>
      <c r="R307" s="75" t="s">
        <v>91</v>
      </c>
      <c r="S307" s="33" t="s">
        <v>92</v>
      </c>
      <c r="T307" s="33" t="s">
        <v>93</v>
      </c>
      <c r="U307" s="78">
        <v>100</v>
      </c>
      <c r="V307" s="33" t="s">
        <v>94</v>
      </c>
      <c r="W307" s="33" t="s">
        <v>95</v>
      </c>
      <c r="X307" s="33">
        <v>2024</v>
      </c>
      <c r="Y307" s="33" t="s">
        <v>117</v>
      </c>
      <c r="Z307" s="33" t="s">
        <v>95</v>
      </c>
      <c r="AA307" s="33" t="s">
        <v>98</v>
      </c>
      <c r="AB307" s="49" t="s">
        <v>99</v>
      </c>
      <c r="AC307" s="48" t="s">
        <v>3579</v>
      </c>
      <c r="AD307" s="79" t="s">
        <v>3580</v>
      </c>
      <c r="AE307" s="49" t="s">
        <v>3581</v>
      </c>
      <c r="AF307" s="49" t="s">
        <v>3582</v>
      </c>
      <c r="AG307" s="49" t="s">
        <v>3583</v>
      </c>
      <c r="AH307" s="49" t="s">
        <v>218</v>
      </c>
      <c r="AI307" s="49" t="s">
        <v>3584</v>
      </c>
      <c r="AJ307" s="6" t="s">
        <v>3585</v>
      </c>
      <c r="AK307" s="5" t="s">
        <v>97</v>
      </c>
      <c r="AL307" s="33" t="s">
        <v>97</v>
      </c>
      <c r="AM307" s="5" t="s">
        <v>221</v>
      </c>
      <c r="AN307" s="6" t="s">
        <v>3586</v>
      </c>
      <c r="AO307" s="6"/>
      <c r="AP307" s="6"/>
      <c r="AQ307" s="49" t="s">
        <v>3539</v>
      </c>
      <c r="AR307" s="20" t="s">
        <v>97</v>
      </c>
      <c r="AS307" s="20" t="s">
        <v>107</v>
      </c>
      <c r="AT307" s="20"/>
      <c r="AU307" s="24">
        <v>0.12</v>
      </c>
      <c r="AV307" s="24">
        <f t="shared" si="60"/>
        <v>9.6000000000000002E-2</v>
      </c>
      <c r="AW307" s="24">
        <f t="shared" si="61"/>
        <v>7.1999999999999995E-2</v>
      </c>
      <c r="AX307" s="25">
        <v>1E-4</v>
      </c>
      <c r="AY307" s="24">
        <v>0</v>
      </c>
      <c r="AZ307" s="24">
        <f t="shared" si="62"/>
        <v>0.108</v>
      </c>
      <c r="BA307" s="24">
        <f t="shared" si="63"/>
        <v>8.6400000000000005E-2</v>
      </c>
      <c r="BB307" s="24">
        <f t="shared" si="64"/>
        <v>6.4799999999999996E-2</v>
      </c>
      <c r="BC307" s="25">
        <v>1E-4</v>
      </c>
      <c r="BD307" s="24">
        <v>0</v>
      </c>
      <c r="BE307" s="26">
        <v>0</v>
      </c>
      <c r="BF307" s="34">
        <f t="shared" si="53"/>
        <v>0</v>
      </c>
      <c r="BG307" s="34">
        <f t="shared" si="54"/>
        <v>0</v>
      </c>
      <c r="BH307" s="26">
        <v>0</v>
      </c>
      <c r="BI307" s="26">
        <v>0</v>
      </c>
      <c r="BJ307" s="20" t="s">
        <v>496</v>
      </c>
      <c r="BK307" s="27" t="s">
        <v>496</v>
      </c>
      <c r="BL307" s="27" t="s">
        <v>3587</v>
      </c>
      <c r="BM307" s="27" t="s">
        <v>3588</v>
      </c>
      <c r="BN307" s="26"/>
      <c r="BO307" s="34"/>
      <c r="BP307" s="34"/>
      <c r="BQ307" s="34"/>
      <c r="BR307" s="34"/>
      <c r="BS307" s="34"/>
      <c r="BT307" s="34"/>
      <c r="BU307" s="34"/>
      <c r="BV307" s="34"/>
      <c r="BW307" s="34"/>
      <c r="BX307" s="34"/>
      <c r="BY307" s="34"/>
      <c r="BZ307" s="34"/>
      <c r="CA307" s="20"/>
      <c r="CB307" s="20"/>
      <c r="CC307" s="29">
        <v>46003</v>
      </c>
      <c r="CD307" s="2" t="s">
        <v>1275</v>
      </c>
    </row>
    <row r="308" spans="1:82" s="18" customFormat="1" ht="66.75" customHeight="1" x14ac:dyDescent="0.25">
      <c r="A308" s="87">
        <v>304</v>
      </c>
      <c r="B308" s="141" t="s">
        <v>3589</v>
      </c>
      <c r="C308" s="6" t="s">
        <v>3590</v>
      </c>
      <c r="D308" s="6" t="s">
        <v>3591</v>
      </c>
      <c r="E308" s="75" t="s">
        <v>113</v>
      </c>
      <c r="F308" s="4" t="s">
        <v>3560</v>
      </c>
      <c r="G308" s="33" t="s">
        <v>84</v>
      </c>
      <c r="H308" s="49" t="s">
        <v>114</v>
      </c>
      <c r="I308" s="49" t="s">
        <v>3576</v>
      </c>
      <c r="J308" s="6" t="s">
        <v>3577</v>
      </c>
      <c r="K308" s="49"/>
      <c r="L308" s="49"/>
      <c r="M308" s="49" t="s">
        <v>88</v>
      </c>
      <c r="N308" s="49" t="s">
        <v>89</v>
      </c>
      <c r="O308" s="49" t="s">
        <v>3578</v>
      </c>
      <c r="P308" s="6" t="s">
        <v>3578</v>
      </c>
      <c r="Q308" s="49"/>
      <c r="R308" s="75" t="s">
        <v>175</v>
      </c>
      <c r="S308" s="33" t="s">
        <v>92</v>
      </c>
      <c r="T308" s="33" t="s">
        <v>93</v>
      </c>
      <c r="U308" s="78">
        <v>100</v>
      </c>
      <c r="V308" s="33" t="s">
        <v>94</v>
      </c>
      <c r="W308" s="33" t="s">
        <v>95</v>
      </c>
      <c r="X308" s="33">
        <v>2024</v>
      </c>
      <c r="Y308" s="33" t="s">
        <v>117</v>
      </c>
      <c r="Z308" s="33" t="s">
        <v>95</v>
      </c>
      <c r="AA308" s="33" t="s">
        <v>98</v>
      </c>
      <c r="AB308" s="49" t="s">
        <v>99</v>
      </c>
      <c r="AC308" s="79" t="s">
        <v>3592</v>
      </c>
      <c r="AD308" s="79" t="s">
        <v>3593</v>
      </c>
      <c r="AE308" s="49" t="s">
        <v>3581</v>
      </c>
      <c r="AF308" s="49" t="s">
        <v>3582</v>
      </c>
      <c r="AG308" s="49" t="s">
        <v>178</v>
      </c>
      <c r="AH308" s="49" t="s">
        <v>178</v>
      </c>
      <c r="AI308" s="49" t="s">
        <v>3594</v>
      </c>
      <c r="AJ308" s="6" t="s">
        <v>3595</v>
      </c>
      <c r="AK308" s="5" t="s">
        <v>97</v>
      </c>
      <c r="AL308" s="33" t="s">
        <v>97</v>
      </c>
      <c r="AM308" s="5" t="s">
        <v>221</v>
      </c>
      <c r="AN308" s="6" t="s">
        <v>3586</v>
      </c>
      <c r="AO308" s="6"/>
      <c r="AP308" s="6"/>
      <c r="AQ308" s="49" t="s">
        <v>3539</v>
      </c>
      <c r="AR308" s="20" t="s">
        <v>97</v>
      </c>
      <c r="AS308" s="20" t="s">
        <v>107</v>
      </c>
      <c r="AT308" s="20"/>
      <c r="AU308" s="24">
        <v>0.22</v>
      </c>
      <c r="AV308" s="24">
        <f t="shared" si="60"/>
        <v>0.17600000000000002</v>
      </c>
      <c r="AW308" s="24">
        <f t="shared" si="61"/>
        <v>0.13200000000000001</v>
      </c>
      <c r="AX308" s="25">
        <v>1E-4</v>
      </c>
      <c r="AY308" s="24">
        <v>0</v>
      </c>
      <c r="AZ308" s="24">
        <f t="shared" si="62"/>
        <v>0.19800000000000001</v>
      </c>
      <c r="BA308" s="24">
        <f t="shared" si="63"/>
        <v>0.15840000000000001</v>
      </c>
      <c r="BB308" s="24">
        <f t="shared" si="64"/>
        <v>0.1188</v>
      </c>
      <c r="BC308" s="25">
        <v>1E-4</v>
      </c>
      <c r="BD308" s="24">
        <v>0</v>
      </c>
      <c r="BE308" s="26">
        <v>0</v>
      </c>
      <c r="BF308" s="34">
        <f t="shared" si="53"/>
        <v>0</v>
      </c>
      <c r="BG308" s="34">
        <f t="shared" si="54"/>
        <v>0</v>
      </c>
      <c r="BH308" s="26">
        <v>0</v>
      </c>
      <c r="BI308" s="26">
        <v>0</v>
      </c>
      <c r="BJ308" s="20" t="s">
        <v>496</v>
      </c>
      <c r="BK308" s="27" t="s">
        <v>496</v>
      </c>
      <c r="BL308" s="27" t="s">
        <v>2759</v>
      </c>
      <c r="BM308" s="27" t="s">
        <v>3596</v>
      </c>
      <c r="BN308" s="26">
        <v>1</v>
      </c>
      <c r="BO308" s="34"/>
      <c r="BP308" s="34"/>
      <c r="BQ308" s="34"/>
      <c r="BR308" s="34"/>
      <c r="BS308" s="34"/>
      <c r="BT308" s="34"/>
      <c r="BU308" s="34"/>
      <c r="BV308" s="34"/>
      <c r="BW308" s="34"/>
      <c r="BX308" s="34"/>
      <c r="BY308" s="34"/>
      <c r="BZ308" s="34"/>
      <c r="CA308" s="20"/>
      <c r="CB308" s="20"/>
      <c r="CC308" s="29">
        <v>46003</v>
      </c>
      <c r="CD308" s="2" t="s">
        <v>3597</v>
      </c>
    </row>
    <row r="309" spans="1:82" s="18" customFormat="1" ht="66.75" customHeight="1" x14ac:dyDescent="0.25">
      <c r="A309" s="87">
        <v>305</v>
      </c>
      <c r="B309" s="141" t="s">
        <v>3598</v>
      </c>
      <c r="C309" s="6" t="s">
        <v>3599</v>
      </c>
      <c r="D309" s="6" t="s">
        <v>3600</v>
      </c>
      <c r="E309" s="75" t="s">
        <v>113</v>
      </c>
      <c r="F309" s="4" t="s">
        <v>3560</v>
      </c>
      <c r="G309" s="33" t="s">
        <v>84</v>
      </c>
      <c r="H309" s="49" t="s">
        <v>309</v>
      </c>
      <c r="I309" s="49" t="s">
        <v>3576</v>
      </c>
      <c r="J309" s="6" t="s">
        <v>3577</v>
      </c>
      <c r="K309" s="49"/>
      <c r="L309" s="49"/>
      <c r="M309" s="49" t="s">
        <v>88</v>
      </c>
      <c r="N309" s="49" t="s">
        <v>89</v>
      </c>
      <c r="O309" s="49" t="s">
        <v>3578</v>
      </c>
      <c r="P309" s="6" t="s">
        <v>3578</v>
      </c>
      <c r="Q309" s="49"/>
      <c r="R309" s="75" t="s">
        <v>175</v>
      </c>
      <c r="S309" s="33" t="s">
        <v>92</v>
      </c>
      <c r="T309" s="33" t="s">
        <v>93</v>
      </c>
      <c r="U309" s="78">
        <v>100</v>
      </c>
      <c r="V309" s="33" t="s">
        <v>94</v>
      </c>
      <c r="W309" s="33" t="s">
        <v>95</v>
      </c>
      <c r="X309" s="33">
        <v>2024</v>
      </c>
      <c r="Y309" s="33" t="s">
        <v>117</v>
      </c>
      <c r="Z309" s="33" t="s">
        <v>95</v>
      </c>
      <c r="AA309" s="33" t="s">
        <v>98</v>
      </c>
      <c r="AB309" s="49" t="s">
        <v>99</v>
      </c>
      <c r="AC309" s="48" t="s">
        <v>3601</v>
      </c>
      <c r="AD309" s="79" t="s">
        <v>3602</v>
      </c>
      <c r="AE309" s="49" t="s">
        <v>3581</v>
      </c>
      <c r="AF309" s="49" t="s">
        <v>3582</v>
      </c>
      <c r="AG309" s="49" t="s">
        <v>178</v>
      </c>
      <c r="AH309" s="49" t="s">
        <v>178</v>
      </c>
      <c r="AI309" s="49" t="s">
        <v>3603</v>
      </c>
      <c r="AJ309" s="6" t="s">
        <v>3604</v>
      </c>
      <c r="AK309" s="5" t="s">
        <v>97</v>
      </c>
      <c r="AL309" s="33" t="s">
        <v>97</v>
      </c>
      <c r="AM309" s="5" t="s">
        <v>221</v>
      </c>
      <c r="AN309" s="6" t="s">
        <v>3586</v>
      </c>
      <c r="AO309" s="6"/>
      <c r="AP309" s="6"/>
      <c r="AQ309" s="49" t="s">
        <v>3539</v>
      </c>
      <c r="AR309" s="20" t="s">
        <v>97</v>
      </c>
      <c r="AS309" s="20" t="s">
        <v>107</v>
      </c>
      <c r="AT309" s="20"/>
      <c r="AU309" s="24">
        <v>0.12</v>
      </c>
      <c r="AV309" s="24">
        <f t="shared" si="60"/>
        <v>9.6000000000000002E-2</v>
      </c>
      <c r="AW309" s="24">
        <f t="shared" si="61"/>
        <v>7.1999999999999995E-2</v>
      </c>
      <c r="AX309" s="25">
        <v>1E-4</v>
      </c>
      <c r="AY309" s="24">
        <v>0</v>
      </c>
      <c r="AZ309" s="24">
        <f t="shared" si="62"/>
        <v>0.108</v>
      </c>
      <c r="BA309" s="24">
        <f t="shared" si="63"/>
        <v>8.6400000000000005E-2</v>
      </c>
      <c r="BB309" s="24">
        <f t="shared" si="64"/>
        <v>6.4799999999999996E-2</v>
      </c>
      <c r="BC309" s="25">
        <v>1E-4</v>
      </c>
      <c r="BD309" s="24">
        <v>0</v>
      </c>
      <c r="BE309" s="26">
        <v>0</v>
      </c>
      <c r="BF309" s="34">
        <f t="shared" si="53"/>
        <v>0</v>
      </c>
      <c r="BG309" s="34">
        <f t="shared" si="54"/>
        <v>0</v>
      </c>
      <c r="BH309" s="26">
        <v>0</v>
      </c>
      <c r="BI309" s="26">
        <v>0</v>
      </c>
      <c r="BJ309" s="20" t="s">
        <v>496</v>
      </c>
      <c r="BK309" s="27" t="s">
        <v>496</v>
      </c>
      <c r="BL309" s="27" t="s">
        <v>3605</v>
      </c>
      <c r="BM309" s="27" t="s">
        <v>3606</v>
      </c>
      <c r="BN309" s="26">
        <v>1</v>
      </c>
      <c r="BO309" s="34"/>
      <c r="BP309" s="34"/>
      <c r="BQ309" s="34"/>
      <c r="BR309" s="34"/>
      <c r="BS309" s="34"/>
      <c r="BT309" s="34"/>
      <c r="BU309" s="34"/>
      <c r="BV309" s="34"/>
      <c r="BW309" s="34"/>
      <c r="BX309" s="34"/>
      <c r="BY309" s="34"/>
      <c r="BZ309" s="34"/>
      <c r="CA309" s="20"/>
      <c r="CB309" s="20"/>
      <c r="CC309" s="29">
        <v>46003</v>
      </c>
      <c r="CD309" s="2" t="s">
        <v>3607</v>
      </c>
    </row>
    <row r="310" spans="1:82" s="18" customFormat="1" ht="66.75" customHeight="1" x14ac:dyDescent="0.25">
      <c r="A310" s="121">
        <v>306</v>
      </c>
      <c r="B310" s="141" t="s">
        <v>3608</v>
      </c>
      <c r="C310" s="6" t="s">
        <v>3609</v>
      </c>
      <c r="D310" s="6" t="s">
        <v>3610</v>
      </c>
      <c r="E310" s="75" t="s">
        <v>113</v>
      </c>
      <c r="F310" s="4" t="s">
        <v>3560</v>
      </c>
      <c r="G310" s="33" t="s">
        <v>84</v>
      </c>
      <c r="H310" s="6" t="s">
        <v>364</v>
      </c>
      <c r="I310" s="49" t="s">
        <v>3576</v>
      </c>
      <c r="J310" s="6" t="s">
        <v>3577</v>
      </c>
      <c r="K310" s="49"/>
      <c r="L310" s="49"/>
      <c r="M310" s="49" t="s">
        <v>88</v>
      </c>
      <c r="N310" s="49" t="s">
        <v>89</v>
      </c>
      <c r="O310" s="49" t="s">
        <v>3578</v>
      </c>
      <c r="P310" s="6" t="s">
        <v>3578</v>
      </c>
      <c r="Q310" s="49"/>
      <c r="R310" s="75" t="s">
        <v>175</v>
      </c>
      <c r="S310" s="33" t="s">
        <v>92</v>
      </c>
      <c r="T310" s="33" t="s">
        <v>93</v>
      </c>
      <c r="U310" s="78">
        <v>100</v>
      </c>
      <c r="V310" s="33" t="s">
        <v>94</v>
      </c>
      <c r="W310" s="33" t="s">
        <v>95</v>
      </c>
      <c r="X310" s="33">
        <v>2024</v>
      </c>
      <c r="Y310" s="33" t="s">
        <v>117</v>
      </c>
      <c r="Z310" s="33" t="s">
        <v>95</v>
      </c>
      <c r="AA310" s="33" t="s">
        <v>98</v>
      </c>
      <c r="AB310" s="49" t="s">
        <v>99</v>
      </c>
      <c r="AC310" s="79" t="s">
        <v>3611</v>
      </c>
      <c r="AD310" s="79" t="s">
        <v>3612</v>
      </c>
      <c r="AE310" s="49" t="s">
        <v>3581</v>
      </c>
      <c r="AF310" s="49" t="s">
        <v>3582</v>
      </c>
      <c r="AG310" s="49" t="s">
        <v>178</v>
      </c>
      <c r="AH310" s="49" t="s">
        <v>178</v>
      </c>
      <c r="AI310" s="49" t="s">
        <v>3613</v>
      </c>
      <c r="AJ310" s="6" t="s">
        <v>3614</v>
      </c>
      <c r="AK310" s="5" t="s">
        <v>97</v>
      </c>
      <c r="AL310" s="33" t="s">
        <v>97</v>
      </c>
      <c r="AM310" s="5" t="s">
        <v>221</v>
      </c>
      <c r="AN310" s="6" t="s">
        <v>3586</v>
      </c>
      <c r="AO310" s="6"/>
      <c r="AP310" s="6"/>
      <c r="AQ310" s="49" t="s">
        <v>3539</v>
      </c>
      <c r="AR310" s="20" t="s">
        <v>97</v>
      </c>
      <c r="AS310" s="20" t="s">
        <v>107</v>
      </c>
      <c r="AT310" s="20"/>
      <c r="AU310" s="24">
        <v>0.12</v>
      </c>
      <c r="AV310" s="24">
        <f t="shared" si="60"/>
        <v>9.6000000000000002E-2</v>
      </c>
      <c r="AW310" s="24">
        <f t="shared" si="61"/>
        <v>7.1999999999999995E-2</v>
      </c>
      <c r="AX310" s="25">
        <v>1E-4</v>
      </c>
      <c r="AY310" s="24">
        <v>0</v>
      </c>
      <c r="AZ310" s="24">
        <f t="shared" si="62"/>
        <v>0.108</v>
      </c>
      <c r="BA310" s="24">
        <f t="shared" si="63"/>
        <v>8.6400000000000005E-2</v>
      </c>
      <c r="BB310" s="24">
        <f t="shared" si="64"/>
        <v>6.4799999999999996E-2</v>
      </c>
      <c r="BC310" s="25">
        <v>1E-4</v>
      </c>
      <c r="BD310" s="24">
        <v>0</v>
      </c>
      <c r="BE310" s="26">
        <v>0</v>
      </c>
      <c r="BF310" s="34">
        <f t="shared" si="53"/>
        <v>0</v>
      </c>
      <c r="BG310" s="34">
        <f t="shared" si="54"/>
        <v>0</v>
      </c>
      <c r="BH310" s="26">
        <v>0</v>
      </c>
      <c r="BI310" s="26">
        <v>0</v>
      </c>
      <c r="BJ310" s="20" t="s">
        <v>496</v>
      </c>
      <c r="BK310" s="27" t="s">
        <v>496</v>
      </c>
      <c r="BL310" s="27" t="s">
        <v>3615</v>
      </c>
      <c r="BM310" s="27" t="s">
        <v>3616</v>
      </c>
      <c r="BN310" s="26">
        <v>1</v>
      </c>
      <c r="BO310" s="34"/>
      <c r="BP310" s="34"/>
      <c r="BQ310" s="34"/>
      <c r="BR310" s="34"/>
      <c r="BS310" s="34"/>
      <c r="BT310" s="34"/>
      <c r="BU310" s="34"/>
      <c r="BV310" s="34"/>
      <c r="BW310" s="34"/>
      <c r="BX310" s="34"/>
      <c r="BY310" s="34"/>
      <c r="BZ310" s="34"/>
      <c r="CA310" s="20"/>
      <c r="CB310" s="20"/>
      <c r="CC310" s="29">
        <v>46003</v>
      </c>
      <c r="CD310" s="2" t="s">
        <v>3617</v>
      </c>
    </row>
    <row r="311" spans="1:82" s="18" customFormat="1" ht="66.75" customHeight="1" x14ac:dyDescent="0.25">
      <c r="A311" s="87">
        <v>307</v>
      </c>
      <c r="B311" s="141" t="s">
        <v>3618</v>
      </c>
      <c r="C311" s="6" t="s">
        <v>3619</v>
      </c>
      <c r="D311" s="6" t="s">
        <v>3620</v>
      </c>
      <c r="E311" s="75" t="s">
        <v>113</v>
      </c>
      <c r="F311" s="4" t="s">
        <v>3560</v>
      </c>
      <c r="G311" s="33" t="s">
        <v>84</v>
      </c>
      <c r="H311" s="6" t="s">
        <v>423</v>
      </c>
      <c r="I311" s="49" t="s">
        <v>3576</v>
      </c>
      <c r="J311" s="6" t="s">
        <v>3577</v>
      </c>
      <c r="K311" s="49"/>
      <c r="L311" s="49"/>
      <c r="M311" s="49" t="s">
        <v>88</v>
      </c>
      <c r="N311" s="49" t="s">
        <v>89</v>
      </c>
      <c r="O311" s="49" t="s">
        <v>3578</v>
      </c>
      <c r="P311" s="6" t="s">
        <v>3578</v>
      </c>
      <c r="Q311" s="49"/>
      <c r="R311" s="75" t="s">
        <v>175</v>
      </c>
      <c r="S311" s="33" t="s">
        <v>92</v>
      </c>
      <c r="T311" s="33" t="s">
        <v>93</v>
      </c>
      <c r="U311" s="78">
        <v>100</v>
      </c>
      <c r="V311" s="33" t="s">
        <v>94</v>
      </c>
      <c r="W311" s="33" t="s">
        <v>95</v>
      </c>
      <c r="X311" s="33">
        <v>2024</v>
      </c>
      <c r="Y311" s="33" t="s">
        <v>117</v>
      </c>
      <c r="Z311" s="33" t="s">
        <v>95</v>
      </c>
      <c r="AA311" s="33" t="s">
        <v>98</v>
      </c>
      <c r="AB311" s="49" t="s">
        <v>99</v>
      </c>
      <c r="AC311" s="48" t="s">
        <v>3621</v>
      </c>
      <c r="AD311" s="79" t="s">
        <v>3622</v>
      </c>
      <c r="AE311" s="49" t="s">
        <v>3581</v>
      </c>
      <c r="AF311" s="49" t="s">
        <v>3582</v>
      </c>
      <c r="AG311" s="49" t="s">
        <v>178</v>
      </c>
      <c r="AH311" s="49" t="s">
        <v>178</v>
      </c>
      <c r="AI311" s="49" t="s">
        <v>3623</v>
      </c>
      <c r="AJ311" s="6" t="s">
        <v>3624</v>
      </c>
      <c r="AK311" s="5" t="s">
        <v>97</v>
      </c>
      <c r="AL311" s="33" t="s">
        <v>97</v>
      </c>
      <c r="AM311" s="5" t="s">
        <v>221</v>
      </c>
      <c r="AN311" s="6" t="s">
        <v>3586</v>
      </c>
      <c r="AO311" s="6"/>
      <c r="AP311" s="6"/>
      <c r="AQ311" s="6" t="s">
        <v>3539</v>
      </c>
      <c r="AR311" s="20" t="s">
        <v>97</v>
      </c>
      <c r="AS311" s="20" t="s">
        <v>107</v>
      </c>
      <c r="AT311" s="20"/>
      <c r="AU311" s="24">
        <v>0.06</v>
      </c>
      <c r="AV311" s="24">
        <f t="shared" si="60"/>
        <v>4.8000000000000001E-2</v>
      </c>
      <c r="AW311" s="24">
        <f t="shared" si="61"/>
        <v>3.5999999999999997E-2</v>
      </c>
      <c r="AX311" s="25">
        <v>1E-4</v>
      </c>
      <c r="AY311" s="24">
        <v>0</v>
      </c>
      <c r="AZ311" s="24">
        <f t="shared" si="62"/>
        <v>5.3999999999999999E-2</v>
      </c>
      <c r="BA311" s="24">
        <f t="shared" si="63"/>
        <v>4.3200000000000002E-2</v>
      </c>
      <c r="BB311" s="24">
        <f t="shared" si="64"/>
        <v>3.2399999999999998E-2</v>
      </c>
      <c r="BC311" s="25">
        <v>1E-4</v>
      </c>
      <c r="BD311" s="24">
        <v>0</v>
      </c>
      <c r="BE311" s="26">
        <v>0</v>
      </c>
      <c r="BF311" s="34">
        <f t="shared" si="53"/>
        <v>0</v>
      </c>
      <c r="BG311" s="34">
        <f t="shared" si="54"/>
        <v>0</v>
      </c>
      <c r="BH311" s="26">
        <v>0</v>
      </c>
      <c r="BI311" s="26">
        <v>0</v>
      </c>
      <c r="BJ311" s="20" t="s">
        <v>496</v>
      </c>
      <c r="BK311" s="27" t="s">
        <v>496</v>
      </c>
      <c r="BL311" s="27" t="s">
        <v>1904</v>
      </c>
      <c r="BM311" s="27" t="s">
        <v>3625</v>
      </c>
      <c r="BN311" s="26">
        <v>1</v>
      </c>
      <c r="BO311" s="34"/>
      <c r="BP311" s="34"/>
      <c r="BQ311" s="34"/>
      <c r="BR311" s="34"/>
      <c r="BS311" s="34"/>
      <c r="BT311" s="34"/>
      <c r="BU311" s="34"/>
      <c r="BV311" s="34"/>
      <c r="BW311" s="34"/>
      <c r="BX311" s="34"/>
      <c r="BY311" s="34"/>
      <c r="BZ311" s="34"/>
      <c r="CA311" s="20"/>
      <c r="CB311" s="20"/>
      <c r="CC311" s="29">
        <v>46003</v>
      </c>
      <c r="CD311" s="2" t="s">
        <v>3626</v>
      </c>
    </row>
    <row r="312" spans="1:82" s="18" customFormat="1" ht="66.75" customHeight="1" x14ac:dyDescent="0.25">
      <c r="A312" s="87">
        <v>308</v>
      </c>
      <c r="B312" s="141" t="s">
        <v>3627</v>
      </c>
      <c r="C312" s="6" t="s">
        <v>3628</v>
      </c>
      <c r="D312" s="6" t="s">
        <v>3629</v>
      </c>
      <c r="E312" s="75" t="s">
        <v>113</v>
      </c>
      <c r="F312" s="4" t="s">
        <v>3560</v>
      </c>
      <c r="G312" s="33" t="s">
        <v>84</v>
      </c>
      <c r="H312" s="6" t="s">
        <v>436</v>
      </c>
      <c r="I312" s="49" t="s">
        <v>3576</v>
      </c>
      <c r="J312" s="6" t="s">
        <v>3577</v>
      </c>
      <c r="K312" s="49"/>
      <c r="L312" s="49"/>
      <c r="M312" s="49" t="s">
        <v>88</v>
      </c>
      <c r="N312" s="49" t="s">
        <v>89</v>
      </c>
      <c r="O312" s="49" t="s">
        <v>3578</v>
      </c>
      <c r="P312" s="6" t="s">
        <v>3578</v>
      </c>
      <c r="Q312" s="49"/>
      <c r="R312" s="75" t="s">
        <v>175</v>
      </c>
      <c r="S312" s="33" t="s">
        <v>92</v>
      </c>
      <c r="T312" s="33" t="s">
        <v>93</v>
      </c>
      <c r="U312" s="78">
        <v>100</v>
      </c>
      <c r="V312" s="33" t="s">
        <v>94</v>
      </c>
      <c r="W312" s="33" t="s">
        <v>95</v>
      </c>
      <c r="X312" s="33">
        <v>2024</v>
      </c>
      <c r="Y312" s="33" t="s">
        <v>117</v>
      </c>
      <c r="Z312" s="33" t="s">
        <v>95</v>
      </c>
      <c r="AA312" s="33" t="s">
        <v>98</v>
      </c>
      <c r="AB312" s="49" t="s">
        <v>99</v>
      </c>
      <c r="AC312" s="48" t="s">
        <v>3630</v>
      </c>
      <c r="AD312" s="79" t="s">
        <v>3631</v>
      </c>
      <c r="AE312" s="49" t="s">
        <v>3581</v>
      </c>
      <c r="AF312" s="49" t="s">
        <v>3582</v>
      </c>
      <c r="AG312" s="49" t="s">
        <v>178</v>
      </c>
      <c r="AH312" s="49" t="s">
        <v>178</v>
      </c>
      <c r="AI312" s="49" t="s">
        <v>3632</v>
      </c>
      <c r="AJ312" s="6" t="s">
        <v>3633</v>
      </c>
      <c r="AK312" s="5" t="s">
        <v>97</v>
      </c>
      <c r="AL312" s="33" t="s">
        <v>97</v>
      </c>
      <c r="AM312" s="5" t="s">
        <v>221</v>
      </c>
      <c r="AN312" s="6" t="s">
        <v>3586</v>
      </c>
      <c r="AO312" s="6"/>
      <c r="AP312" s="6"/>
      <c r="AQ312" s="49" t="s">
        <v>3539</v>
      </c>
      <c r="AR312" s="20" t="s">
        <v>97</v>
      </c>
      <c r="AS312" s="20" t="s">
        <v>107</v>
      </c>
      <c r="AT312" s="20"/>
      <c r="AU312" s="24">
        <v>7.0000000000000007E-2</v>
      </c>
      <c r="AV312" s="24">
        <f t="shared" si="60"/>
        <v>5.6000000000000008E-2</v>
      </c>
      <c r="AW312" s="24">
        <f t="shared" si="61"/>
        <v>4.2000000000000003E-2</v>
      </c>
      <c r="AX312" s="25">
        <v>1E-4</v>
      </c>
      <c r="AY312" s="24">
        <v>0</v>
      </c>
      <c r="AZ312" s="24">
        <f t="shared" si="62"/>
        <v>6.3000000000000014E-2</v>
      </c>
      <c r="BA312" s="24">
        <f t="shared" si="63"/>
        <v>5.0400000000000014E-2</v>
      </c>
      <c r="BB312" s="24">
        <f t="shared" si="64"/>
        <v>3.7800000000000007E-2</v>
      </c>
      <c r="BC312" s="25">
        <v>1E-4</v>
      </c>
      <c r="BD312" s="24">
        <v>0</v>
      </c>
      <c r="BE312" s="26">
        <v>0</v>
      </c>
      <c r="BF312" s="34">
        <f t="shared" si="53"/>
        <v>0</v>
      </c>
      <c r="BG312" s="34">
        <f t="shared" si="54"/>
        <v>0</v>
      </c>
      <c r="BH312" s="26">
        <v>0</v>
      </c>
      <c r="BI312" s="26">
        <v>0</v>
      </c>
      <c r="BJ312" s="20" t="s">
        <v>496</v>
      </c>
      <c r="BK312" s="27" t="s">
        <v>496</v>
      </c>
      <c r="BL312" s="27" t="s">
        <v>3634</v>
      </c>
      <c r="BM312" s="27" t="s">
        <v>3635</v>
      </c>
      <c r="BN312" s="26">
        <v>1</v>
      </c>
      <c r="BO312" s="34"/>
      <c r="BP312" s="34"/>
      <c r="BQ312" s="34"/>
      <c r="BR312" s="34"/>
      <c r="BS312" s="34"/>
      <c r="BT312" s="34"/>
      <c r="BU312" s="34"/>
      <c r="BV312" s="34"/>
      <c r="BW312" s="34"/>
      <c r="BX312" s="34"/>
      <c r="BY312" s="34"/>
      <c r="BZ312" s="34"/>
      <c r="CA312" s="20"/>
      <c r="CB312" s="20"/>
      <c r="CC312" s="29">
        <v>46003</v>
      </c>
      <c r="CD312" s="2" t="s">
        <v>3636</v>
      </c>
    </row>
    <row r="313" spans="1:82" s="18" customFormat="1" ht="66.75" customHeight="1" x14ac:dyDescent="0.25">
      <c r="A313" s="121">
        <v>309</v>
      </c>
      <c r="B313" s="141" t="s">
        <v>3637</v>
      </c>
      <c r="C313" s="6" t="s">
        <v>3638</v>
      </c>
      <c r="D313" s="6" t="s">
        <v>3639</v>
      </c>
      <c r="E313" s="75" t="s">
        <v>113</v>
      </c>
      <c r="F313" s="4" t="s">
        <v>3560</v>
      </c>
      <c r="G313" s="33" t="s">
        <v>84</v>
      </c>
      <c r="H313" s="49" t="s">
        <v>463</v>
      </c>
      <c r="I313" s="49" t="s">
        <v>3576</v>
      </c>
      <c r="J313" s="6" t="s">
        <v>3577</v>
      </c>
      <c r="K313" s="49"/>
      <c r="L313" s="49"/>
      <c r="M313" s="49" t="s">
        <v>88</v>
      </c>
      <c r="N313" s="49" t="s">
        <v>89</v>
      </c>
      <c r="O313" s="49" t="s">
        <v>3578</v>
      </c>
      <c r="P313" s="6" t="s">
        <v>3578</v>
      </c>
      <c r="Q313" s="49"/>
      <c r="R313" s="75" t="s">
        <v>175</v>
      </c>
      <c r="S313" s="33" t="s">
        <v>92</v>
      </c>
      <c r="T313" s="33" t="s">
        <v>93</v>
      </c>
      <c r="U313" s="78">
        <v>100</v>
      </c>
      <c r="V313" s="33" t="s">
        <v>94</v>
      </c>
      <c r="W313" s="33" t="s">
        <v>95</v>
      </c>
      <c r="X313" s="33">
        <v>2024</v>
      </c>
      <c r="Y313" s="33" t="s">
        <v>117</v>
      </c>
      <c r="Z313" s="33" t="s">
        <v>95</v>
      </c>
      <c r="AA313" s="33" t="s">
        <v>98</v>
      </c>
      <c r="AB313" s="49" t="s">
        <v>99</v>
      </c>
      <c r="AC313" s="48" t="s">
        <v>3640</v>
      </c>
      <c r="AD313" s="79" t="s">
        <v>3641</v>
      </c>
      <c r="AE313" s="49" t="s">
        <v>3581</v>
      </c>
      <c r="AF313" s="49" t="s">
        <v>3582</v>
      </c>
      <c r="AG313" s="49" t="s">
        <v>178</v>
      </c>
      <c r="AH313" s="49" t="s">
        <v>178</v>
      </c>
      <c r="AI313" s="49" t="s">
        <v>3642</v>
      </c>
      <c r="AJ313" s="6" t="s">
        <v>3643</v>
      </c>
      <c r="AK313" s="5" t="s">
        <v>97</v>
      </c>
      <c r="AL313" s="33" t="s">
        <v>97</v>
      </c>
      <c r="AM313" s="5" t="s">
        <v>221</v>
      </c>
      <c r="AN313" s="6" t="s">
        <v>3586</v>
      </c>
      <c r="AO313" s="6"/>
      <c r="AP313" s="6"/>
      <c r="AQ313" s="49" t="s">
        <v>3539</v>
      </c>
      <c r="AR313" s="20" t="s">
        <v>97</v>
      </c>
      <c r="AS313" s="20" t="s">
        <v>107</v>
      </c>
      <c r="AT313" s="20"/>
      <c r="AU313" s="24">
        <v>0.13</v>
      </c>
      <c r="AV313" s="24">
        <f t="shared" si="60"/>
        <v>0.10400000000000001</v>
      </c>
      <c r="AW313" s="24">
        <f t="shared" si="61"/>
        <v>7.8E-2</v>
      </c>
      <c r="AX313" s="25">
        <v>1E-4</v>
      </c>
      <c r="AY313" s="24">
        <v>0</v>
      </c>
      <c r="AZ313" s="24">
        <f t="shared" si="62"/>
        <v>0.11700000000000001</v>
      </c>
      <c r="BA313" s="24">
        <f t="shared" si="63"/>
        <v>9.3600000000000017E-2</v>
      </c>
      <c r="BB313" s="24">
        <f t="shared" si="64"/>
        <v>7.0199999999999999E-2</v>
      </c>
      <c r="BC313" s="25">
        <v>1E-4</v>
      </c>
      <c r="BD313" s="24">
        <v>0</v>
      </c>
      <c r="BE313" s="26">
        <v>0</v>
      </c>
      <c r="BF313" s="34">
        <f t="shared" si="53"/>
        <v>0</v>
      </c>
      <c r="BG313" s="34">
        <f t="shared" si="54"/>
        <v>0</v>
      </c>
      <c r="BH313" s="26">
        <v>0</v>
      </c>
      <c r="BI313" s="26">
        <v>0</v>
      </c>
      <c r="BJ313" s="20" t="s">
        <v>496</v>
      </c>
      <c r="BK313" s="27" t="s">
        <v>496</v>
      </c>
      <c r="BL313" s="27" t="s">
        <v>3644</v>
      </c>
      <c r="BM313" s="27" t="s">
        <v>1931</v>
      </c>
      <c r="BN313" s="26">
        <v>1</v>
      </c>
      <c r="BO313" s="34"/>
      <c r="BP313" s="34"/>
      <c r="BQ313" s="34"/>
      <c r="BR313" s="34"/>
      <c r="BS313" s="34"/>
      <c r="BT313" s="34"/>
      <c r="BU313" s="34"/>
      <c r="BV313" s="34"/>
      <c r="BW313" s="34"/>
      <c r="BX313" s="34"/>
      <c r="BY313" s="34"/>
      <c r="BZ313" s="34"/>
      <c r="CA313" s="20"/>
      <c r="CB313" s="20"/>
      <c r="CC313" s="29">
        <v>46003</v>
      </c>
      <c r="CD313" s="2" t="s">
        <v>3645</v>
      </c>
    </row>
    <row r="314" spans="1:82" s="18" customFormat="1" ht="66.75" customHeight="1" x14ac:dyDescent="0.25">
      <c r="A314" s="87">
        <v>310</v>
      </c>
      <c r="B314" s="141" t="s">
        <v>3646</v>
      </c>
      <c r="C314" s="6" t="s">
        <v>3647</v>
      </c>
      <c r="D314" s="6" t="s">
        <v>3648</v>
      </c>
      <c r="E314" s="75" t="s">
        <v>174</v>
      </c>
      <c r="F314" s="4" t="s">
        <v>81</v>
      </c>
      <c r="G314" s="33" t="s">
        <v>84</v>
      </c>
      <c r="H314" s="49" t="s">
        <v>108</v>
      </c>
      <c r="I314" s="49" t="s">
        <v>3649</v>
      </c>
      <c r="J314" s="6"/>
      <c r="K314" s="49"/>
      <c r="L314" s="49"/>
      <c r="M314" s="49" t="s">
        <v>88</v>
      </c>
      <c r="N314" s="49" t="s">
        <v>89</v>
      </c>
      <c r="O314" s="49" t="s">
        <v>3650</v>
      </c>
      <c r="P314" s="6" t="s">
        <v>3649</v>
      </c>
      <c r="Q314" s="49"/>
      <c r="R314" s="75" t="s">
        <v>91</v>
      </c>
      <c r="S314" s="33" t="s">
        <v>92</v>
      </c>
      <c r="T314" s="33" t="s">
        <v>93</v>
      </c>
      <c r="U314" s="78">
        <v>100</v>
      </c>
      <c r="V314" s="33" t="s">
        <v>94</v>
      </c>
      <c r="W314" s="33" t="s">
        <v>95</v>
      </c>
      <c r="X314" s="33">
        <v>2021</v>
      </c>
      <c r="Y314" s="33" t="s">
        <v>117</v>
      </c>
      <c r="Z314" s="33" t="s">
        <v>108</v>
      </c>
      <c r="AA314" s="33" t="s">
        <v>108</v>
      </c>
      <c r="AB314" s="49" t="s">
        <v>99</v>
      </c>
      <c r="AC314" s="48" t="s">
        <v>3651</v>
      </c>
      <c r="AD314" s="48" t="s">
        <v>3652</v>
      </c>
      <c r="AE314" s="49" t="s">
        <v>3653</v>
      </c>
      <c r="AF314" s="49" t="s">
        <v>3654</v>
      </c>
      <c r="AG314" s="49" t="s">
        <v>94</v>
      </c>
      <c r="AH314" s="49" t="s">
        <v>94</v>
      </c>
      <c r="AI314" s="49" t="s">
        <v>85</v>
      </c>
      <c r="AJ314" s="49" t="s">
        <v>85</v>
      </c>
      <c r="AK314" s="5" t="s">
        <v>97</v>
      </c>
      <c r="AL314" s="33" t="s">
        <v>97</v>
      </c>
      <c r="AM314" s="5" t="s">
        <v>3655</v>
      </c>
      <c r="AN314" s="5"/>
      <c r="AO314" s="5"/>
      <c r="AP314" s="5"/>
      <c r="AQ314" s="49" t="s">
        <v>3656</v>
      </c>
      <c r="AR314" s="20" t="s">
        <v>97</v>
      </c>
      <c r="AS314" s="20" t="s">
        <v>107</v>
      </c>
      <c r="AT314" s="20"/>
      <c r="AU314" s="24">
        <v>0.95</v>
      </c>
      <c r="AV314" s="24">
        <f t="shared" si="60"/>
        <v>0.76</v>
      </c>
      <c r="AW314" s="24">
        <f t="shared" si="61"/>
        <v>0.56999999999999995</v>
      </c>
      <c r="AX314" s="25">
        <v>1E-4</v>
      </c>
      <c r="AY314" s="24">
        <v>0</v>
      </c>
      <c r="AZ314" s="24">
        <f t="shared" si="62"/>
        <v>0.85499999999999998</v>
      </c>
      <c r="BA314" s="24">
        <f t="shared" si="63"/>
        <v>0.68400000000000005</v>
      </c>
      <c r="BB314" s="24">
        <f t="shared" si="64"/>
        <v>0.51300000000000001</v>
      </c>
      <c r="BC314" s="25">
        <v>1E-4</v>
      </c>
      <c r="BD314" s="24">
        <v>0</v>
      </c>
      <c r="BE314" s="34">
        <v>30</v>
      </c>
      <c r="BF314" s="34">
        <f t="shared" si="53"/>
        <v>24</v>
      </c>
      <c r="BG314" s="34">
        <f t="shared" si="54"/>
        <v>18</v>
      </c>
      <c r="BH314" s="26">
        <v>1</v>
      </c>
      <c r="BI314" s="26">
        <v>0</v>
      </c>
      <c r="BJ314" s="27">
        <v>0.89900000000000002</v>
      </c>
      <c r="BK314" s="27">
        <v>0.93680297397769519</v>
      </c>
      <c r="BL314" s="27" t="s">
        <v>3657</v>
      </c>
      <c r="BM314" s="27" t="s">
        <v>3658</v>
      </c>
      <c r="BN314" s="26"/>
      <c r="BO314" s="34"/>
      <c r="BP314" s="34"/>
      <c r="BQ314" s="34"/>
      <c r="BR314" s="34"/>
      <c r="BS314" s="34"/>
      <c r="BT314" s="34"/>
      <c r="BU314" s="34"/>
      <c r="BV314" s="34"/>
      <c r="BW314" s="34"/>
      <c r="BX314" s="34"/>
      <c r="BY314" s="34"/>
      <c r="BZ314" s="34">
        <v>1</v>
      </c>
      <c r="CA314" s="20" t="s">
        <v>240</v>
      </c>
      <c r="CB314" s="20" t="s">
        <v>240</v>
      </c>
      <c r="CC314" s="46">
        <v>46006</v>
      </c>
      <c r="CD314" s="21" t="s">
        <v>3659</v>
      </c>
    </row>
    <row r="315" spans="1:82" s="18" customFormat="1" ht="66.75" customHeight="1" x14ac:dyDescent="0.25">
      <c r="A315" s="87">
        <v>311</v>
      </c>
      <c r="B315" s="141" t="s">
        <v>3660</v>
      </c>
      <c r="C315" s="6" t="s">
        <v>3661</v>
      </c>
      <c r="D315" s="6" t="s">
        <v>3662</v>
      </c>
      <c r="E315" s="75" t="s">
        <v>174</v>
      </c>
      <c r="F315" s="4" t="s">
        <v>81</v>
      </c>
      <c r="G315" s="33" t="s">
        <v>84</v>
      </c>
      <c r="H315" s="49" t="s">
        <v>108</v>
      </c>
      <c r="I315" s="49" t="s">
        <v>3649</v>
      </c>
      <c r="J315" s="6"/>
      <c r="K315" s="49"/>
      <c r="L315" s="49"/>
      <c r="M315" s="49" t="s">
        <v>88</v>
      </c>
      <c r="N315" s="49" t="s">
        <v>89</v>
      </c>
      <c r="O315" s="49" t="s">
        <v>3650</v>
      </c>
      <c r="P315" s="6" t="s">
        <v>3649</v>
      </c>
      <c r="Q315" s="49"/>
      <c r="R315" s="75" t="s">
        <v>175</v>
      </c>
      <c r="S315" s="33" t="s">
        <v>92</v>
      </c>
      <c r="T315" s="33" t="s">
        <v>93</v>
      </c>
      <c r="U315" s="78">
        <v>100</v>
      </c>
      <c r="V315" s="33" t="s">
        <v>94</v>
      </c>
      <c r="W315" s="33" t="s">
        <v>95</v>
      </c>
      <c r="X315" s="33">
        <v>2021</v>
      </c>
      <c r="Y315" s="33" t="s">
        <v>117</v>
      </c>
      <c r="Z315" s="33" t="s">
        <v>108</v>
      </c>
      <c r="AA315" s="33" t="s">
        <v>108</v>
      </c>
      <c r="AB315" s="49" t="s">
        <v>99</v>
      </c>
      <c r="AC315" s="48" t="s">
        <v>3663</v>
      </c>
      <c r="AD315" s="48" t="s">
        <v>3664</v>
      </c>
      <c r="AE315" s="49" t="s">
        <v>3665</v>
      </c>
      <c r="AF315" s="49" t="s">
        <v>3665</v>
      </c>
      <c r="AG315" s="49" t="s">
        <v>94</v>
      </c>
      <c r="AH315" s="49" t="s">
        <v>94</v>
      </c>
      <c r="AI315" s="49" t="s">
        <v>85</v>
      </c>
      <c r="AJ315" s="49" t="s">
        <v>85</v>
      </c>
      <c r="AK315" s="5" t="s">
        <v>97</v>
      </c>
      <c r="AL315" s="33" t="s">
        <v>97</v>
      </c>
      <c r="AM315" s="5" t="s">
        <v>3666</v>
      </c>
      <c r="AN315" s="5" t="s">
        <v>470</v>
      </c>
      <c r="AO315" s="5"/>
      <c r="AP315" s="5"/>
      <c r="AQ315" s="49" t="s">
        <v>3656</v>
      </c>
      <c r="AR315" s="20" t="s">
        <v>97</v>
      </c>
      <c r="AS315" s="20" t="s">
        <v>107</v>
      </c>
      <c r="AT315" s="20"/>
      <c r="AU315" s="24">
        <v>0.95</v>
      </c>
      <c r="AV315" s="24">
        <f t="shared" si="60"/>
        <v>0.76</v>
      </c>
      <c r="AW315" s="24">
        <f t="shared" si="61"/>
        <v>0.56999999999999995</v>
      </c>
      <c r="AX315" s="25">
        <v>1E-4</v>
      </c>
      <c r="AY315" s="24">
        <v>0</v>
      </c>
      <c r="AZ315" s="24">
        <f t="shared" si="62"/>
        <v>0.85499999999999998</v>
      </c>
      <c r="BA315" s="24">
        <f t="shared" si="63"/>
        <v>0.68400000000000005</v>
      </c>
      <c r="BB315" s="24">
        <f t="shared" si="64"/>
        <v>0.51300000000000001</v>
      </c>
      <c r="BC315" s="25">
        <v>1E-4</v>
      </c>
      <c r="BD315" s="24">
        <v>0</v>
      </c>
      <c r="BE315" s="34">
        <v>10</v>
      </c>
      <c r="BF315" s="34">
        <f t="shared" si="53"/>
        <v>8</v>
      </c>
      <c r="BG315" s="34">
        <f t="shared" si="54"/>
        <v>6</v>
      </c>
      <c r="BH315" s="26">
        <v>1</v>
      </c>
      <c r="BI315" s="26">
        <v>0</v>
      </c>
      <c r="BJ315" s="27">
        <v>0.94799999999999995</v>
      </c>
      <c r="BK315" s="27">
        <v>0.98194794290512177</v>
      </c>
      <c r="BL315" s="27" t="s">
        <v>3667</v>
      </c>
      <c r="BM315" s="27" t="s">
        <v>3668</v>
      </c>
      <c r="BN315" s="26"/>
      <c r="BO315" s="34"/>
      <c r="BP315" s="34"/>
      <c r="BQ315" s="34"/>
      <c r="BR315" s="34"/>
      <c r="BS315" s="34">
        <v>1</v>
      </c>
      <c r="BT315" s="34"/>
      <c r="BU315" s="34"/>
      <c r="BV315" s="34"/>
      <c r="BW315" s="34"/>
      <c r="BX315" s="34"/>
      <c r="BY315" s="34"/>
      <c r="BZ315" s="34">
        <v>1</v>
      </c>
      <c r="CA315" s="20" t="s">
        <v>240</v>
      </c>
      <c r="CB315" s="20" t="s">
        <v>240</v>
      </c>
      <c r="CC315" s="29">
        <v>46003</v>
      </c>
      <c r="CD315" s="35" t="s">
        <v>510</v>
      </c>
    </row>
    <row r="316" spans="1:82" s="18" customFormat="1" ht="66.75" customHeight="1" x14ac:dyDescent="0.25">
      <c r="A316" s="121">
        <v>312</v>
      </c>
      <c r="B316" s="141" t="s">
        <v>3669</v>
      </c>
      <c r="C316" s="6" t="s">
        <v>3670</v>
      </c>
      <c r="D316" s="6" t="s">
        <v>3671</v>
      </c>
      <c r="E316" s="75" t="s">
        <v>174</v>
      </c>
      <c r="F316" s="4" t="s">
        <v>81</v>
      </c>
      <c r="G316" s="33" t="s">
        <v>84</v>
      </c>
      <c r="H316" s="49" t="s">
        <v>108</v>
      </c>
      <c r="I316" s="49" t="s">
        <v>3649</v>
      </c>
      <c r="J316" s="6"/>
      <c r="K316" s="49"/>
      <c r="L316" s="49"/>
      <c r="M316" s="49" t="s">
        <v>88</v>
      </c>
      <c r="N316" s="49" t="s">
        <v>89</v>
      </c>
      <c r="O316" s="49" t="s">
        <v>3650</v>
      </c>
      <c r="P316" s="6" t="s">
        <v>3649</v>
      </c>
      <c r="Q316" s="49"/>
      <c r="R316" s="75" t="s">
        <v>91</v>
      </c>
      <c r="S316" s="33" t="s">
        <v>92</v>
      </c>
      <c r="T316" s="33" t="s">
        <v>93</v>
      </c>
      <c r="U316" s="78">
        <v>100</v>
      </c>
      <c r="V316" s="33" t="s">
        <v>94</v>
      </c>
      <c r="W316" s="33" t="s">
        <v>95</v>
      </c>
      <c r="X316" s="33">
        <v>2023</v>
      </c>
      <c r="Y316" s="33" t="s">
        <v>117</v>
      </c>
      <c r="Z316" s="33" t="s">
        <v>108</v>
      </c>
      <c r="AA316" s="33" t="s">
        <v>108</v>
      </c>
      <c r="AB316" s="49" t="s">
        <v>99</v>
      </c>
      <c r="AC316" s="48" t="s">
        <v>3672</v>
      </c>
      <c r="AD316" s="79" t="s">
        <v>3673</v>
      </c>
      <c r="AE316" s="6" t="s">
        <v>3674</v>
      </c>
      <c r="AF316" s="49" t="s">
        <v>3675</v>
      </c>
      <c r="AG316" s="49" t="s">
        <v>94</v>
      </c>
      <c r="AH316" s="49" t="s">
        <v>94</v>
      </c>
      <c r="AI316" s="49" t="s">
        <v>85</v>
      </c>
      <c r="AJ316" s="49" t="s">
        <v>85</v>
      </c>
      <c r="AK316" s="5" t="s">
        <v>97</v>
      </c>
      <c r="AL316" s="33" t="s">
        <v>97</v>
      </c>
      <c r="AM316" s="5" t="s">
        <v>3676</v>
      </c>
      <c r="AN316" s="5" t="s">
        <v>470</v>
      </c>
      <c r="AO316" s="5"/>
      <c r="AP316" s="5"/>
      <c r="AQ316" s="49" t="s">
        <v>3656</v>
      </c>
      <c r="AR316" s="20" t="s">
        <v>97</v>
      </c>
      <c r="AS316" s="20" t="s">
        <v>107</v>
      </c>
      <c r="AT316" s="20"/>
      <c r="AU316" s="24">
        <v>0.65</v>
      </c>
      <c r="AV316" s="24">
        <f t="shared" si="60"/>
        <v>0.52</v>
      </c>
      <c r="AW316" s="24">
        <f t="shared" si="61"/>
        <v>0.39</v>
      </c>
      <c r="AX316" s="25">
        <v>1E-4</v>
      </c>
      <c r="AY316" s="24">
        <v>0</v>
      </c>
      <c r="AZ316" s="24">
        <f t="shared" si="62"/>
        <v>0.58500000000000008</v>
      </c>
      <c r="BA316" s="24">
        <f t="shared" si="63"/>
        <v>0.46800000000000008</v>
      </c>
      <c r="BB316" s="24">
        <f t="shared" si="64"/>
        <v>0.35100000000000003</v>
      </c>
      <c r="BC316" s="25">
        <v>1E-4</v>
      </c>
      <c r="BD316" s="24">
        <v>0</v>
      </c>
      <c r="BE316" s="34">
        <v>10</v>
      </c>
      <c r="BF316" s="34">
        <f t="shared" si="53"/>
        <v>8</v>
      </c>
      <c r="BG316" s="34">
        <f t="shared" si="54"/>
        <v>6</v>
      </c>
      <c r="BH316" s="26">
        <v>1</v>
      </c>
      <c r="BI316" s="26">
        <v>0</v>
      </c>
      <c r="BJ316" s="27">
        <v>0.37</v>
      </c>
      <c r="BK316" s="27">
        <v>0.61493902439024395</v>
      </c>
      <c r="BL316" s="27" t="s">
        <v>3677</v>
      </c>
      <c r="BM316" s="27" t="s">
        <v>3678</v>
      </c>
      <c r="BN316" s="26"/>
      <c r="BO316" s="34"/>
      <c r="BP316" s="34"/>
      <c r="BQ316" s="34"/>
      <c r="BR316" s="34"/>
      <c r="BS316" s="34"/>
      <c r="BT316" s="34"/>
      <c r="BU316" s="34"/>
      <c r="BV316" s="34"/>
      <c r="BW316" s="34"/>
      <c r="BX316" s="34"/>
      <c r="BY316" s="34"/>
      <c r="BZ316" s="34">
        <v>1</v>
      </c>
      <c r="CA316" s="20" t="s">
        <v>240</v>
      </c>
      <c r="CB316" s="20" t="s">
        <v>240</v>
      </c>
      <c r="CC316" s="46">
        <v>46006</v>
      </c>
      <c r="CD316" s="42" t="s">
        <v>7352</v>
      </c>
    </row>
    <row r="317" spans="1:82" s="18" customFormat="1" ht="66.75" customHeight="1" x14ac:dyDescent="0.25">
      <c r="A317" s="87">
        <v>313</v>
      </c>
      <c r="B317" s="142" t="s">
        <v>3679</v>
      </c>
      <c r="C317" s="2" t="s">
        <v>3680</v>
      </c>
      <c r="D317" s="2" t="s">
        <v>3681</v>
      </c>
      <c r="E317" s="75" t="s">
        <v>113</v>
      </c>
      <c r="F317" s="12" t="s">
        <v>1628</v>
      </c>
      <c r="G317" s="20">
        <v>84</v>
      </c>
      <c r="H317" s="21" t="s">
        <v>114</v>
      </c>
      <c r="I317" s="2" t="s">
        <v>3682</v>
      </c>
      <c r="J317" s="2"/>
      <c r="K317" s="21"/>
      <c r="L317" s="21"/>
      <c r="M317" s="21" t="s">
        <v>136</v>
      </c>
      <c r="N317" s="21" t="s">
        <v>245</v>
      </c>
      <c r="O317" s="21" t="s">
        <v>246</v>
      </c>
      <c r="P317" s="2" t="s">
        <v>3683</v>
      </c>
      <c r="Q317" s="21"/>
      <c r="R317" s="19" t="s">
        <v>3684</v>
      </c>
      <c r="S317" s="33" t="s">
        <v>92</v>
      </c>
      <c r="T317" s="20" t="s">
        <v>2587</v>
      </c>
      <c r="U317" s="22">
        <v>100000</v>
      </c>
      <c r="V317" s="20" t="s">
        <v>94</v>
      </c>
      <c r="W317" s="20" t="s">
        <v>95</v>
      </c>
      <c r="X317" s="20">
        <v>2023</v>
      </c>
      <c r="Y317" s="20" t="s">
        <v>117</v>
      </c>
      <c r="Z317" s="20" t="s">
        <v>95</v>
      </c>
      <c r="AA317" s="20" t="s">
        <v>98</v>
      </c>
      <c r="AB317" s="21" t="s">
        <v>99</v>
      </c>
      <c r="AC317" s="23" t="s">
        <v>3685</v>
      </c>
      <c r="AD317" s="23" t="s">
        <v>1631</v>
      </c>
      <c r="AE317" s="2" t="s">
        <v>3686</v>
      </c>
      <c r="AF317" s="21" t="s">
        <v>121</v>
      </c>
      <c r="AG317" s="21" t="s">
        <v>178</v>
      </c>
      <c r="AH317" s="21" t="s">
        <v>178</v>
      </c>
      <c r="AI317" s="21" t="s">
        <v>1633</v>
      </c>
      <c r="AJ317" s="2" t="s">
        <v>1634</v>
      </c>
      <c r="AK317" s="7" t="s">
        <v>97</v>
      </c>
      <c r="AL317" s="20" t="s">
        <v>97</v>
      </c>
      <c r="AM317" s="7"/>
      <c r="AN317" s="7" t="s">
        <v>3687</v>
      </c>
      <c r="AO317" s="7"/>
      <c r="AP317" s="7"/>
      <c r="AQ317" s="21" t="s">
        <v>1636</v>
      </c>
      <c r="AR317" s="20" t="s">
        <v>97</v>
      </c>
      <c r="AS317" s="20" t="s">
        <v>107</v>
      </c>
      <c r="AT317" s="20"/>
      <c r="AU317" s="24" t="s">
        <v>3688</v>
      </c>
      <c r="AV317" s="24"/>
      <c r="AW317" s="24"/>
      <c r="AX317" s="25" t="s">
        <v>3689</v>
      </c>
      <c r="AY317" s="24"/>
      <c r="AZ317" s="24" t="s">
        <v>3688</v>
      </c>
      <c r="BA317" s="24"/>
      <c r="BB317" s="24"/>
      <c r="BC317" s="25" t="s">
        <v>3689</v>
      </c>
      <c r="BD317" s="24"/>
      <c r="BE317" s="26">
        <v>0</v>
      </c>
      <c r="BF317" s="34">
        <f t="shared" si="53"/>
        <v>0</v>
      </c>
      <c r="BG317" s="34">
        <f t="shared" si="54"/>
        <v>0</v>
      </c>
      <c r="BH317" s="26">
        <v>0</v>
      </c>
      <c r="BI317" s="26">
        <v>0</v>
      </c>
      <c r="BJ317" s="20" t="s">
        <v>496</v>
      </c>
      <c r="BK317" s="72">
        <v>0.213416841892211</v>
      </c>
      <c r="BL317" s="10" t="s">
        <v>3690</v>
      </c>
      <c r="BM317" s="27" t="s">
        <v>3691</v>
      </c>
      <c r="BN317" s="26"/>
      <c r="BO317" s="34">
        <v>1</v>
      </c>
      <c r="BP317" s="34"/>
      <c r="BQ317" s="34"/>
      <c r="BR317" s="34"/>
      <c r="BS317" s="34"/>
      <c r="BT317" s="34"/>
      <c r="BU317" s="34"/>
      <c r="BV317" s="34"/>
      <c r="BW317" s="34"/>
      <c r="BX317" s="34"/>
      <c r="BY317" s="34"/>
      <c r="BZ317" s="34"/>
      <c r="CA317" s="20"/>
      <c r="CB317" s="33"/>
      <c r="CC317" s="46">
        <v>45996</v>
      </c>
      <c r="CD317" s="11" t="s">
        <v>3692</v>
      </c>
    </row>
    <row r="318" spans="1:82" s="18" customFormat="1" ht="66.75" customHeight="1" x14ac:dyDescent="0.25">
      <c r="A318" s="87">
        <v>314</v>
      </c>
      <c r="B318" s="142" t="s">
        <v>3693</v>
      </c>
      <c r="C318" s="2" t="s">
        <v>3694</v>
      </c>
      <c r="D318" s="2" t="s">
        <v>3695</v>
      </c>
      <c r="E318" s="75" t="s">
        <v>113</v>
      </c>
      <c r="F318" s="12" t="s">
        <v>1628</v>
      </c>
      <c r="G318" s="20">
        <v>83</v>
      </c>
      <c r="H318" s="21" t="s">
        <v>114</v>
      </c>
      <c r="I318" s="2" t="s">
        <v>3682</v>
      </c>
      <c r="J318" s="2"/>
      <c r="K318" s="21"/>
      <c r="L318" s="21"/>
      <c r="M318" s="21" t="s">
        <v>136</v>
      </c>
      <c r="N318" s="21" t="s">
        <v>245</v>
      </c>
      <c r="O318" s="21" t="s">
        <v>246</v>
      </c>
      <c r="P318" s="2" t="s">
        <v>3696</v>
      </c>
      <c r="Q318" s="21"/>
      <c r="R318" s="19" t="s">
        <v>3684</v>
      </c>
      <c r="S318" s="33" t="s">
        <v>92</v>
      </c>
      <c r="T318" s="20" t="s">
        <v>2587</v>
      </c>
      <c r="U318" s="22">
        <v>100000</v>
      </c>
      <c r="V318" s="20" t="s">
        <v>94</v>
      </c>
      <c r="W318" s="20" t="s">
        <v>95</v>
      </c>
      <c r="X318" s="20">
        <v>2023</v>
      </c>
      <c r="Y318" s="20" t="s">
        <v>117</v>
      </c>
      <c r="Z318" s="20" t="s">
        <v>95</v>
      </c>
      <c r="AA318" s="20" t="s">
        <v>98</v>
      </c>
      <c r="AB318" s="21" t="s">
        <v>99</v>
      </c>
      <c r="AC318" s="23" t="s">
        <v>3697</v>
      </c>
      <c r="AD318" s="23" t="s">
        <v>1631</v>
      </c>
      <c r="AE318" s="6" t="s">
        <v>3698</v>
      </c>
      <c r="AF318" s="21" t="s">
        <v>121</v>
      </c>
      <c r="AG318" s="21" t="s">
        <v>178</v>
      </c>
      <c r="AH318" s="21" t="s">
        <v>178</v>
      </c>
      <c r="AI318" s="21" t="s">
        <v>1633</v>
      </c>
      <c r="AJ318" s="2" t="s">
        <v>1634</v>
      </c>
      <c r="AK318" s="7" t="s">
        <v>97</v>
      </c>
      <c r="AL318" s="20" t="s">
        <v>97</v>
      </c>
      <c r="AM318" s="7"/>
      <c r="AN318" s="7" t="s">
        <v>3699</v>
      </c>
      <c r="AO318" s="7"/>
      <c r="AP318" s="7"/>
      <c r="AQ318" s="21" t="s">
        <v>1636</v>
      </c>
      <c r="AR318" s="20" t="s">
        <v>97</v>
      </c>
      <c r="AS318" s="20" t="s">
        <v>107</v>
      </c>
      <c r="AT318" s="20"/>
      <c r="AU318" s="24" t="s">
        <v>3700</v>
      </c>
      <c r="AV318" s="24"/>
      <c r="AW318" s="24"/>
      <c r="AX318" s="25" t="s">
        <v>3701</v>
      </c>
      <c r="AY318" s="24"/>
      <c r="AZ318" s="24" t="s">
        <v>3700</v>
      </c>
      <c r="BA318" s="24"/>
      <c r="BB318" s="24"/>
      <c r="BC318" s="25" t="s">
        <v>3701</v>
      </c>
      <c r="BD318" s="24"/>
      <c r="BE318" s="26">
        <v>0</v>
      </c>
      <c r="BF318" s="34">
        <f t="shared" si="53"/>
        <v>0</v>
      </c>
      <c r="BG318" s="34">
        <f t="shared" si="54"/>
        <v>0</v>
      </c>
      <c r="BH318" s="26">
        <v>0</v>
      </c>
      <c r="BI318" s="26">
        <v>0</v>
      </c>
      <c r="BJ318" s="20" t="s">
        <v>496</v>
      </c>
      <c r="BK318" s="72">
        <v>3.0814208449057155E-2</v>
      </c>
      <c r="BL318" s="27" t="s">
        <v>3702</v>
      </c>
      <c r="BM318" s="27" t="s">
        <v>3703</v>
      </c>
      <c r="BN318" s="26"/>
      <c r="BO318" s="34">
        <v>1</v>
      </c>
      <c r="BP318" s="34"/>
      <c r="BQ318" s="34"/>
      <c r="BR318" s="34"/>
      <c r="BS318" s="34"/>
      <c r="BT318" s="34"/>
      <c r="BU318" s="34"/>
      <c r="BV318" s="34"/>
      <c r="BW318" s="34"/>
      <c r="BX318" s="34"/>
      <c r="BY318" s="34"/>
      <c r="BZ318" s="34"/>
      <c r="CA318" s="20"/>
      <c r="CB318" s="33"/>
      <c r="CC318" s="46">
        <v>45996</v>
      </c>
      <c r="CD318" s="11" t="s">
        <v>3704</v>
      </c>
    </row>
    <row r="319" spans="1:82" s="18" customFormat="1" ht="66.75" customHeight="1" x14ac:dyDescent="0.25">
      <c r="A319" s="121">
        <v>315</v>
      </c>
      <c r="B319" s="142" t="s">
        <v>3705</v>
      </c>
      <c r="C319" s="2" t="s">
        <v>3706</v>
      </c>
      <c r="D319" s="2" t="s">
        <v>3707</v>
      </c>
      <c r="E319" s="75" t="s">
        <v>113</v>
      </c>
      <c r="F319" s="12" t="s">
        <v>1628</v>
      </c>
      <c r="G319" s="20">
        <v>6</v>
      </c>
      <c r="H319" s="21" t="s">
        <v>114</v>
      </c>
      <c r="I319" s="2" t="s">
        <v>3682</v>
      </c>
      <c r="J319" s="2"/>
      <c r="K319" s="21"/>
      <c r="L319" s="21"/>
      <c r="M319" s="21" t="s">
        <v>136</v>
      </c>
      <c r="N319" s="21" t="s">
        <v>245</v>
      </c>
      <c r="O319" s="21" t="s">
        <v>246</v>
      </c>
      <c r="P319" s="2" t="s">
        <v>3708</v>
      </c>
      <c r="Q319" s="21"/>
      <c r="R319" s="19" t="s">
        <v>3684</v>
      </c>
      <c r="S319" s="33" t="s">
        <v>92</v>
      </c>
      <c r="T319" s="20" t="s">
        <v>2587</v>
      </c>
      <c r="U319" s="22">
        <v>100000</v>
      </c>
      <c r="V319" s="20" t="s">
        <v>94</v>
      </c>
      <c r="W319" s="20" t="s">
        <v>95</v>
      </c>
      <c r="X319" s="20">
        <v>2023</v>
      </c>
      <c r="Y319" s="20" t="s">
        <v>117</v>
      </c>
      <c r="Z319" s="20" t="s">
        <v>95</v>
      </c>
      <c r="AA319" s="20" t="s">
        <v>98</v>
      </c>
      <c r="AB319" s="21" t="s">
        <v>99</v>
      </c>
      <c r="AC319" s="31" t="s">
        <v>3709</v>
      </c>
      <c r="AD319" s="23" t="s">
        <v>1631</v>
      </c>
      <c r="AE319" s="2" t="s">
        <v>3710</v>
      </c>
      <c r="AF319" s="21" t="s">
        <v>121</v>
      </c>
      <c r="AG319" s="21" t="s">
        <v>178</v>
      </c>
      <c r="AH319" s="21" t="s">
        <v>178</v>
      </c>
      <c r="AI319" s="21" t="s">
        <v>3711</v>
      </c>
      <c r="AJ319" s="2" t="s">
        <v>1634</v>
      </c>
      <c r="AK319" s="7" t="s">
        <v>97</v>
      </c>
      <c r="AL319" s="20" t="s">
        <v>97</v>
      </c>
      <c r="AM319" s="7"/>
      <c r="AN319" s="7" t="s">
        <v>3712</v>
      </c>
      <c r="AO319" s="7"/>
      <c r="AP319" s="7"/>
      <c r="AQ319" s="21" t="s">
        <v>1636</v>
      </c>
      <c r="AR319" s="20" t="s">
        <v>97</v>
      </c>
      <c r="AS319" s="20" t="s">
        <v>107</v>
      </c>
      <c r="AT319" s="20"/>
      <c r="AU319" s="24" t="s">
        <v>3713</v>
      </c>
      <c r="AV319" s="24"/>
      <c r="AW319" s="24"/>
      <c r="AX319" s="25" t="s">
        <v>3714</v>
      </c>
      <c r="AY319" s="24"/>
      <c r="AZ319" s="24" t="s">
        <v>3713</v>
      </c>
      <c r="BA319" s="24"/>
      <c r="BB319" s="24"/>
      <c r="BC319" s="25" t="s">
        <v>3714</v>
      </c>
      <c r="BD319" s="24"/>
      <c r="BE319" s="26">
        <v>0</v>
      </c>
      <c r="BF319" s="34">
        <f t="shared" si="53"/>
        <v>0</v>
      </c>
      <c r="BG319" s="34">
        <f t="shared" si="54"/>
        <v>0</v>
      </c>
      <c r="BH319" s="26">
        <v>0</v>
      </c>
      <c r="BI319" s="26">
        <v>0</v>
      </c>
      <c r="BJ319" s="20" t="s">
        <v>496</v>
      </c>
      <c r="BK319" s="72">
        <v>3.366579335005004E-3</v>
      </c>
      <c r="BL319" s="27" t="s">
        <v>3715</v>
      </c>
      <c r="BM319" s="27" t="s">
        <v>3716</v>
      </c>
      <c r="BN319" s="26"/>
      <c r="BO319" s="34">
        <v>1</v>
      </c>
      <c r="BP319" s="34"/>
      <c r="BQ319" s="34"/>
      <c r="BR319" s="34"/>
      <c r="BS319" s="34"/>
      <c r="BT319" s="34"/>
      <c r="BU319" s="34"/>
      <c r="BV319" s="34"/>
      <c r="BW319" s="34"/>
      <c r="BX319" s="34"/>
      <c r="BY319" s="34"/>
      <c r="BZ319" s="34"/>
      <c r="CA319" s="20"/>
      <c r="CB319" s="33"/>
      <c r="CC319" s="46">
        <v>45996</v>
      </c>
      <c r="CD319" s="11" t="s">
        <v>3717</v>
      </c>
    </row>
    <row r="320" spans="1:82" s="18" customFormat="1" ht="66.75" customHeight="1" x14ac:dyDescent="0.25">
      <c r="A320" s="87">
        <v>316</v>
      </c>
      <c r="B320" s="142" t="s">
        <v>3718</v>
      </c>
      <c r="C320" s="2" t="s">
        <v>3719</v>
      </c>
      <c r="D320" s="2" t="s">
        <v>3720</v>
      </c>
      <c r="E320" s="75" t="s">
        <v>113</v>
      </c>
      <c r="F320" s="12" t="s">
        <v>1628</v>
      </c>
      <c r="G320" s="20">
        <v>59</v>
      </c>
      <c r="H320" s="21" t="s">
        <v>775</v>
      </c>
      <c r="I320" s="21" t="s">
        <v>3682</v>
      </c>
      <c r="J320" s="2"/>
      <c r="K320" s="21"/>
      <c r="L320" s="21"/>
      <c r="M320" s="21" t="s">
        <v>136</v>
      </c>
      <c r="N320" s="21" t="s">
        <v>245</v>
      </c>
      <c r="O320" s="21" t="s">
        <v>246</v>
      </c>
      <c r="P320" s="2" t="s">
        <v>3721</v>
      </c>
      <c r="Q320" s="21"/>
      <c r="R320" s="19" t="s">
        <v>3684</v>
      </c>
      <c r="S320" s="33" t="s">
        <v>92</v>
      </c>
      <c r="T320" s="20" t="s">
        <v>2587</v>
      </c>
      <c r="U320" s="22">
        <v>100000</v>
      </c>
      <c r="V320" s="20" t="s">
        <v>94</v>
      </c>
      <c r="W320" s="20" t="s">
        <v>95</v>
      </c>
      <c r="X320" s="20">
        <v>2023</v>
      </c>
      <c r="Y320" s="20" t="s">
        <v>117</v>
      </c>
      <c r="Z320" s="20" t="s">
        <v>95</v>
      </c>
      <c r="AA320" s="20" t="s">
        <v>98</v>
      </c>
      <c r="AB320" s="21" t="s">
        <v>99</v>
      </c>
      <c r="AC320" s="23" t="s">
        <v>3722</v>
      </c>
      <c r="AD320" s="23" t="s">
        <v>3723</v>
      </c>
      <c r="AE320" s="11" t="s">
        <v>3724</v>
      </c>
      <c r="AF320" s="21" t="s">
        <v>121</v>
      </c>
      <c r="AG320" s="21" t="s">
        <v>178</v>
      </c>
      <c r="AH320" s="21" t="s">
        <v>178</v>
      </c>
      <c r="AI320" s="2" t="s">
        <v>3725</v>
      </c>
      <c r="AJ320" s="21" t="s">
        <v>3723</v>
      </c>
      <c r="AK320" s="5" t="s">
        <v>97</v>
      </c>
      <c r="AL320" s="20" t="s">
        <v>97</v>
      </c>
      <c r="AM320" s="7"/>
      <c r="AN320" s="7" t="s">
        <v>3726</v>
      </c>
      <c r="AO320" s="7"/>
      <c r="AP320" s="7"/>
      <c r="AQ320" s="53"/>
      <c r="AR320" s="20" t="s">
        <v>97</v>
      </c>
      <c r="AS320" s="20" t="s">
        <v>107</v>
      </c>
      <c r="AT320" s="20"/>
      <c r="AU320" s="24" t="s">
        <v>3727</v>
      </c>
      <c r="AV320" s="24"/>
      <c r="AW320" s="24"/>
      <c r="AX320" s="25" t="s">
        <v>3728</v>
      </c>
      <c r="AY320" s="24"/>
      <c r="AZ320" s="24" t="s">
        <v>3727</v>
      </c>
      <c r="BA320" s="24"/>
      <c r="BB320" s="24"/>
      <c r="BC320" s="25" t="s">
        <v>3728</v>
      </c>
      <c r="BD320" s="24"/>
      <c r="BE320" s="26">
        <v>0</v>
      </c>
      <c r="BF320" s="34">
        <f t="shared" si="53"/>
        <v>0</v>
      </c>
      <c r="BG320" s="34">
        <f t="shared" si="54"/>
        <v>0</v>
      </c>
      <c r="BH320" s="26">
        <v>0</v>
      </c>
      <c r="BI320" s="26">
        <v>0</v>
      </c>
      <c r="BJ320" s="20" t="s">
        <v>496</v>
      </c>
      <c r="BK320" s="72">
        <v>7.3123290743078877E-6</v>
      </c>
      <c r="BL320" s="27" t="s">
        <v>3729</v>
      </c>
      <c r="BM320" s="27" t="s">
        <v>3730</v>
      </c>
      <c r="BN320" s="26"/>
      <c r="BO320" s="34">
        <v>1</v>
      </c>
      <c r="BP320" s="34"/>
      <c r="BQ320" s="34"/>
      <c r="BR320" s="34"/>
      <c r="BS320" s="34"/>
      <c r="BT320" s="34"/>
      <c r="BU320" s="34"/>
      <c r="BV320" s="34"/>
      <c r="BW320" s="34"/>
      <c r="BX320" s="34"/>
      <c r="BY320" s="34"/>
      <c r="BZ320" s="34"/>
      <c r="CA320" s="20"/>
      <c r="CB320" s="33"/>
      <c r="CC320" s="46">
        <v>45996</v>
      </c>
      <c r="CD320" s="11" t="s">
        <v>3731</v>
      </c>
    </row>
    <row r="321" spans="1:82" s="18" customFormat="1" ht="66.75" customHeight="1" x14ac:dyDescent="0.25">
      <c r="A321" s="87">
        <v>317</v>
      </c>
      <c r="B321" s="142" t="s">
        <v>3732</v>
      </c>
      <c r="C321" s="2" t="s">
        <v>3733</v>
      </c>
      <c r="D321" s="2" t="s">
        <v>3734</v>
      </c>
      <c r="E321" s="75" t="s">
        <v>113</v>
      </c>
      <c r="F321" s="12" t="s">
        <v>1628</v>
      </c>
      <c r="G321" s="20">
        <v>60</v>
      </c>
      <c r="H321" s="21" t="s">
        <v>775</v>
      </c>
      <c r="I321" s="21" t="s">
        <v>3682</v>
      </c>
      <c r="J321" s="2"/>
      <c r="K321" s="21"/>
      <c r="L321" s="21"/>
      <c r="M321" s="21" t="s">
        <v>136</v>
      </c>
      <c r="N321" s="21" t="s">
        <v>245</v>
      </c>
      <c r="O321" s="21" t="s">
        <v>246</v>
      </c>
      <c r="P321" s="2" t="s">
        <v>3735</v>
      </c>
      <c r="Q321" s="21"/>
      <c r="R321" s="19" t="s">
        <v>3684</v>
      </c>
      <c r="S321" s="33" t="s">
        <v>92</v>
      </c>
      <c r="T321" s="20" t="s">
        <v>2587</v>
      </c>
      <c r="U321" s="22">
        <v>100000</v>
      </c>
      <c r="V321" s="20" t="s">
        <v>94</v>
      </c>
      <c r="W321" s="20" t="s">
        <v>95</v>
      </c>
      <c r="X321" s="20">
        <v>2023</v>
      </c>
      <c r="Y321" s="20" t="s">
        <v>117</v>
      </c>
      <c r="Z321" s="20" t="s">
        <v>95</v>
      </c>
      <c r="AA321" s="20" t="s">
        <v>98</v>
      </c>
      <c r="AB321" s="21" t="s">
        <v>99</v>
      </c>
      <c r="AC321" s="23" t="s">
        <v>3736</v>
      </c>
      <c r="AD321" s="23" t="s">
        <v>3723</v>
      </c>
      <c r="AE321" s="5" t="s">
        <v>3737</v>
      </c>
      <c r="AF321" s="21" t="s">
        <v>121</v>
      </c>
      <c r="AG321" s="21" t="s">
        <v>178</v>
      </c>
      <c r="AH321" s="21" t="s">
        <v>178</v>
      </c>
      <c r="AI321" s="21" t="s">
        <v>3725</v>
      </c>
      <c r="AJ321" s="21" t="s">
        <v>3723</v>
      </c>
      <c r="AK321" s="7" t="s">
        <v>1635</v>
      </c>
      <c r="AL321" s="20" t="s">
        <v>97</v>
      </c>
      <c r="AM321" s="7"/>
      <c r="AN321" s="7" t="s">
        <v>3738</v>
      </c>
      <c r="AO321" s="7" t="s">
        <v>3739</v>
      </c>
      <c r="AP321" s="7" t="s">
        <v>3740</v>
      </c>
      <c r="AQ321" s="21" t="s">
        <v>3741</v>
      </c>
      <c r="AR321" s="20" t="s">
        <v>97</v>
      </c>
      <c r="AS321" s="20" t="s">
        <v>107</v>
      </c>
      <c r="AT321" s="20"/>
      <c r="AU321" s="24" t="s">
        <v>3742</v>
      </c>
      <c r="AV321" s="24"/>
      <c r="AW321" s="24"/>
      <c r="AX321" s="25" t="s">
        <v>3743</v>
      </c>
      <c r="AY321" s="24"/>
      <c r="AZ321" s="24" t="s">
        <v>3742</v>
      </c>
      <c r="BA321" s="24"/>
      <c r="BB321" s="24"/>
      <c r="BC321" s="25" t="s">
        <v>3743</v>
      </c>
      <c r="BD321" s="24"/>
      <c r="BE321" s="26">
        <v>0</v>
      </c>
      <c r="BF321" s="34">
        <f t="shared" si="53"/>
        <v>0</v>
      </c>
      <c r="BG321" s="34">
        <f t="shared" si="54"/>
        <v>0</v>
      </c>
      <c r="BH321" s="26">
        <v>0</v>
      </c>
      <c r="BI321" s="26">
        <v>0</v>
      </c>
      <c r="BJ321" s="20" t="s">
        <v>496</v>
      </c>
      <c r="BK321" s="72">
        <v>3.656164537153944E-7</v>
      </c>
      <c r="BL321" s="27" t="s">
        <v>3744</v>
      </c>
      <c r="BM321" s="27" t="s">
        <v>3745</v>
      </c>
      <c r="BN321" s="26"/>
      <c r="BO321" s="34">
        <v>1</v>
      </c>
      <c r="BP321" s="34"/>
      <c r="BQ321" s="34"/>
      <c r="BR321" s="34"/>
      <c r="BS321" s="34"/>
      <c r="BT321" s="34"/>
      <c r="BU321" s="34"/>
      <c r="BV321" s="34"/>
      <c r="BW321" s="34"/>
      <c r="BX321" s="34"/>
      <c r="BY321" s="34"/>
      <c r="BZ321" s="34"/>
      <c r="CA321" s="20"/>
      <c r="CB321" s="33"/>
      <c r="CC321" s="46">
        <v>45996</v>
      </c>
      <c r="CD321" s="11" t="s">
        <v>3746</v>
      </c>
    </row>
    <row r="322" spans="1:82" s="18" customFormat="1" ht="66.75" customHeight="1" x14ac:dyDescent="0.25">
      <c r="A322" s="121">
        <v>318</v>
      </c>
      <c r="B322" s="142" t="s">
        <v>3747</v>
      </c>
      <c r="C322" s="2" t="s">
        <v>3748</v>
      </c>
      <c r="D322" s="2" t="s">
        <v>3749</v>
      </c>
      <c r="E322" s="75" t="s">
        <v>113</v>
      </c>
      <c r="F322" s="12" t="s">
        <v>1628</v>
      </c>
      <c r="G322" s="20">
        <v>61</v>
      </c>
      <c r="H322" s="21" t="s">
        <v>775</v>
      </c>
      <c r="I322" s="21" t="s">
        <v>3682</v>
      </c>
      <c r="J322" s="2"/>
      <c r="K322" s="21"/>
      <c r="L322" s="21"/>
      <c r="M322" s="21" t="s">
        <v>136</v>
      </c>
      <c r="N322" s="21" t="s">
        <v>245</v>
      </c>
      <c r="O322" s="21" t="s">
        <v>246</v>
      </c>
      <c r="P322" s="2" t="s">
        <v>3750</v>
      </c>
      <c r="Q322" s="21"/>
      <c r="R322" s="19" t="s">
        <v>3684</v>
      </c>
      <c r="S322" s="33" t="s">
        <v>92</v>
      </c>
      <c r="T322" s="20" t="s">
        <v>2587</v>
      </c>
      <c r="U322" s="22">
        <v>100000</v>
      </c>
      <c r="V322" s="20" t="s">
        <v>94</v>
      </c>
      <c r="W322" s="20" t="s">
        <v>95</v>
      </c>
      <c r="X322" s="20">
        <v>2023</v>
      </c>
      <c r="Y322" s="20" t="s">
        <v>117</v>
      </c>
      <c r="Z322" s="20" t="s">
        <v>95</v>
      </c>
      <c r="AA322" s="20" t="s">
        <v>98</v>
      </c>
      <c r="AB322" s="21" t="s">
        <v>99</v>
      </c>
      <c r="AC322" s="23" t="s">
        <v>3751</v>
      </c>
      <c r="AD322" s="23" t="s">
        <v>3723</v>
      </c>
      <c r="AE322" s="82" t="s">
        <v>3752</v>
      </c>
      <c r="AF322" s="21" t="s">
        <v>121</v>
      </c>
      <c r="AG322" s="21" t="s">
        <v>178</v>
      </c>
      <c r="AH322" s="21" t="s">
        <v>178</v>
      </c>
      <c r="AI322" s="21" t="s">
        <v>3725</v>
      </c>
      <c r="AJ322" s="21" t="s">
        <v>3723</v>
      </c>
      <c r="AK322" s="7" t="s">
        <v>1635</v>
      </c>
      <c r="AL322" s="20" t="s">
        <v>97</v>
      </c>
      <c r="AM322" s="7"/>
      <c r="AN322" s="7" t="s">
        <v>3753</v>
      </c>
      <c r="AO322" s="7"/>
      <c r="AP322" s="7"/>
      <c r="AQ322" s="21" t="s">
        <v>3754</v>
      </c>
      <c r="AR322" s="20" t="s">
        <v>97</v>
      </c>
      <c r="AS322" s="20" t="s">
        <v>107</v>
      </c>
      <c r="AT322" s="20"/>
      <c r="AU322" s="41" t="s">
        <v>3742</v>
      </c>
      <c r="AV322" s="24"/>
      <c r="AW322" s="24"/>
      <c r="AX322" s="62" t="s">
        <v>3743</v>
      </c>
      <c r="AY322" s="24"/>
      <c r="AZ322" s="24" t="s">
        <v>3742</v>
      </c>
      <c r="BA322" s="24"/>
      <c r="BB322" s="24"/>
      <c r="BC322" s="62" t="s">
        <v>3743</v>
      </c>
      <c r="BD322" s="24"/>
      <c r="BE322" s="26">
        <v>0</v>
      </c>
      <c r="BF322" s="34">
        <f t="shared" si="53"/>
        <v>0</v>
      </c>
      <c r="BG322" s="34">
        <f t="shared" si="54"/>
        <v>0</v>
      </c>
      <c r="BH322" s="26">
        <v>0</v>
      </c>
      <c r="BI322" s="26">
        <v>0</v>
      </c>
      <c r="BJ322" s="20" t="s">
        <v>496</v>
      </c>
      <c r="BK322" s="72">
        <v>4.8748860495385921E-7</v>
      </c>
      <c r="BL322" s="27" t="s">
        <v>3744</v>
      </c>
      <c r="BM322" s="27" t="s">
        <v>3745</v>
      </c>
      <c r="BN322" s="26"/>
      <c r="BO322" s="34">
        <v>1</v>
      </c>
      <c r="BP322" s="34"/>
      <c r="BQ322" s="34"/>
      <c r="BR322" s="34"/>
      <c r="BS322" s="34"/>
      <c r="BT322" s="34"/>
      <c r="BU322" s="34"/>
      <c r="BV322" s="34"/>
      <c r="BW322" s="34"/>
      <c r="BX322" s="34"/>
      <c r="BY322" s="34"/>
      <c r="BZ322" s="34"/>
      <c r="CA322" s="20"/>
      <c r="CB322" s="33"/>
      <c r="CC322" s="46">
        <v>45996</v>
      </c>
      <c r="CD322" s="11" t="s">
        <v>3755</v>
      </c>
    </row>
    <row r="323" spans="1:82" s="18" customFormat="1" ht="66.75" customHeight="1" x14ac:dyDescent="0.25">
      <c r="A323" s="87">
        <v>319</v>
      </c>
      <c r="B323" s="142" t="s">
        <v>3756</v>
      </c>
      <c r="C323" s="2" t="s">
        <v>3757</v>
      </c>
      <c r="D323" s="2" t="s">
        <v>3758</v>
      </c>
      <c r="E323" s="75" t="s">
        <v>113</v>
      </c>
      <c r="F323" s="12" t="s">
        <v>1628</v>
      </c>
      <c r="G323" s="20">
        <v>62</v>
      </c>
      <c r="H323" s="21" t="s">
        <v>775</v>
      </c>
      <c r="I323" s="21" t="s">
        <v>3682</v>
      </c>
      <c r="J323" s="2"/>
      <c r="K323" s="21"/>
      <c r="L323" s="21"/>
      <c r="M323" s="21" t="s">
        <v>136</v>
      </c>
      <c r="N323" s="21" t="s">
        <v>245</v>
      </c>
      <c r="O323" s="21" t="s">
        <v>246</v>
      </c>
      <c r="P323" s="2" t="s">
        <v>3759</v>
      </c>
      <c r="Q323" s="21"/>
      <c r="R323" s="19" t="s">
        <v>3684</v>
      </c>
      <c r="S323" s="33" t="s">
        <v>92</v>
      </c>
      <c r="T323" s="20" t="s">
        <v>2587</v>
      </c>
      <c r="U323" s="22">
        <v>100000</v>
      </c>
      <c r="V323" s="20" t="s">
        <v>94</v>
      </c>
      <c r="W323" s="20" t="s">
        <v>95</v>
      </c>
      <c r="X323" s="20">
        <v>2023</v>
      </c>
      <c r="Y323" s="20" t="s">
        <v>117</v>
      </c>
      <c r="Z323" s="20" t="s">
        <v>95</v>
      </c>
      <c r="AA323" s="20" t="s">
        <v>98</v>
      </c>
      <c r="AB323" s="21" t="s">
        <v>99</v>
      </c>
      <c r="AC323" s="23" t="s">
        <v>3760</v>
      </c>
      <c r="AD323" s="23" t="s">
        <v>3723</v>
      </c>
      <c r="AE323" s="82" t="s">
        <v>3761</v>
      </c>
      <c r="AF323" s="21" t="s">
        <v>121</v>
      </c>
      <c r="AG323" s="21" t="s">
        <v>178</v>
      </c>
      <c r="AH323" s="21" t="s">
        <v>178</v>
      </c>
      <c r="AI323" s="21" t="s">
        <v>3725</v>
      </c>
      <c r="AJ323" s="21" t="s">
        <v>3723</v>
      </c>
      <c r="AK323" s="7" t="s">
        <v>1635</v>
      </c>
      <c r="AL323" s="20" t="s">
        <v>97</v>
      </c>
      <c r="AM323" s="7"/>
      <c r="AN323" s="7" t="s">
        <v>3762</v>
      </c>
      <c r="AO323" s="7"/>
      <c r="AP323" s="7"/>
      <c r="AQ323" s="21" t="s">
        <v>3754</v>
      </c>
      <c r="AR323" s="20" t="s">
        <v>97</v>
      </c>
      <c r="AS323" s="20" t="s">
        <v>107</v>
      </c>
      <c r="AT323" s="20"/>
      <c r="AU323" s="24" t="s">
        <v>3763</v>
      </c>
      <c r="AV323" s="24"/>
      <c r="AW323" s="24"/>
      <c r="AX323" s="25" t="s">
        <v>3764</v>
      </c>
      <c r="AY323" s="24"/>
      <c r="AZ323" s="24" t="s">
        <v>3763</v>
      </c>
      <c r="BA323" s="24"/>
      <c r="BB323" s="24"/>
      <c r="BC323" s="25" t="s">
        <v>3764</v>
      </c>
      <c r="BD323" s="24"/>
      <c r="BE323" s="26">
        <v>0</v>
      </c>
      <c r="BF323" s="34">
        <f t="shared" si="53"/>
        <v>0</v>
      </c>
      <c r="BG323" s="34">
        <f t="shared" si="54"/>
        <v>0</v>
      </c>
      <c r="BH323" s="26">
        <v>0</v>
      </c>
      <c r="BI323" s="26">
        <v>0</v>
      </c>
      <c r="BJ323" s="20" t="s">
        <v>496</v>
      </c>
      <c r="BK323" s="72">
        <v>0</v>
      </c>
      <c r="BL323" s="72">
        <v>0</v>
      </c>
      <c r="BM323" s="27" t="s">
        <v>2598</v>
      </c>
      <c r="BN323" s="26"/>
      <c r="BO323" s="34">
        <v>1</v>
      </c>
      <c r="BP323" s="34"/>
      <c r="BQ323" s="34"/>
      <c r="BR323" s="34"/>
      <c r="BS323" s="34"/>
      <c r="BT323" s="34"/>
      <c r="BU323" s="34"/>
      <c r="BV323" s="34"/>
      <c r="BW323" s="34"/>
      <c r="BX323" s="34"/>
      <c r="BY323" s="34"/>
      <c r="BZ323" s="34"/>
      <c r="CA323" s="20"/>
      <c r="CB323" s="33"/>
      <c r="CC323" s="46">
        <v>45996</v>
      </c>
      <c r="CD323" s="11" t="s">
        <v>3765</v>
      </c>
    </row>
    <row r="324" spans="1:82" s="18" customFormat="1" ht="66.75" customHeight="1" x14ac:dyDescent="0.25">
      <c r="A324" s="87">
        <v>320</v>
      </c>
      <c r="B324" s="142" t="s">
        <v>3766</v>
      </c>
      <c r="C324" s="2" t="s">
        <v>3767</v>
      </c>
      <c r="D324" s="2" t="s">
        <v>3768</v>
      </c>
      <c r="E324" s="75" t="s">
        <v>113</v>
      </c>
      <c r="F324" s="12" t="s">
        <v>1628</v>
      </c>
      <c r="G324" s="20">
        <v>63</v>
      </c>
      <c r="H324" s="21" t="s">
        <v>775</v>
      </c>
      <c r="I324" s="21" t="s">
        <v>3682</v>
      </c>
      <c r="J324" s="2"/>
      <c r="K324" s="21"/>
      <c r="L324" s="21"/>
      <c r="M324" s="21" t="s">
        <v>136</v>
      </c>
      <c r="N324" s="21" t="s">
        <v>245</v>
      </c>
      <c r="O324" s="21" t="s">
        <v>246</v>
      </c>
      <c r="P324" s="2" t="s">
        <v>2722</v>
      </c>
      <c r="Q324" s="21"/>
      <c r="R324" s="19" t="s">
        <v>3684</v>
      </c>
      <c r="S324" s="33" t="s">
        <v>92</v>
      </c>
      <c r="T324" s="20" t="s">
        <v>2587</v>
      </c>
      <c r="U324" s="22">
        <v>100000</v>
      </c>
      <c r="V324" s="20" t="s">
        <v>94</v>
      </c>
      <c r="W324" s="20" t="s">
        <v>95</v>
      </c>
      <c r="X324" s="20">
        <v>2023</v>
      </c>
      <c r="Y324" s="20" t="s">
        <v>117</v>
      </c>
      <c r="Z324" s="20" t="s">
        <v>95</v>
      </c>
      <c r="AA324" s="20" t="s">
        <v>98</v>
      </c>
      <c r="AB324" s="21" t="s">
        <v>99</v>
      </c>
      <c r="AC324" s="23" t="s">
        <v>3769</v>
      </c>
      <c r="AD324" s="23" t="s">
        <v>3723</v>
      </c>
      <c r="AE324" s="82" t="s">
        <v>3770</v>
      </c>
      <c r="AF324" s="21" t="s">
        <v>121</v>
      </c>
      <c r="AG324" s="21" t="s">
        <v>178</v>
      </c>
      <c r="AH324" s="21" t="s">
        <v>178</v>
      </c>
      <c r="AI324" s="21" t="s">
        <v>3725</v>
      </c>
      <c r="AJ324" s="21" t="s">
        <v>3723</v>
      </c>
      <c r="AK324" s="7" t="s">
        <v>1635</v>
      </c>
      <c r="AL324" s="20" t="s">
        <v>97</v>
      </c>
      <c r="AM324" s="7"/>
      <c r="AN324" s="7" t="s">
        <v>3771</v>
      </c>
      <c r="AO324" s="7"/>
      <c r="AP324" s="7"/>
      <c r="AQ324" s="21" t="s">
        <v>3754</v>
      </c>
      <c r="AR324" s="20" t="s">
        <v>97</v>
      </c>
      <c r="AS324" s="20" t="s">
        <v>107</v>
      </c>
      <c r="AT324" s="20"/>
      <c r="AU324" s="24" t="s">
        <v>3772</v>
      </c>
      <c r="AV324" s="24"/>
      <c r="AW324" s="24"/>
      <c r="AX324" s="25" t="s">
        <v>3773</v>
      </c>
      <c r="AY324" s="24"/>
      <c r="AZ324" s="24" t="s">
        <v>3772</v>
      </c>
      <c r="BA324" s="24"/>
      <c r="BB324" s="24"/>
      <c r="BC324" s="25" t="s">
        <v>3773</v>
      </c>
      <c r="BD324" s="24"/>
      <c r="BE324" s="26">
        <v>0</v>
      </c>
      <c r="BF324" s="34">
        <f t="shared" ref="BF324:BF387" si="65">+BE324*80%</f>
        <v>0</v>
      </c>
      <c r="BG324" s="34">
        <f t="shared" ref="BG324:BG387" si="66">+BE324*60%</f>
        <v>0</v>
      </c>
      <c r="BH324" s="26">
        <v>0</v>
      </c>
      <c r="BI324" s="26">
        <v>0</v>
      </c>
      <c r="BJ324" s="20" t="s">
        <v>496</v>
      </c>
      <c r="BK324" s="72">
        <v>1.4551534857872698E-4</v>
      </c>
      <c r="BL324" s="27" t="s">
        <v>3774</v>
      </c>
      <c r="BM324" s="27" t="s">
        <v>3775</v>
      </c>
      <c r="BN324" s="26"/>
      <c r="BO324" s="34">
        <v>1</v>
      </c>
      <c r="BP324" s="34"/>
      <c r="BQ324" s="34"/>
      <c r="BR324" s="34"/>
      <c r="BS324" s="34"/>
      <c r="BT324" s="34"/>
      <c r="BU324" s="34"/>
      <c r="BV324" s="34"/>
      <c r="BW324" s="34"/>
      <c r="BX324" s="34"/>
      <c r="BY324" s="34"/>
      <c r="BZ324" s="34"/>
      <c r="CA324" s="20"/>
      <c r="CB324" s="33"/>
      <c r="CC324" s="46">
        <v>45996</v>
      </c>
      <c r="CD324" s="11" t="s">
        <v>3765</v>
      </c>
    </row>
    <row r="325" spans="1:82" s="18" customFormat="1" ht="66.75" customHeight="1" x14ac:dyDescent="0.25">
      <c r="A325" s="121">
        <v>321</v>
      </c>
      <c r="B325" s="142" t="s">
        <v>3776</v>
      </c>
      <c r="C325" s="2" t="s">
        <v>3777</v>
      </c>
      <c r="D325" s="2" t="s">
        <v>3778</v>
      </c>
      <c r="E325" s="75" t="s">
        <v>113</v>
      </c>
      <c r="F325" s="12" t="s">
        <v>1628</v>
      </c>
      <c r="G325" s="20">
        <v>64</v>
      </c>
      <c r="H325" s="21" t="s">
        <v>775</v>
      </c>
      <c r="I325" s="21" t="s">
        <v>3682</v>
      </c>
      <c r="J325" s="2"/>
      <c r="K325" s="21"/>
      <c r="L325" s="21"/>
      <c r="M325" s="21" t="s">
        <v>136</v>
      </c>
      <c r="N325" s="21" t="s">
        <v>245</v>
      </c>
      <c r="O325" s="21" t="s">
        <v>246</v>
      </c>
      <c r="P325" s="2" t="s">
        <v>3779</v>
      </c>
      <c r="Q325" s="21"/>
      <c r="R325" s="19" t="s">
        <v>3684</v>
      </c>
      <c r="S325" s="33" t="s">
        <v>92</v>
      </c>
      <c r="T325" s="20" t="s">
        <v>2587</v>
      </c>
      <c r="U325" s="22">
        <v>100000</v>
      </c>
      <c r="V325" s="20" t="s">
        <v>94</v>
      </c>
      <c r="W325" s="20" t="s">
        <v>95</v>
      </c>
      <c r="X325" s="20">
        <v>2023</v>
      </c>
      <c r="Y325" s="20" t="s">
        <v>117</v>
      </c>
      <c r="Z325" s="20" t="s">
        <v>95</v>
      </c>
      <c r="AA325" s="20" t="s">
        <v>98</v>
      </c>
      <c r="AB325" s="21" t="s">
        <v>99</v>
      </c>
      <c r="AC325" s="23" t="s">
        <v>3780</v>
      </c>
      <c r="AD325" s="23" t="s">
        <v>3723</v>
      </c>
      <c r="AE325" s="5" t="s">
        <v>3781</v>
      </c>
      <c r="AF325" s="21" t="s">
        <v>121</v>
      </c>
      <c r="AG325" s="21" t="s">
        <v>178</v>
      </c>
      <c r="AH325" s="21" t="s">
        <v>178</v>
      </c>
      <c r="AI325" s="21" t="s">
        <v>3725</v>
      </c>
      <c r="AJ325" s="21" t="s">
        <v>3723</v>
      </c>
      <c r="AK325" s="7" t="s">
        <v>1635</v>
      </c>
      <c r="AL325" s="20" t="s">
        <v>97</v>
      </c>
      <c r="AM325" s="7"/>
      <c r="AN325" s="7" t="s">
        <v>3782</v>
      </c>
      <c r="AO325" s="2" t="s">
        <v>3783</v>
      </c>
      <c r="AP325" s="2" t="s">
        <v>3740</v>
      </c>
      <c r="AQ325" s="2" t="s">
        <v>3741</v>
      </c>
      <c r="AR325" s="20" t="s">
        <v>97</v>
      </c>
      <c r="AS325" s="20" t="s">
        <v>107</v>
      </c>
      <c r="AT325" s="20"/>
      <c r="AU325" s="41" t="s">
        <v>3784</v>
      </c>
      <c r="AV325" s="24"/>
      <c r="AW325" s="24"/>
      <c r="AX325" s="62" t="s">
        <v>3785</v>
      </c>
      <c r="AY325" s="24"/>
      <c r="AZ325" s="24" t="s">
        <v>3784</v>
      </c>
      <c r="BA325" s="24"/>
      <c r="BB325" s="24"/>
      <c r="BC325" s="62" t="s">
        <v>3785</v>
      </c>
      <c r="BD325" s="24"/>
      <c r="BE325" s="26">
        <v>0</v>
      </c>
      <c r="BF325" s="34">
        <f t="shared" si="65"/>
        <v>0</v>
      </c>
      <c r="BG325" s="34">
        <f t="shared" si="66"/>
        <v>0</v>
      </c>
      <c r="BH325" s="26">
        <v>0</v>
      </c>
      <c r="BI325" s="26">
        <v>0</v>
      </c>
      <c r="BJ325" s="20" t="s">
        <v>496</v>
      </c>
      <c r="BK325" s="72">
        <v>1.6818356870908144E-5</v>
      </c>
      <c r="BL325" s="27" t="s">
        <v>3786</v>
      </c>
      <c r="BM325" s="27" t="s">
        <v>3787</v>
      </c>
      <c r="BN325" s="26"/>
      <c r="BO325" s="34">
        <v>1</v>
      </c>
      <c r="BP325" s="34"/>
      <c r="BQ325" s="34"/>
      <c r="BR325" s="34"/>
      <c r="BS325" s="34"/>
      <c r="BT325" s="34"/>
      <c r="BU325" s="34"/>
      <c r="BV325" s="34"/>
      <c r="BW325" s="34"/>
      <c r="BX325" s="34"/>
      <c r="BY325" s="34"/>
      <c r="BZ325" s="34"/>
      <c r="CA325" s="20"/>
      <c r="CB325" s="33"/>
      <c r="CC325" s="46">
        <v>45996</v>
      </c>
      <c r="CD325" s="11" t="s">
        <v>3765</v>
      </c>
    </row>
    <row r="326" spans="1:82" s="18" customFormat="1" ht="66.75" customHeight="1" x14ac:dyDescent="0.25">
      <c r="A326" s="87">
        <v>322</v>
      </c>
      <c r="B326" s="142" t="s">
        <v>3788</v>
      </c>
      <c r="C326" s="2" t="s">
        <v>3789</v>
      </c>
      <c r="D326" s="2" t="s">
        <v>3790</v>
      </c>
      <c r="E326" s="75" t="s">
        <v>113</v>
      </c>
      <c r="F326" s="12" t="s">
        <v>1628</v>
      </c>
      <c r="G326" s="20">
        <v>65</v>
      </c>
      <c r="H326" s="21" t="s">
        <v>775</v>
      </c>
      <c r="I326" s="21" t="s">
        <v>3682</v>
      </c>
      <c r="J326" s="2"/>
      <c r="K326" s="21"/>
      <c r="L326" s="21"/>
      <c r="M326" s="21" t="s">
        <v>136</v>
      </c>
      <c r="N326" s="21" t="s">
        <v>245</v>
      </c>
      <c r="O326" s="21" t="s">
        <v>246</v>
      </c>
      <c r="P326" s="2" t="s">
        <v>3791</v>
      </c>
      <c r="Q326" s="21"/>
      <c r="R326" s="19" t="s">
        <v>3684</v>
      </c>
      <c r="S326" s="33" t="s">
        <v>92</v>
      </c>
      <c r="T326" s="20" t="s">
        <v>2587</v>
      </c>
      <c r="U326" s="22">
        <v>100000</v>
      </c>
      <c r="V326" s="20" t="s">
        <v>94</v>
      </c>
      <c r="W326" s="20" t="s">
        <v>95</v>
      </c>
      <c r="X326" s="20">
        <v>2023</v>
      </c>
      <c r="Y326" s="20" t="s">
        <v>117</v>
      </c>
      <c r="Z326" s="20" t="s">
        <v>95</v>
      </c>
      <c r="AA326" s="20" t="s">
        <v>98</v>
      </c>
      <c r="AB326" s="21" t="s">
        <v>99</v>
      </c>
      <c r="AC326" s="23" t="s">
        <v>3792</v>
      </c>
      <c r="AD326" s="23" t="s">
        <v>3723</v>
      </c>
      <c r="AE326" s="19" t="s">
        <v>3793</v>
      </c>
      <c r="AF326" s="21" t="s">
        <v>121</v>
      </c>
      <c r="AG326" s="21" t="s">
        <v>178</v>
      </c>
      <c r="AH326" s="21" t="s">
        <v>178</v>
      </c>
      <c r="AI326" s="21" t="s">
        <v>3725</v>
      </c>
      <c r="AJ326" s="21" t="s">
        <v>3723</v>
      </c>
      <c r="AK326" s="7" t="s">
        <v>97</v>
      </c>
      <c r="AL326" s="20" t="s">
        <v>97</v>
      </c>
      <c r="AM326" s="7"/>
      <c r="AN326" s="7" t="s">
        <v>3794</v>
      </c>
      <c r="AO326" s="7"/>
      <c r="AP326" s="7"/>
      <c r="AQ326" s="21"/>
      <c r="AR326" s="20" t="s">
        <v>97</v>
      </c>
      <c r="AS326" s="20" t="s">
        <v>107</v>
      </c>
      <c r="AT326" s="20"/>
      <c r="AU326" s="24" t="s">
        <v>3795</v>
      </c>
      <c r="AV326" s="24"/>
      <c r="AW326" s="24"/>
      <c r="AX326" s="25" t="s">
        <v>3796</v>
      </c>
      <c r="AY326" s="24"/>
      <c r="AZ326" s="24" t="s">
        <v>3795</v>
      </c>
      <c r="BA326" s="24"/>
      <c r="BB326" s="24"/>
      <c r="BC326" s="25" t="s">
        <v>3796</v>
      </c>
      <c r="BD326" s="24"/>
      <c r="BE326" s="26">
        <v>0</v>
      </c>
      <c r="BF326" s="34">
        <f t="shared" si="65"/>
        <v>0</v>
      </c>
      <c r="BG326" s="34">
        <f t="shared" si="66"/>
        <v>0</v>
      </c>
      <c r="BH326" s="26">
        <v>0</v>
      </c>
      <c r="BI326" s="26">
        <v>0</v>
      </c>
      <c r="BJ326" s="20" t="s">
        <v>496</v>
      </c>
      <c r="BK326" s="72">
        <v>5.8620504745701572E-5</v>
      </c>
      <c r="BL326" s="27" t="s">
        <v>3797</v>
      </c>
      <c r="BM326" s="27" t="s">
        <v>3798</v>
      </c>
      <c r="BN326" s="26"/>
      <c r="BO326" s="34">
        <v>1</v>
      </c>
      <c r="BP326" s="34"/>
      <c r="BQ326" s="34"/>
      <c r="BR326" s="34"/>
      <c r="BS326" s="34"/>
      <c r="BT326" s="34"/>
      <c r="BU326" s="34"/>
      <c r="BV326" s="34"/>
      <c r="BW326" s="34"/>
      <c r="BX326" s="34"/>
      <c r="BY326" s="34"/>
      <c r="BZ326" s="34"/>
      <c r="CA326" s="20"/>
      <c r="CB326" s="33"/>
      <c r="CC326" s="46">
        <v>45996</v>
      </c>
      <c r="CD326" s="11" t="s">
        <v>3799</v>
      </c>
    </row>
    <row r="327" spans="1:82" s="18" customFormat="1" ht="66.75" customHeight="1" x14ac:dyDescent="0.25">
      <c r="A327" s="87">
        <v>323</v>
      </c>
      <c r="B327" s="142" t="s">
        <v>3800</v>
      </c>
      <c r="C327" s="2" t="s">
        <v>3801</v>
      </c>
      <c r="D327" s="2" t="s">
        <v>3802</v>
      </c>
      <c r="E327" s="75" t="s">
        <v>113</v>
      </c>
      <c r="F327" s="12" t="s">
        <v>1628</v>
      </c>
      <c r="G327" s="20">
        <v>66</v>
      </c>
      <c r="H327" s="21" t="s">
        <v>775</v>
      </c>
      <c r="I327" s="21" t="s">
        <v>3682</v>
      </c>
      <c r="J327" s="2"/>
      <c r="K327" s="21"/>
      <c r="L327" s="21"/>
      <c r="M327" s="21" t="s">
        <v>136</v>
      </c>
      <c r="N327" s="21" t="s">
        <v>245</v>
      </c>
      <c r="O327" s="21" t="s">
        <v>246</v>
      </c>
      <c r="P327" s="2" t="s">
        <v>3803</v>
      </c>
      <c r="Q327" s="21"/>
      <c r="R327" s="19" t="s">
        <v>3684</v>
      </c>
      <c r="S327" s="33" t="s">
        <v>92</v>
      </c>
      <c r="T327" s="20" t="s">
        <v>2587</v>
      </c>
      <c r="U327" s="22">
        <v>100000</v>
      </c>
      <c r="V327" s="20" t="s">
        <v>94</v>
      </c>
      <c r="W327" s="20" t="s">
        <v>95</v>
      </c>
      <c r="X327" s="20">
        <v>2023</v>
      </c>
      <c r="Y327" s="20" t="s">
        <v>117</v>
      </c>
      <c r="Z327" s="20" t="s">
        <v>95</v>
      </c>
      <c r="AA327" s="20" t="s">
        <v>98</v>
      </c>
      <c r="AB327" s="21" t="s">
        <v>99</v>
      </c>
      <c r="AC327" s="23" t="s">
        <v>3804</v>
      </c>
      <c r="AD327" s="23" t="s">
        <v>3723</v>
      </c>
      <c r="AE327" s="5" t="s">
        <v>3805</v>
      </c>
      <c r="AF327" s="21" t="s">
        <v>121</v>
      </c>
      <c r="AG327" s="21" t="s">
        <v>178</v>
      </c>
      <c r="AH327" s="21" t="s">
        <v>178</v>
      </c>
      <c r="AI327" s="21" t="s">
        <v>3725</v>
      </c>
      <c r="AJ327" s="21" t="s">
        <v>3723</v>
      </c>
      <c r="AK327" s="7" t="s">
        <v>1635</v>
      </c>
      <c r="AL327" s="20" t="s">
        <v>97</v>
      </c>
      <c r="AM327" s="7"/>
      <c r="AN327" s="7" t="s">
        <v>3806</v>
      </c>
      <c r="AO327" s="2" t="s">
        <v>3807</v>
      </c>
      <c r="AP327" s="2" t="s">
        <v>3740</v>
      </c>
      <c r="AQ327" s="2" t="s">
        <v>3741</v>
      </c>
      <c r="AR327" s="20" t="s">
        <v>97</v>
      </c>
      <c r="AS327" s="20" t="s">
        <v>107</v>
      </c>
      <c r="AT327" s="20"/>
      <c r="AU327" s="24" t="s">
        <v>3808</v>
      </c>
      <c r="AV327" s="24"/>
      <c r="AW327" s="24"/>
      <c r="AX327" s="25" t="s">
        <v>3809</v>
      </c>
      <c r="AY327" s="24"/>
      <c r="AZ327" s="24" t="s">
        <v>3808</v>
      </c>
      <c r="BA327" s="24"/>
      <c r="BB327" s="24"/>
      <c r="BC327" s="25" t="s">
        <v>3810</v>
      </c>
      <c r="BD327" s="24"/>
      <c r="BE327" s="26">
        <v>0</v>
      </c>
      <c r="BF327" s="34">
        <f t="shared" si="65"/>
        <v>0</v>
      </c>
      <c r="BG327" s="34">
        <f t="shared" si="66"/>
        <v>0</v>
      </c>
      <c r="BH327" s="26">
        <v>0</v>
      </c>
      <c r="BI327" s="26">
        <v>0</v>
      </c>
      <c r="BJ327" s="20" t="s">
        <v>496</v>
      </c>
      <c r="BK327" s="72">
        <v>8.5310505866925361E-7</v>
      </c>
      <c r="BL327" s="27" t="s">
        <v>3744</v>
      </c>
      <c r="BM327" s="27" t="s">
        <v>3744</v>
      </c>
      <c r="BN327" s="26"/>
      <c r="BO327" s="34">
        <v>1</v>
      </c>
      <c r="BP327" s="34"/>
      <c r="BQ327" s="34"/>
      <c r="BR327" s="34"/>
      <c r="BS327" s="34"/>
      <c r="BT327" s="34"/>
      <c r="BU327" s="34"/>
      <c r="BV327" s="34"/>
      <c r="BW327" s="34"/>
      <c r="BX327" s="34"/>
      <c r="BY327" s="34"/>
      <c r="BZ327" s="34"/>
      <c r="CA327" s="20"/>
      <c r="CB327" s="33"/>
      <c r="CC327" s="46">
        <v>45996</v>
      </c>
      <c r="CD327" s="11" t="s">
        <v>3755</v>
      </c>
    </row>
    <row r="328" spans="1:82" s="18" customFormat="1" ht="66.75" customHeight="1" x14ac:dyDescent="0.25">
      <c r="A328" s="121">
        <v>324</v>
      </c>
      <c r="B328" s="142" t="s">
        <v>3811</v>
      </c>
      <c r="C328" s="2" t="s">
        <v>3812</v>
      </c>
      <c r="D328" s="2" t="s">
        <v>3813</v>
      </c>
      <c r="E328" s="75" t="s">
        <v>113</v>
      </c>
      <c r="F328" s="12" t="s">
        <v>1628</v>
      </c>
      <c r="G328" s="20">
        <v>67</v>
      </c>
      <c r="H328" s="21" t="s">
        <v>775</v>
      </c>
      <c r="I328" s="21" t="s">
        <v>3682</v>
      </c>
      <c r="J328" s="2"/>
      <c r="K328" s="21"/>
      <c r="L328" s="21"/>
      <c r="M328" s="21" t="s">
        <v>136</v>
      </c>
      <c r="N328" s="21" t="s">
        <v>245</v>
      </c>
      <c r="O328" s="21" t="s">
        <v>246</v>
      </c>
      <c r="P328" s="2" t="s">
        <v>3814</v>
      </c>
      <c r="Q328" s="21"/>
      <c r="R328" s="19" t="s">
        <v>3684</v>
      </c>
      <c r="S328" s="33" t="s">
        <v>92</v>
      </c>
      <c r="T328" s="20" t="s">
        <v>2587</v>
      </c>
      <c r="U328" s="22">
        <v>100000</v>
      </c>
      <c r="V328" s="20" t="s">
        <v>94</v>
      </c>
      <c r="W328" s="20" t="s">
        <v>95</v>
      </c>
      <c r="X328" s="20">
        <v>2023</v>
      </c>
      <c r="Y328" s="20" t="s">
        <v>117</v>
      </c>
      <c r="Z328" s="20" t="s">
        <v>95</v>
      </c>
      <c r="AA328" s="20" t="s">
        <v>98</v>
      </c>
      <c r="AB328" s="21" t="s">
        <v>99</v>
      </c>
      <c r="AC328" s="23" t="s">
        <v>3815</v>
      </c>
      <c r="AD328" s="23" t="s">
        <v>3723</v>
      </c>
      <c r="AE328" s="5" t="s">
        <v>3816</v>
      </c>
      <c r="AF328" s="2" t="s">
        <v>121</v>
      </c>
      <c r="AG328" s="21" t="s">
        <v>178</v>
      </c>
      <c r="AH328" s="21" t="s">
        <v>178</v>
      </c>
      <c r="AI328" s="21" t="s">
        <v>3725</v>
      </c>
      <c r="AJ328" s="21" t="s">
        <v>3723</v>
      </c>
      <c r="AK328" s="7" t="s">
        <v>1635</v>
      </c>
      <c r="AL328" s="20" t="s">
        <v>97</v>
      </c>
      <c r="AM328" s="7"/>
      <c r="AN328" s="7" t="s">
        <v>3817</v>
      </c>
      <c r="AO328" s="2" t="s">
        <v>3818</v>
      </c>
      <c r="AP328" s="2" t="s">
        <v>3740</v>
      </c>
      <c r="AQ328" s="2" t="s">
        <v>3741</v>
      </c>
      <c r="AR328" s="20" t="s">
        <v>97</v>
      </c>
      <c r="AS328" s="20" t="s">
        <v>107</v>
      </c>
      <c r="AT328" s="20"/>
      <c r="AU328" s="24" t="s">
        <v>3808</v>
      </c>
      <c r="AV328" s="24"/>
      <c r="AW328" s="24"/>
      <c r="AX328" s="25" t="s">
        <v>3809</v>
      </c>
      <c r="AY328" s="24"/>
      <c r="AZ328" s="24" t="s">
        <v>3808</v>
      </c>
      <c r="BA328" s="24"/>
      <c r="BB328" s="24"/>
      <c r="BC328" s="25" t="s">
        <v>3819</v>
      </c>
      <c r="BD328" s="24"/>
      <c r="BE328" s="26">
        <v>0</v>
      </c>
      <c r="BF328" s="34">
        <f t="shared" si="65"/>
        <v>0</v>
      </c>
      <c r="BG328" s="34">
        <f t="shared" si="66"/>
        <v>0</v>
      </c>
      <c r="BH328" s="26">
        <v>0</v>
      </c>
      <c r="BI328" s="26">
        <v>0</v>
      </c>
      <c r="BJ328" s="20" t="s">
        <v>496</v>
      </c>
      <c r="BK328" s="72">
        <v>1.5002461817455016E-4</v>
      </c>
      <c r="BL328" s="27" t="s">
        <v>3820</v>
      </c>
      <c r="BM328" s="27" t="s">
        <v>3821</v>
      </c>
      <c r="BN328" s="26"/>
      <c r="BO328" s="34">
        <v>1</v>
      </c>
      <c r="BP328" s="34"/>
      <c r="BQ328" s="34"/>
      <c r="BR328" s="34"/>
      <c r="BS328" s="34"/>
      <c r="BT328" s="34"/>
      <c r="BU328" s="34"/>
      <c r="BV328" s="34"/>
      <c r="BW328" s="34"/>
      <c r="BX328" s="34"/>
      <c r="BY328" s="34"/>
      <c r="BZ328" s="34"/>
      <c r="CA328" s="20"/>
      <c r="CB328" s="33"/>
      <c r="CC328" s="46">
        <v>45996</v>
      </c>
      <c r="CD328" s="11" t="s">
        <v>3765</v>
      </c>
    </row>
    <row r="329" spans="1:82" s="18" customFormat="1" ht="66.75" customHeight="1" x14ac:dyDescent="0.25">
      <c r="A329" s="87">
        <v>325</v>
      </c>
      <c r="B329" s="142" t="s">
        <v>3822</v>
      </c>
      <c r="C329" s="2" t="s">
        <v>3823</v>
      </c>
      <c r="D329" s="2" t="s">
        <v>3824</v>
      </c>
      <c r="E329" s="75" t="s">
        <v>113</v>
      </c>
      <c r="F329" s="12" t="s">
        <v>1628</v>
      </c>
      <c r="G329" s="20">
        <v>68</v>
      </c>
      <c r="H329" s="21" t="s">
        <v>775</v>
      </c>
      <c r="I329" s="21" t="s">
        <v>3682</v>
      </c>
      <c r="J329" s="2"/>
      <c r="K329" s="21"/>
      <c r="L329" s="21"/>
      <c r="M329" s="21" t="s">
        <v>136</v>
      </c>
      <c r="N329" s="21" t="s">
        <v>245</v>
      </c>
      <c r="O329" s="21" t="s">
        <v>246</v>
      </c>
      <c r="P329" s="2" t="s">
        <v>3825</v>
      </c>
      <c r="Q329" s="21"/>
      <c r="R329" s="19" t="s">
        <v>3684</v>
      </c>
      <c r="S329" s="33" t="s">
        <v>92</v>
      </c>
      <c r="T329" s="20" t="s">
        <v>2587</v>
      </c>
      <c r="U329" s="22">
        <v>100000</v>
      </c>
      <c r="V329" s="20" t="s">
        <v>94</v>
      </c>
      <c r="W329" s="20" t="s">
        <v>95</v>
      </c>
      <c r="X329" s="20">
        <v>2023</v>
      </c>
      <c r="Y329" s="20" t="s">
        <v>117</v>
      </c>
      <c r="Z329" s="20" t="s">
        <v>95</v>
      </c>
      <c r="AA329" s="20" t="s">
        <v>98</v>
      </c>
      <c r="AB329" s="21" t="s">
        <v>99</v>
      </c>
      <c r="AC329" s="23" t="s">
        <v>3826</v>
      </c>
      <c r="AD329" s="23" t="s">
        <v>3723</v>
      </c>
      <c r="AE329" s="5" t="s">
        <v>3827</v>
      </c>
      <c r="AF329" s="2" t="s">
        <v>121</v>
      </c>
      <c r="AG329" s="21" t="s">
        <v>178</v>
      </c>
      <c r="AH329" s="21" t="s">
        <v>178</v>
      </c>
      <c r="AI329" s="21" t="s">
        <v>3725</v>
      </c>
      <c r="AJ329" s="21" t="s">
        <v>3723</v>
      </c>
      <c r="AK329" s="7" t="s">
        <v>1635</v>
      </c>
      <c r="AL329" s="20" t="s">
        <v>97</v>
      </c>
      <c r="AM329" s="7"/>
      <c r="AN329" s="7" t="s">
        <v>3828</v>
      </c>
      <c r="AO329" s="2" t="s">
        <v>3829</v>
      </c>
      <c r="AP329" s="2" t="s">
        <v>3740</v>
      </c>
      <c r="AQ329" s="2" t="s">
        <v>3741</v>
      </c>
      <c r="AR329" s="20" t="s">
        <v>97</v>
      </c>
      <c r="AS329" s="20" t="s">
        <v>107</v>
      </c>
      <c r="AT329" s="20"/>
      <c r="AU329" s="26"/>
      <c r="AV329" s="24"/>
      <c r="AW329" s="24"/>
      <c r="AX329" s="25" t="s">
        <v>3830</v>
      </c>
      <c r="AY329" s="24"/>
      <c r="AZ329" s="24"/>
      <c r="BA329" s="24"/>
      <c r="BB329" s="24"/>
      <c r="BC329" s="25" t="s">
        <v>3830</v>
      </c>
      <c r="BD329" s="24"/>
      <c r="BE329" s="26">
        <v>0</v>
      </c>
      <c r="BF329" s="34">
        <f t="shared" si="65"/>
        <v>0</v>
      </c>
      <c r="BG329" s="34">
        <f t="shared" si="66"/>
        <v>0</v>
      </c>
      <c r="BH329" s="26">
        <v>0</v>
      </c>
      <c r="BI329" s="26">
        <v>0</v>
      </c>
      <c r="BJ329" s="20" t="s">
        <v>496</v>
      </c>
      <c r="BK329" s="72">
        <v>5.7279911082078453E-6</v>
      </c>
      <c r="BL329" s="27" t="s">
        <v>3831</v>
      </c>
      <c r="BM329" s="27" t="s">
        <v>3832</v>
      </c>
      <c r="BN329" s="26"/>
      <c r="BO329" s="34">
        <v>1</v>
      </c>
      <c r="BP329" s="34"/>
      <c r="BQ329" s="34"/>
      <c r="BR329" s="34"/>
      <c r="BS329" s="34"/>
      <c r="BT329" s="34"/>
      <c r="BU329" s="34"/>
      <c r="BV329" s="34"/>
      <c r="BW329" s="34"/>
      <c r="BX329" s="34"/>
      <c r="BY329" s="34"/>
      <c r="BZ329" s="34"/>
      <c r="CA329" s="20"/>
      <c r="CB329" s="33"/>
      <c r="CC329" s="46">
        <v>45996</v>
      </c>
      <c r="CD329" s="11" t="s">
        <v>3755</v>
      </c>
    </row>
    <row r="330" spans="1:82" s="18" customFormat="1" ht="66.75" customHeight="1" x14ac:dyDescent="0.25">
      <c r="A330" s="87">
        <v>326</v>
      </c>
      <c r="B330" s="142" t="s">
        <v>3833</v>
      </c>
      <c r="C330" s="2" t="s">
        <v>3834</v>
      </c>
      <c r="D330" s="2" t="s">
        <v>3835</v>
      </c>
      <c r="E330" s="75" t="s">
        <v>113</v>
      </c>
      <c r="F330" s="12" t="s">
        <v>1628</v>
      </c>
      <c r="G330" s="20">
        <v>69</v>
      </c>
      <c r="H330" s="21" t="s">
        <v>775</v>
      </c>
      <c r="I330" s="21" t="s">
        <v>3682</v>
      </c>
      <c r="J330" s="2"/>
      <c r="K330" s="21"/>
      <c r="L330" s="21"/>
      <c r="M330" s="21" t="s">
        <v>136</v>
      </c>
      <c r="N330" s="21" t="s">
        <v>245</v>
      </c>
      <c r="O330" s="21" t="s">
        <v>246</v>
      </c>
      <c r="P330" s="2" t="s">
        <v>3836</v>
      </c>
      <c r="Q330" s="21"/>
      <c r="R330" s="19" t="s">
        <v>3684</v>
      </c>
      <c r="S330" s="33" t="s">
        <v>92</v>
      </c>
      <c r="T330" s="20" t="s">
        <v>2587</v>
      </c>
      <c r="U330" s="22">
        <v>100000</v>
      </c>
      <c r="V330" s="20" t="s">
        <v>94</v>
      </c>
      <c r="W330" s="20" t="s">
        <v>95</v>
      </c>
      <c r="X330" s="20">
        <v>2023</v>
      </c>
      <c r="Y330" s="20" t="s">
        <v>117</v>
      </c>
      <c r="Z330" s="20" t="s">
        <v>95</v>
      </c>
      <c r="AA330" s="20" t="s">
        <v>98</v>
      </c>
      <c r="AB330" s="21" t="s">
        <v>99</v>
      </c>
      <c r="AC330" s="23" t="s">
        <v>3837</v>
      </c>
      <c r="AD330" s="23" t="s">
        <v>3723</v>
      </c>
      <c r="AE330" s="5" t="s">
        <v>3838</v>
      </c>
      <c r="AF330" s="2" t="s">
        <v>121</v>
      </c>
      <c r="AG330" s="21" t="s">
        <v>178</v>
      </c>
      <c r="AH330" s="21" t="s">
        <v>178</v>
      </c>
      <c r="AI330" s="21" t="s">
        <v>3725</v>
      </c>
      <c r="AJ330" s="21" t="s">
        <v>3723</v>
      </c>
      <c r="AK330" s="7" t="s">
        <v>1635</v>
      </c>
      <c r="AL330" s="20" t="s">
        <v>97</v>
      </c>
      <c r="AM330" s="7"/>
      <c r="AN330" s="7" t="s">
        <v>3839</v>
      </c>
      <c r="AO330" s="2" t="s">
        <v>3840</v>
      </c>
      <c r="AP330" s="2" t="s">
        <v>3740</v>
      </c>
      <c r="AQ330" s="2" t="s">
        <v>3741</v>
      </c>
      <c r="AR330" s="20" t="s">
        <v>97</v>
      </c>
      <c r="AS330" s="20" t="s">
        <v>107</v>
      </c>
      <c r="AT330" s="20"/>
      <c r="AU330" s="24" t="s">
        <v>3841</v>
      </c>
      <c r="AV330" s="24"/>
      <c r="AW330" s="24"/>
      <c r="AX330" s="25" t="s">
        <v>3842</v>
      </c>
      <c r="AY330" s="24"/>
      <c r="AZ330" s="24" t="s">
        <v>3841</v>
      </c>
      <c r="BA330" s="24"/>
      <c r="BB330" s="24"/>
      <c r="BC330" s="25" t="s">
        <v>3842</v>
      </c>
      <c r="BD330" s="24"/>
      <c r="BE330" s="26">
        <v>0</v>
      </c>
      <c r="BF330" s="34">
        <f t="shared" si="65"/>
        <v>0</v>
      </c>
      <c r="BG330" s="34">
        <f t="shared" si="66"/>
        <v>0</v>
      </c>
      <c r="BH330" s="26">
        <v>0</v>
      </c>
      <c r="BI330" s="26">
        <v>0</v>
      </c>
      <c r="BJ330" s="20" t="s">
        <v>496</v>
      </c>
      <c r="BK330" s="72">
        <v>5.3501874393686046E-5</v>
      </c>
      <c r="BL330" s="27" t="s">
        <v>3843</v>
      </c>
      <c r="BM330" s="27" t="s">
        <v>3844</v>
      </c>
      <c r="BN330" s="26"/>
      <c r="BO330" s="34">
        <v>1</v>
      </c>
      <c r="BP330" s="34"/>
      <c r="BQ330" s="34"/>
      <c r="BR330" s="34"/>
      <c r="BS330" s="34"/>
      <c r="BT330" s="34"/>
      <c r="BU330" s="34"/>
      <c r="BV330" s="34"/>
      <c r="BW330" s="34"/>
      <c r="BX330" s="34"/>
      <c r="BY330" s="34"/>
      <c r="BZ330" s="34"/>
      <c r="CA330" s="20"/>
      <c r="CB330" s="33"/>
      <c r="CC330" s="46">
        <v>45996</v>
      </c>
      <c r="CD330" s="11" t="s">
        <v>3765</v>
      </c>
    </row>
    <row r="331" spans="1:82" s="18" customFormat="1" ht="66.75" customHeight="1" x14ac:dyDescent="0.25">
      <c r="A331" s="121">
        <v>327</v>
      </c>
      <c r="B331" s="142" t="s">
        <v>3845</v>
      </c>
      <c r="C331" s="2" t="s">
        <v>3846</v>
      </c>
      <c r="D331" s="2" t="s">
        <v>3847</v>
      </c>
      <c r="E331" s="75" t="s">
        <v>113</v>
      </c>
      <c r="F331" s="12" t="s">
        <v>1628</v>
      </c>
      <c r="G331" s="20">
        <v>70</v>
      </c>
      <c r="H331" s="21" t="s">
        <v>775</v>
      </c>
      <c r="I331" s="21" t="s">
        <v>3682</v>
      </c>
      <c r="J331" s="2"/>
      <c r="K331" s="21"/>
      <c r="L331" s="21"/>
      <c r="M331" s="21" t="s">
        <v>136</v>
      </c>
      <c r="N331" s="21" t="s">
        <v>245</v>
      </c>
      <c r="O331" s="21" t="s">
        <v>246</v>
      </c>
      <c r="P331" s="2" t="s">
        <v>3848</v>
      </c>
      <c r="Q331" s="21"/>
      <c r="R331" s="19" t="s">
        <v>3684</v>
      </c>
      <c r="S331" s="33" t="s">
        <v>92</v>
      </c>
      <c r="T331" s="20" t="s">
        <v>2587</v>
      </c>
      <c r="U331" s="22">
        <v>100000</v>
      </c>
      <c r="V331" s="20" t="s">
        <v>94</v>
      </c>
      <c r="W331" s="20" t="s">
        <v>95</v>
      </c>
      <c r="X331" s="20">
        <v>2023</v>
      </c>
      <c r="Y331" s="20" t="s">
        <v>117</v>
      </c>
      <c r="Z331" s="20" t="s">
        <v>95</v>
      </c>
      <c r="AA331" s="20" t="s">
        <v>98</v>
      </c>
      <c r="AB331" s="21" t="s">
        <v>99</v>
      </c>
      <c r="AC331" s="23" t="s">
        <v>3849</v>
      </c>
      <c r="AD331" s="23" t="s">
        <v>3723</v>
      </c>
      <c r="AE331" s="5" t="s">
        <v>3850</v>
      </c>
      <c r="AF331" s="2" t="s">
        <v>121</v>
      </c>
      <c r="AG331" s="21" t="s">
        <v>178</v>
      </c>
      <c r="AH331" s="21" t="s">
        <v>178</v>
      </c>
      <c r="AI331" s="21" t="s">
        <v>3725</v>
      </c>
      <c r="AJ331" s="21" t="s">
        <v>3723</v>
      </c>
      <c r="AK331" s="7" t="s">
        <v>1635</v>
      </c>
      <c r="AL331" s="20" t="s">
        <v>97</v>
      </c>
      <c r="AM331" s="7"/>
      <c r="AN331" s="7" t="s">
        <v>3851</v>
      </c>
      <c r="AO331" s="2" t="s">
        <v>3852</v>
      </c>
      <c r="AP331" s="2" t="s">
        <v>3740</v>
      </c>
      <c r="AQ331" s="2" t="s">
        <v>3741</v>
      </c>
      <c r="AR331" s="20" t="s">
        <v>97</v>
      </c>
      <c r="AS331" s="20" t="s">
        <v>107</v>
      </c>
      <c r="AT331" s="20"/>
      <c r="AU331" s="24" t="s">
        <v>3853</v>
      </c>
      <c r="AV331" s="24"/>
      <c r="AW331" s="24"/>
      <c r="AX331" s="25" t="s">
        <v>3854</v>
      </c>
      <c r="AY331" s="24"/>
      <c r="AZ331" s="24" t="s">
        <v>3855</v>
      </c>
      <c r="BA331" s="24"/>
      <c r="BB331" s="24"/>
      <c r="BC331" s="25" t="s">
        <v>3856</v>
      </c>
      <c r="BD331" s="24"/>
      <c r="BE331" s="26">
        <v>0</v>
      </c>
      <c r="BF331" s="34">
        <f t="shared" si="65"/>
        <v>0</v>
      </c>
      <c r="BG331" s="34">
        <f t="shared" si="66"/>
        <v>0</v>
      </c>
      <c r="BH331" s="26">
        <v>0</v>
      </c>
      <c r="BI331" s="26">
        <v>0</v>
      </c>
      <c r="BJ331" s="20" t="s">
        <v>496</v>
      </c>
      <c r="BK331" s="72">
        <v>6.2971340544914762E-4</v>
      </c>
      <c r="BL331" s="27" t="s">
        <v>3857</v>
      </c>
      <c r="BM331" s="27" t="s">
        <v>3858</v>
      </c>
      <c r="BN331" s="26"/>
      <c r="BO331" s="34">
        <v>1</v>
      </c>
      <c r="BP331" s="34"/>
      <c r="BQ331" s="34"/>
      <c r="BR331" s="34"/>
      <c r="BS331" s="34"/>
      <c r="BT331" s="34"/>
      <c r="BU331" s="34"/>
      <c r="BV331" s="34"/>
      <c r="BW331" s="34"/>
      <c r="BX331" s="34"/>
      <c r="BY331" s="34"/>
      <c r="BZ331" s="34"/>
      <c r="CA331" s="20"/>
      <c r="CB331" s="33"/>
      <c r="CC331" s="46">
        <v>45996</v>
      </c>
      <c r="CD331" s="11" t="s">
        <v>3859</v>
      </c>
    </row>
    <row r="332" spans="1:82" s="18" customFormat="1" ht="66.75" customHeight="1" x14ac:dyDescent="0.2">
      <c r="A332" s="87">
        <v>328</v>
      </c>
      <c r="B332" s="141" t="s">
        <v>3860</v>
      </c>
      <c r="C332" s="6" t="s">
        <v>3861</v>
      </c>
      <c r="D332" s="6" t="s">
        <v>3862</v>
      </c>
      <c r="E332" s="75" t="s">
        <v>113</v>
      </c>
      <c r="F332" s="4" t="s">
        <v>1628</v>
      </c>
      <c r="G332" s="33" t="s">
        <v>84</v>
      </c>
      <c r="H332" s="49" t="s">
        <v>114</v>
      </c>
      <c r="I332" s="49" t="s">
        <v>3863</v>
      </c>
      <c r="J332" s="6"/>
      <c r="K332" s="49"/>
      <c r="L332" s="49"/>
      <c r="M332" s="49" t="s">
        <v>136</v>
      </c>
      <c r="N332" s="49" t="s">
        <v>245</v>
      </c>
      <c r="O332" s="49" t="s">
        <v>116</v>
      </c>
      <c r="P332" s="6" t="s">
        <v>3864</v>
      </c>
      <c r="Q332" s="49"/>
      <c r="R332" s="75" t="s">
        <v>91</v>
      </c>
      <c r="S332" s="33" t="s">
        <v>92</v>
      </c>
      <c r="T332" s="33" t="s">
        <v>93</v>
      </c>
      <c r="U332" s="78">
        <v>100</v>
      </c>
      <c r="V332" s="33" t="s">
        <v>94</v>
      </c>
      <c r="W332" s="33" t="s">
        <v>97</v>
      </c>
      <c r="X332" s="33">
        <v>2024</v>
      </c>
      <c r="Y332" s="33" t="s">
        <v>1498</v>
      </c>
      <c r="Z332" s="33" t="s">
        <v>97</v>
      </c>
      <c r="AA332" s="33" t="s">
        <v>98</v>
      </c>
      <c r="AB332" s="49" t="s">
        <v>99</v>
      </c>
      <c r="AC332" s="79" t="s">
        <v>3865</v>
      </c>
      <c r="AD332" s="48" t="s">
        <v>3866</v>
      </c>
      <c r="AE332" s="49" t="s">
        <v>3867</v>
      </c>
      <c r="AF332" s="49" t="s">
        <v>3868</v>
      </c>
      <c r="AG332" s="49" t="s">
        <v>1042</v>
      </c>
      <c r="AH332" s="49" t="s">
        <v>1042</v>
      </c>
      <c r="AI332" s="49" t="s">
        <v>3869</v>
      </c>
      <c r="AJ332" s="6" t="s">
        <v>3870</v>
      </c>
      <c r="AK332" s="5" t="s">
        <v>97</v>
      </c>
      <c r="AL332" s="5" t="s">
        <v>3871</v>
      </c>
      <c r="AM332" s="82" t="s">
        <v>3872</v>
      </c>
      <c r="AN332" s="5"/>
      <c r="AO332" s="148" t="s">
        <v>3873</v>
      </c>
      <c r="AP332" s="148" t="s">
        <v>3874</v>
      </c>
      <c r="AQ332" s="49" t="s">
        <v>3875</v>
      </c>
      <c r="AR332" s="20" t="s">
        <v>97</v>
      </c>
      <c r="AS332" s="20" t="s">
        <v>107</v>
      </c>
      <c r="AT332" s="20"/>
      <c r="AU332" s="24">
        <v>0.9</v>
      </c>
      <c r="AV332" s="24">
        <f>+AU332*80%</f>
        <v>0.72000000000000008</v>
      </c>
      <c r="AW332" s="24">
        <f>+AU332*60%</f>
        <v>0.54</v>
      </c>
      <c r="AX332" s="25">
        <v>1E-4</v>
      </c>
      <c r="AY332" s="24">
        <v>0</v>
      </c>
      <c r="AZ332" s="24">
        <f>+AU332*90%</f>
        <v>0.81</v>
      </c>
      <c r="BA332" s="24">
        <f>AZ332*80%</f>
        <v>0.64800000000000013</v>
      </c>
      <c r="BB332" s="24">
        <f>AZ332*60%</f>
        <v>0.48599999999999999</v>
      </c>
      <c r="BC332" s="25">
        <v>1E-4</v>
      </c>
      <c r="BD332" s="24">
        <v>0</v>
      </c>
      <c r="BE332" s="26">
        <v>0</v>
      </c>
      <c r="BF332" s="34">
        <f t="shared" si="65"/>
        <v>0</v>
      </c>
      <c r="BG332" s="34">
        <f t="shared" si="66"/>
        <v>0</v>
      </c>
      <c r="BH332" s="26">
        <v>0</v>
      </c>
      <c r="BI332" s="26">
        <v>0</v>
      </c>
      <c r="BJ332" s="20" t="s">
        <v>496</v>
      </c>
      <c r="BK332" s="27" t="s">
        <v>84</v>
      </c>
      <c r="BL332" s="27" t="s">
        <v>1176</v>
      </c>
      <c r="BM332" s="27" t="s">
        <v>1176</v>
      </c>
      <c r="BN332" s="26"/>
      <c r="BO332" s="34"/>
      <c r="BP332" s="34"/>
      <c r="BQ332" s="34"/>
      <c r="BR332" s="34"/>
      <c r="BS332" s="34"/>
      <c r="BT332" s="34"/>
      <c r="BU332" s="34"/>
      <c r="BV332" s="34"/>
      <c r="BW332" s="34"/>
      <c r="BX332" s="34"/>
      <c r="BY332" s="34"/>
      <c r="BZ332" s="34"/>
      <c r="CA332" s="20"/>
      <c r="CB332" s="20"/>
      <c r="CC332" s="29">
        <v>46003</v>
      </c>
      <c r="CD332" s="40" t="s">
        <v>3876</v>
      </c>
    </row>
    <row r="333" spans="1:82" s="18" customFormat="1" ht="153.75" customHeight="1" x14ac:dyDescent="0.2">
      <c r="A333" s="87">
        <v>329</v>
      </c>
      <c r="B333" s="141" t="s">
        <v>3877</v>
      </c>
      <c r="C333" s="6" t="s">
        <v>3878</v>
      </c>
      <c r="D333" s="6" t="s">
        <v>3879</v>
      </c>
      <c r="E333" s="75" t="s">
        <v>113</v>
      </c>
      <c r="F333" s="4" t="s">
        <v>1628</v>
      </c>
      <c r="G333" s="5" t="s">
        <v>84</v>
      </c>
      <c r="H333" s="6" t="s">
        <v>114</v>
      </c>
      <c r="I333" s="6" t="s">
        <v>3863</v>
      </c>
      <c r="J333" s="6"/>
      <c r="K333" s="6"/>
      <c r="L333" s="6"/>
      <c r="M333" s="6" t="s">
        <v>88</v>
      </c>
      <c r="N333" s="6" t="s">
        <v>89</v>
      </c>
      <c r="O333" s="6" t="s">
        <v>116</v>
      </c>
      <c r="P333" s="6" t="s">
        <v>3864</v>
      </c>
      <c r="Q333" s="6"/>
      <c r="R333" s="82" t="s">
        <v>91</v>
      </c>
      <c r="S333" s="5" t="s">
        <v>92</v>
      </c>
      <c r="T333" s="5" t="s">
        <v>93</v>
      </c>
      <c r="U333" s="91">
        <v>100</v>
      </c>
      <c r="V333" s="5" t="s">
        <v>94</v>
      </c>
      <c r="W333" s="5" t="s">
        <v>97</v>
      </c>
      <c r="X333" s="5">
        <v>2024</v>
      </c>
      <c r="Y333" s="5" t="s">
        <v>1498</v>
      </c>
      <c r="Z333" s="5" t="s">
        <v>97</v>
      </c>
      <c r="AA333" s="5" t="s">
        <v>98</v>
      </c>
      <c r="AB333" s="6" t="s">
        <v>99</v>
      </c>
      <c r="AC333" s="79" t="s">
        <v>3880</v>
      </c>
      <c r="AD333" s="79" t="s">
        <v>3881</v>
      </c>
      <c r="AE333" s="6" t="s">
        <v>7383</v>
      </c>
      <c r="AF333" s="6" t="s">
        <v>7384</v>
      </c>
      <c r="AG333" s="49" t="s">
        <v>1042</v>
      </c>
      <c r="AH333" s="49" t="s">
        <v>1042</v>
      </c>
      <c r="AI333" s="206" t="s">
        <v>7278</v>
      </c>
      <c r="AJ333" s="6" t="s">
        <v>3870</v>
      </c>
      <c r="AK333" s="5" t="s">
        <v>97</v>
      </c>
      <c r="AL333" s="5" t="s">
        <v>3882</v>
      </c>
      <c r="AM333" s="104" t="s">
        <v>7434</v>
      </c>
      <c r="AN333" s="5"/>
      <c r="AO333" s="148" t="s">
        <v>3884</v>
      </c>
      <c r="AP333" s="148" t="s">
        <v>3874</v>
      </c>
      <c r="AQ333" s="49" t="s">
        <v>3875</v>
      </c>
      <c r="AR333" s="20" t="s">
        <v>97</v>
      </c>
      <c r="AS333" s="20" t="s">
        <v>107</v>
      </c>
      <c r="AT333" s="20"/>
      <c r="AU333" s="24">
        <v>0.9</v>
      </c>
      <c r="AV333" s="24">
        <f>+AU333*80%</f>
        <v>0.72000000000000008</v>
      </c>
      <c r="AW333" s="24">
        <f>+AU333*60%</f>
        <v>0.54</v>
      </c>
      <c r="AX333" s="25">
        <v>1E-4</v>
      </c>
      <c r="AY333" s="24">
        <v>0</v>
      </c>
      <c r="AZ333" s="24">
        <f>+AU333*90%</f>
        <v>0.81</v>
      </c>
      <c r="BA333" s="24">
        <f>AZ333*80%</f>
        <v>0.64800000000000013</v>
      </c>
      <c r="BB333" s="24">
        <f>AZ333*60%</f>
        <v>0.48599999999999999</v>
      </c>
      <c r="BC333" s="25">
        <v>1E-4</v>
      </c>
      <c r="BD333" s="24">
        <v>0</v>
      </c>
      <c r="BE333" s="26">
        <v>0</v>
      </c>
      <c r="BF333" s="34">
        <f t="shared" si="65"/>
        <v>0</v>
      </c>
      <c r="BG333" s="34">
        <f t="shared" si="66"/>
        <v>0</v>
      </c>
      <c r="BH333" s="26">
        <v>0</v>
      </c>
      <c r="BI333" s="26">
        <v>0</v>
      </c>
      <c r="BJ333" s="20" t="s">
        <v>496</v>
      </c>
      <c r="BK333" s="27" t="s">
        <v>84</v>
      </c>
      <c r="BL333" s="27" t="s">
        <v>1176</v>
      </c>
      <c r="BM333" s="27" t="s">
        <v>3885</v>
      </c>
      <c r="BN333" s="26"/>
      <c r="BO333" s="34"/>
      <c r="BP333" s="34"/>
      <c r="BQ333" s="34"/>
      <c r="BR333" s="34"/>
      <c r="BS333" s="34"/>
      <c r="BT333" s="34"/>
      <c r="BU333" s="34"/>
      <c r="BV333" s="34"/>
      <c r="BW333" s="34"/>
      <c r="BX333" s="34"/>
      <c r="BY333" s="34"/>
      <c r="BZ333" s="34"/>
      <c r="CA333" s="20"/>
      <c r="CB333" s="20"/>
      <c r="CC333" s="29">
        <v>46044</v>
      </c>
      <c r="CD333" s="207" t="s">
        <v>7279</v>
      </c>
    </row>
    <row r="334" spans="1:82" s="18" customFormat="1" ht="66.75" customHeight="1" x14ac:dyDescent="0.2">
      <c r="A334" s="121">
        <v>330</v>
      </c>
      <c r="B334" s="141" t="s">
        <v>3886</v>
      </c>
      <c r="C334" s="6" t="s">
        <v>3887</v>
      </c>
      <c r="D334" s="6" t="s">
        <v>3888</v>
      </c>
      <c r="E334" s="75" t="s">
        <v>113</v>
      </c>
      <c r="F334" s="4" t="s">
        <v>1628</v>
      </c>
      <c r="G334" s="5" t="s">
        <v>84</v>
      </c>
      <c r="H334" s="6" t="s">
        <v>114</v>
      </c>
      <c r="I334" s="6" t="s">
        <v>3863</v>
      </c>
      <c r="J334" s="6"/>
      <c r="K334" s="6"/>
      <c r="L334" s="6"/>
      <c r="M334" s="6" t="s">
        <v>88</v>
      </c>
      <c r="N334" s="6" t="s">
        <v>245</v>
      </c>
      <c r="O334" s="6" t="s">
        <v>246</v>
      </c>
      <c r="P334" s="6" t="s">
        <v>3889</v>
      </c>
      <c r="Q334" s="6"/>
      <c r="R334" s="82" t="s">
        <v>91</v>
      </c>
      <c r="S334" s="5" t="s">
        <v>92</v>
      </c>
      <c r="T334" s="5" t="s">
        <v>93</v>
      </c>
      <c r="U334" s="91">
        <v>100</v>
      </c>
      <c r="V334" s="5" t="s">
        <v>94</v>
      </c>
      <c r="W334" s="5" t="s">
        <v>97</v>
      </c>
      <c r="X334" s="5">
        <v>2023</v>
      </c>
      <c r="Y334" s="5" t="s">
        <v>117</v>
      </c>
      <c r="Z334" s="5" t="s">
        <v>97</v>
      </c>
      <c r="AA334" s="5" t="s">
        <v>98</v>
      </c>
      <c r="AB334" s="6" t="s">
        <v>99</v>
      </c>
      <c r="AC334" s="79" t="s">
        <v>3890</v>
      </c>
      <c r="AD334" s="79" t="s">
        <v>3866</v>
      </c>
      <c r="AE334" s="49" t="s">
        <v>3891</v>
      </c>
      <c r="AF334" s="49" t="s">
        <v>3868</v>
      </c>
      <c r="AG334" s="49" t="s">
        <v>1042</v>
      </c>
      <c r="AH334" s="49" t="s">
        <v>1042</v>
      </c>
      <c r="AI334" s="6" t="s">
        <v>3892</v>
      </c>
      <c r="AJ334" s="6" t="s">
        <v>3870</v>
      </c>
      <c r="AK334" s="33" t="s">
        <v>97</v>
      </c>
      <c r="AL334" s="33" t="s">
        <v>3882</v>
      </c>
      <c r="AM334" s="82" t="s">
        <v>3893</v>
      </c>
      <c r="AN334" s="5" t="s">
        <v>3894</v>
      </c>
      <c r="AO334" s="148" t="s">
        <v>3895</v>
      </c>
      <c r="AP334" s="148" t="s">
        <v>3896</v>
      </c>
      <c r="AQ334" s="49" t="s">
        <v>3897</v>
      </c>
      <c r="AR334" s="20" t="s">
        <v>97</v>
      </c>
      <c r="AS334" s="20" t="s">
        <v>107</v>
      </c>
      <c r="AT334" s="20"/>
      <c r="AU334" s="24" t="s">
        <v>3898</v>
      </c>
      <c r="AV334" s="24"/>
      <c r="AW334" s="24"/>
      <c r="AX334" s="25">
        <v>1E-4</v>
      </c>
      <c r="AY334" s="24">
        <v>0</v>
      </c>
      <c r="AZ334" s="24" t="s">
        <v>3898</v>
      </c>
      <c r="BA334" s="24"/>
      <c r="BB334" s="24"/>
      <c r="BC334" s="25">
        <v>1E-4</v>
      </c>
      <c r="BD334" s="24">
        <v>0</v>
      </c>
      <c r="BE334" s="26">
        <v>0</v>
      </c>
      <c r="BF334" s="34">
        <f t="shared" si="65"/>
        <v>0</v>
      </c>
      <c r="BG334" s="34">
        <f t="shared" si="66"/>
        <v>0</v>
      </c>
      <c r="BH334" s="26">
        <v>0</v>
      </c>
      <c r="BI334" s="26">
        <v>0</v>
      </c>
      <c r="BJ334" s="20" t="s">
        <v>496</v>
      </c>
      <c r="BK334" s="27" t="s">
        <v>84</v>
      </c>
      <c r="BL334" s="27" t="s">
        <v>1176</v>
      </c>
      <c r="BM334" s="27" t="s">
        <v>1176</v>
      </c>
      <c r="BN334" s="26"/>
      <c r="BO334" s="34"/>
      <c r="BP334" s="34"/>
      <c r="BQ334" s="34"/>
      <c r="BR334" s="34"/>
      <c r="BS334" s="34"/>
      <c r="BT334" s="34"/>
      <c r="BU334" s="34"/>
      <c r="BV334" s="34"/>
      <c r="BW334" s="34"/>
      <c r="BX334" s="34"/>
      <c r="BY334" s="34"/>
      <c r="BZ334" s="34"/>
      <c r="CA334" s="20"/>
      <c r="CB334" s="20"/>
      <c r="CC334" s="46">
        <v>46003</v>
      </c>
      <c r="CD334" s="42" t="s">
        <v>3899</v>
      </c>
    </row>
    <row r="335" spans="1:82" s="18" customFormat="1" ht="138.75" customHeight="1" x14ac:dyDescent="0.25">
      <c r="A335" s="87">
        <v>331</v>
      </c>
      <c r="B335" s="141" t="s">
        <v>3900</v>
      </c>
      <c r="C335" s="6" t="s">
        <v>3901</v>
      </c>
      <c r="D335" s="79" t="s">
        <v>3902</v>
      </c>
      <c r="E335" s="75" t="s">
        <v>174</v>
      </c>
      <c r="F335" s="4" t="s">
        <v>1628</v>
      </c>
      <c r="G335" s="5" t="s">
        <v>84</v>
      </c>
      <c r="H335" s="6" t="s">
        <v>114</v>
      </c>
      <c r="I335" s="6" t="s">
        <v>3863</v>
      </c>
      <c r="J335" s="6"/>
      <c r="K335" s="6"/>
      <c r="L335" s="6"/>
      <c r="M335" s="6" t="s">
        <v>88</v>
      </c>
      <c r="N335" s="6" t="s">
        <v>89</v>
      </c>
      <c r="O335" s="6" t="s">
        <v>116</v>
      </c>
      <c r="P335" s="6" t="s">
        <v>3903</v>
      </c>
      <c r="Q335" s="6"/>
      <c r="R335" s="82" t="s">
        <v>91</v>
      </c>
      <c r="S335" s="5" t="s">
        <v>92</v>
      </c>
      <c r="T335" s="5" t="s">
        <v>93</v>
      </c>
      <c r="U335" s="91">
        <v>100</v>
      </c>
      <c r="V335" s="5" t="s">
        <v>94</v>
      </c>
      <c r="W335" s="5" t="s">
        <v>97</v>
      </c>
      <c r="X335" s="5">
        <v>2024</v>
      </c>
      <c r="Y335" s="5" t="s">
        <v>1498</v>
      </c>
      <c r="Z335" s="5" t="s">
        <v>97</v>
      </c>
      <c r="AA335" s="5" t="s">
        <v>98</v>
      </c>
      <c r="AB335" s="6" t="s">
        <v>99</v>
      </c>
      <c r="AC335" s="79" t="s">
        <v>3904</v>
      </c>
      <c r="AD335" s="79" t="s">
        <v>3905</v>
      </c>
      <c r="AE335" s="6" t="s">
        <v>3906</v>
      </c>
      <c r="AF335" s="6" t="s">
        <v>7280</v>
      </c>
      <c r="AG335" s="6" t="s">
        <v>1042</v>
      </c>
      <c r="AH335" s="6" t="s">
        <v>1042</v>
      </c>
      <c r="AI335" s="47" t="s">
        <v>3908</v>
      </c>
      <c r="AJ335" s="6" t="s">
        <v>3909</v>
      </c>
      <c r="AK335" s="33" t="s">
        <v>97</v>
      </c>
      <c r="AL335" s="5" t="s">
        <v>97</v>
      </c>
      <c r="AM335" s="82"/>
      <c r="AN335" s="5"/>
      <c r="AO335" s="5" t="s">
        <v>3910</v>
      </c>
      <c r="AP335" s="5" t="s">
        <v>3911</v>
      </c>
      <c r="AQ335" s="49" t="s">
        <v>3897</v>
      </c>
      <c r="AR335" s="20" t="s">
        <v>97</v>
      </c>
      <c r="AS335" s="20" t="s">
        <v>107</v>
      </c>
      <c r="AT335" s="20"/>
      <c r="AU335" s="24">
        <v>0.9</v>
      </c>
      <c r="AV335" s="24">
        <f t="shared" ref="AV335:AV350" si="67">+AU335*80%</f>
        <v>0.72000000000000008</v>
      </c>
      <c r="AW335" s="24">
        <f t="shared" ref="AW335:AW350" si="68">+AU335*60%</f>
        <v>0.54</v>
      </c>
      <c r="AX335" s="25">
        <v>1E-4</v>
      </c>
      <c r="AY335" s="24">
        <v>0</v>
      </c>
      <c r="AZ335" s="24">
        <f t="shared" ref="AZ335:AZ350" si="69">+AU335*90%</f>
        <v>0.81</v>
      </c>
      <c r="BA335" s="24">
        <f t="shared" ref="BA335:BA350" si="70">AZ335*80%</f>
        <v>0.64800000000000013</v>
      </c>
      <c r="BB335" s="24">
        <f t="shared" ref="BB335:BB350" si="71">AZ335*60%</f>
        <v>0.48599999999999999</v>
      </c>
      <c r="BC335" s="25">
        <v>1E-4</v>
      </c>
      <c r="BD335" s="24">
        <v>0</v>
      </c>
      <c r="BE335" s="26">
        <v>15</v>
      </c>
      <c r="BF335" s="34">
        <f t="shared" si="65"/>
        <v>12</v>
      </c>
      <c r="BG335" s="34">
        <f t="shared" si="66"/>
        <v>9</v>
      </c>
      <c r="BH335" s="26">
        <v>1</v>
      </c>
      <c r="BI335" s="26">
        <v>0</v>
      </c>
      <c r="BJ335" s="20" t="s">
        <v>496</v>
      </c>
      <c r="BK335" s="27" t="s">
        <v>84</v>
      </c>
      <c r="BL335" s="27" t="s">
        <v>1176</v>
      </c>
      <c r="BM335" s="27" t="s">
        <v>3912</v>
      </c>
      <c r="BN335" s="26"/>
      <c r="BO335" s="34"/>
      <c r="BP335" s="34"/>
      <c r="BQ335" s="34"/>
      <c r="BR335" s="34"/>
      <c r="BS335" s="34"/>
      <c r="BT335" s="34"/>
      <c r="BU335" s="34"/>
      <c r="BV335" s="34"/>
      <c r="BW335" s="34"/>
      <c r="BX335" s="34"/>
      <c r="BY335" s="34"/>
      <c r="BZ335" s="34"/>
      <c r="CA335" s="20"/>
      <c r="CB335" s="20"/>
      <c r="CC335" s="29">
        <v>46044</v>
      </c>
      <c r="CD335" s="35" t="s">
        <v>7281</v>
      </c>
    </row>
    <row r="336" spans="1:82" s="18" customFormat="1" ht="60" customHeight="1" x14ac:dyDescent="0.2">
      <c r="A336" s="87">
        <v>332</v>
      </c>
      <c r="B336" s="142" t="s">
        <v>3913</v>
      </c>
      <c r="C336" s="2" t="s">
        <v>3914</v>
      </c>
      <c r="D336" s="2" t="s">
        <v>3915</v>
      </c>
      <c r="E336" s="75" t="s">
        <v>113</v>
      </c>
      <c r="F336" s="12" t="s">
        <v>1628</v>
      </c>
      <c r="G336" s="7" t="s">
        <v>84</v>
      </c>
      <c r="H336" s="2" t="s">
        <v>114</v>
      </c>
      <c r="I336" s="2" t="s">
        <v>3863</v>
      </c>
      <c r="J336" s="2"/>
      <c r="K336" s="2"/>
      <c r="L336" s="2"/>
      <c r="M336" s="2" t="s">
        <v>88</v>
      </c>
      <c r="N336" s="2" t="s">
        <v>89</v>
      </c>
      <c r="O336" s="2" t="s">
        <v>116</v>
      </c>
      <c r="P336" s="2" t="s">
        <v>3889</v>
      </c>
      <c r="Q336" s="2"/>
      <c r="R336" s="11" t="s">
        <v>91</v>
      </c>
      <c r="S336" s="5" t="s">
        <v>92</v>
      </c>
      <c r="T336" s="7" t="s">
        <v>93</v>
      </c>
      <c r="U336" s="181">
        <v>100</v>
      </c>
      <c r="V336" s="7" t="s">
        <v>94</v>
      </c>
      <c r="W336" s="7" t="s">
        <v>97</v>
      </c>
      <c r="X336" s="7">
        <v>2024</v>
      </c>
      <c r="Y336" s="7" t="s">
        <v>1498</v>
      </c>
      <c r="Z336" s="7" t="s">
        <v>97</v>
      </c>
      <c r="AA336" s="7" t="s">
        <v>98</v>
      </c>
      <c r="AB336" s="2" t="s">
        <v>99</v>
      </c>
      <c r="AC336" s="2" t="s">
        <v>3916</v>
      </c>
      <c r="AD336" s="31" t="s">
        <v>3866</v>
      </c>
      <c r="AE336" s="2" t="s">
        <v>7386</v>
      </c>
      <c r="AF336" s="2" t="s">
        <v>7385</v>
      </c>
      <c r="AG336" s="21" t="s">
        <v>1042</v>
      </c>
      <c r="AH336" s="21" t="s">
        <v>1042</v>
      </c>
      <c r="AI336" s="102" t="s">
        <v>7282</v>
      </c>
      <c r="AJ336" s="2" t="s">
        <v>3909</v>
      </c>
      <c r="AK336" s="7"/>
      <c r="AL336" s="7" t="s">
        <v>3882</v>
      </c>
      <c r="AM336" s="11"/>
      <c r="AN336" s="7"/>
      <c r="AO336" s="149" t="s">
        <v>3918</v>
      </c>
      <c r="AP336" s="149" t="s">
        <v>3896</v>
      </c>
      <c r="AQ336" s="21" t="s">
        <v>3875</v>
      </c>
      <c r="AR336" s="20" t="s">
        <v>97</v>
      </c>
      <c r="AS336" s="20" t="s">
        <v>107</v>
      </c>
      <c r="AT336" s="20"/>
      <c r="AU336" s="24">
        <v>0.9</v>
      </c>
      <c r="AV336" s="24">
        <f t="shared" si="67"/>
        <v>0.72000000000000008</v>
      </c>
      <c r="AW336" s="24">
        <f t="shared" si="68"/>
        <v>0.54</v>
      </c>
      <c r="AX336" s="25">
        <v>1E-4</v>
      </c>
      <c r="AY336" s="24">
        <v>0</v>
      </c>
      <c r="AZ336" s="24">
        <f t="shared" si="69"/>
        <v>0.81</v>
      </c>
      <c r="BA336" s="24">
        <f t="shared" si="70"/>
        <v>0.64800000000000013</v>
      </c>
      <c r="BB336" s="24">
        <f t="shared" si="71"/>
        <v>0.48599999999999999</v>
      </c>
      <c r="BC336" s="25">
        <v>1E-4</v>
      </c>
      <c r="BD336" s="24">
        <v>0</v>
      </c>
      <c r="BE336" s="26">
        <v>0</v>
      </c>
      <c r="BF336" s="34">
        <f t="shared" si="65"/>
        <v>0</v>
      </c>
      <c r="BG336" s="34">
        <f t="shared" si="66"/>
        <v>0</v>
      </c>
      <c r="BH336" s="26">
        <v>0</v>
      </c>
      <c r="BI336" s="26">
        <v>0</v>
      </c>
      <c r="BJ336" s="20" t="s">
        <v>496</v>
      </c>
      <c r="BK336" s="27" t="s">
        <v>84</v>
      </c>
      <c r="BL336" s="27" t="s">
        <v>1176</v>
      </c>
      <c r="BM336" s="27" t="s">
        <v>3919</v>
      </c>
      <c r="BN336" s="26"/>
      <c r="BO336" s="34"/>
      <c r="BP336" s="34"/>
      <c r="BQ336" s="34"/>
      <c r="BR336" s="34"/>
      <c r="BS336" s="34"/>
      <c r="BT336" s="34"/>
      <c r="BU336" s="34"/>
      <c r="BV336" s="34"/>
      <c r="BW336" s="34"/>
      <c r="BX336" s="34"/>
      <c r="BY336" s="34"/>
      <c r="BZ336" s="34"/>
      <c r="CA336" s="20"/>
      <c r="CB336" s="33"/>
      <c r="CC336" s="46">
        <v>46044</v>
      </c>
      <c r="CD336" s="208" t="s">
        <v>7283</v>
      </c>
    </row>
    <row r="337" spans="1:82" s="18" customFormat="1" ht="66.75" customHeight="1" x14ac:dyDescent="0.25">
      <c r="A337" s="121">
        <v>333</v>
      </c>
      <c r="B337" s="141" t="s">
        <v>3920</v>
      </c>
      <c r="C337" s="6" t="s">
        <v>3921</v>
      </c>
      <c r="D337" s="6" t="s">
        <v>3922</v>
      </c>
      <c r="E337" s="75" t="s">
        <v>174</v>
      </c>
      <c r="F337" s="4" t="s">
        <v>1628</v>
      </c>
      <c r="G337" s="5" t="s">
        <v>84</v>
      </c>
      <c r="H337" s="6" t="s">
        <v>114</v>
      </c>
      <c r="I337" s="6" t="s">
        <v>3923</v>
      </c>
      <c r="J337" s="6"/>
      <c r="K337" s="6"/>
      <c r="L337" s="6"/>
      <c r="M337" s="6" t="s">
        <v>3924</v>
      </c>
      <c r="N337" s="6" t="s">
        <v>245</v>
      </c>
      <c r="O337" s="6" t="s">
        <v>246</v>
      </c>
      <c r="P337" s="6" t="s">
        <v>3925</v>
      </c>
      <c r="Q337" s="6"/>
      <c r="R337" s="82" t="s">
        <v>91</v>
      </c>
      <c r="S337" s="5" t="s">
        <v>92</v>
      </c>
      <c r="T337" s="5" t="s">
        <v>93</v>
      </c>
      <c r="U337" s="91">
        <v>100</v>
      </c>
      <c r="V337" s="5" t="s">
        <v>94</v>
      </c>
      <c r="W337" s="5" t="s">
        <v>95</v>
      </c>
      <c r="X337" s="5">
        <v>2023</v>
      </c>
      <c r="Y337" s="5" t="s">
        <v>117</v>
      </c>
      <c r="Z337" s="5" t="s">
        <v>97</v>
      </c>
      <c r="AA337" s="5" t="s">
        <v>3926</v>
      </c>
      <c r="AB337" s="6" t="s">
        <v>99</v>
      </c>
      <c r="AC337" s="79" t="s">
        <v>3927</v>
      </c>
      <c r="AD337" s="79" t="s">
        <v>3928</v>
      </c>
      <c r="AE337" s="6" t="s">
        <v>3929</v>
      </c>
      <c r="AF337" s="49" t="s">
        <v>3930</v>
      </c>
      <c r="AG337" s="49" t="s">
        <v>1042</v>
      </c>
      <c r="AH337" s="49" t="s">
        <v>1042</v>
      </c>
      <c r="AI337" s="6" t="s">
        <v>3931</v>
      </c>
      <c r="AJ337" s="6" t="s">
        <v>3932</v>
      </c>
      <c r="AK337" s="33" t="s">
        <v>1635</v>
      </c>
      <c r="AL337" s="33" t="s">
        <v>1635</v>
      </c>
      <c r="AM337" s="5" t="s">
        <v>3933</v>
      </c>
      <c r="AN337" s="5"/>
      <c r="AO337" s="5" t="s">
        <v>85</v>
      </c>
      <c r="AP337" s="5" t="s">
        <v>85</v>
      </c>
      <c r="AQ337" s="49" t="s">
        <v>3539</v>
      </c>
      <c r="AR337" s="20" t="s">
        <v>97</v>
      </c>
      <c r="AS337" s="20" t="s">
        <v>107</v>
      </c>
      <c r="AT337" s="20"/>
      <c r="AU337" s="24">
        <v>0.9</v>
      </c>
      <c r="AV337" s="24">
        <f t="shared" si="67"/>
        <v>0.72000000000000008</v>
      </c>
      <c r="AW337" s="24">
        <f t="shared" si="68"/>
        <v>0.54</v>
      </c>
      <c r="AX337" s="25">
        <v>1E-4</v>
      </c>
      <c r="AY337" s="24">
        <v>0</v>
      </c>
      <c r="AZ337" s="24">
        <f t="shared" si="69"/>
        <v>0.81</v>
      </c>
      <c r="BA337" s="24">
        <f t="shared" si="70"/>
        <v>0.64800000000000013</v>
      </c>
      <c r="BB337" s="24">
        <f t="shared" si="71"/>
        <v>0.48599999999999999</v>
      </c>
      <c r="BC337" s="25">
        <v>1E-4</v>
      </c>
      <c r="BD337" s="24">
        <v>0</v>
      </c>
      <c r="BE337" s="34">
        <v>5</v>
      </c>
      <c r="BF337" s="34">
        <f t="shared" si="65"/>
        <v>4</v>
      </c>
      <c r="BG337" s="34">
        <f t="shared" si="66"/>
        <v>3</v>
      </c>
      <c r="BH337" s="26">
        <v>1</v>
      </c>
      <c r="BI337" s="26">
        <v>0</v>
      </c>
      <c r="BJ337" s="20" t="s">
        <v>496</v>
      </c>
      <c r="BK337" s="27">
        <v>0.99563492063492065</v>
      </c>
      <c r="BL337" s="27" t="s">
        <v>3934</v>
      </c>
      <c r="BM337" s="27" t="s">
        <v>3935</v>
      </c>
      <c r="BN337" s="26"/>
      <c r="BO337" s="34"/>
      <c r="BP337" s="34"/>
      <c r="BQ337" s="34"/>
      <c r="BR337" s="34"/>
      <c r="BS337" s="34"/>
      <c r="BT337" s="34"/>
      <c r="BU337" s="34"/>
      <c r="BV337" s="34"/>
      <c r="BW337" s="34"/>
      <c r="BX337" s="34"/>
      <c r="BY337" s="34"/>
      <c r="BZ337" s="34"/>
      <c r="CA337" s="20"/>
      <c r="CB337" s="20"/>
      <c r="CC337" s="29">
        <v>46003</v>
      </c>
      <c r="CD337" s="35" t="s">
        <v>3936</v>
      </c>
    </row>
    <row r="338" spans="1:82" s="18" customFormat="1" ht="66.75" customHeight="1" x14ac:dyDescent="0.25">
      <c r="A338" s="87">
        <v>334</v>
      </c>
      <c r="B338" s="141" t="s">
        <v>3937</v>
      </c>
      <c r="C338" s="6" t="s">
        <v>3938</v>
      </c>
      <c r="D338" s="6" t="s">
        <v>3939</v>
      </c>
      <c r="E338" s="75" t="s">
        <v>174</v>
      </c>
      <c r="F338" s="4" t="s">
        <v>1628</v>
      </c>
      <c r="G338" s="5" t="s">
        <v>84</v>
      </c>
      <c r="H338" s="6" t="s">
        <v>775</v>
      </c>
      <c r="I338" s="6" t="s">
        <v>3923</v>
      </c>
      <c r="J338" s="6"/>
      <c r="K338" s="6"/>
      <c r="L338" s="6"/>
      <c r="M338" s="6" t="s">
        <v>3924</v>
      </c>
      <c r="N338" s="6" t="s">
        <v>89</v>
      </c>
      <c r="O338" s="6" t="s">
        <v>246</v>
      </c>
      <c r="P338" s="6" t="s">
        <v>3940</v>
      </c>
      <c r="Q338" s="6"/>
      <c r="R338" s="82" t="s">
        <v>91</v>
      </c>
      <c r="S338" s="5" t="s">
        <v>92</v>
      </c>
      <c r="T338" s="5" t="s">
        <v>93</v>
      </c>
      <c r="U338" s="91">
        <v>100</v>
      </c>
      <c r="V338" s="5" t="s">
        <v>94</v>
      </c>
      <c r="W338" s="5" t="s">
        <v>95</v>
      </c>
      <c r="X338" s="5">
        <v>2023</v>
      </c>
      <c r="Y338" s="5" t="s">
        <v>117</v>
      </c>
      <c r="Z338" s="5" t="s">
        <v>97</v>
      </c>
      <c r="AA338" s="5" t="s">
        <v>3926</v>
      </c>
      <c r="AB338" s="6" t="s">
        <v>99</v>
      </c>
      <c r="AC338" s="79" t="s">
        <v>3941</v>
      </c>
      <c r="AD338" s="79" t="s">
        <v>3942</v>
      </c>
      <c r="AE338" s="6" t="s">
        <v>3943</v>
      </c>
      <c r="AF338" s="49" t="s">
        <v>3944</v>
      </c>
      <c r="AG338" s="49" t="s">
        <v>1042</v>
      </c>
      <c r="AH338" s="49" t="s">
        <v>3113</v>
      </c>
      <c r="AI338" s="49" t="s">
        <v>3945</v>
      </c>
      <c r="AJ338" s="49" t="s">
        <v>3945</v>
      </c>
      <c r="AK338" s="33" t="s">
        <v>3946</v>
      </c>
      <c r="AL338" s="33" t="s">
        <v>3946</v>
      </c>
      <c r="AM338" s="5" t="s">
        <v>3947</v>
      </c>
      <c r="AN338" s="5"/>
      <c r="AO338" s="5" t="s">
        <v>3948</v>
      </c>
      <c r="AP338" s="5" t="s">
        <v>3949</v>
      </c>
      <c r="AQ338" s="6" t="s">
        <v>3950</v>
      </c>
      <c r="AR338" s="20" t="s">
        <v>97</v>
      </c>
      <c r="AS338" s="20" t="s">
        <v>107</v>
      </c>
      <c r="AT338" s="20"/>
      <c r="AU338" s="24">
        <v>0.9</v>
      </c>
      <c r="AV338" s="24">
        <f t="shared" si="67"/>
        <v>0.72000000000000008</v>
      </c>
      <c r="AW338" s="24">
        <f t="shared" si="68"/>
        <v>0.54</v>
      </c>
      <c r="AX338" s="25">
        <v>1E-4</v>
      </c>
      <c r="AY338" s="24">
        <v>0</v>
      </c>
      <c r="AZ338" s="24">
        <f t="shared" si="69"/>
        <v>0.81</v>
      </c>
      <c r="BA338" s="24">
        <f t="shared" si="70"/>
        <v>0.64800000000000013</v>
      </c>
      <c r="BB338" s="24">
        <f t="shared" si="71"/>
        <v>0.48599999999999999</v>
      </c>
      <c r="BC338" s="25">
        <v>1E-4</v>
      </c>
      <c r="BD338" s="24">
        <v>0</v>
      </c>
      <c r="BE338" s="34">
        <v>5</v>
      </c>
      <c r="BF338" s="34">
        <f t="shared" si="65"/>
        <v>4</v>
      </c>
      <c r="BG338" s="34">
        <f t="shared" si="66"/>
        <v>3</v>
      </c>
      <c r="BH338" s="26">
        <v>1</v>
      </c>
      <c r="BI338" s="26">
        <v>0</v>
      </c>
      <c r="BJ338" s="20" t="s">
        <v>496</v>
      </c>
      <c r="BK338" s="27">
        <v>0.97959183673469385</v>
      </c>
      <c r="BL338" s="27" t="s">
        <v>3951</v>
      </c>
      <c r="BM338" s="27" t="s">
        <v>3952</v>
      </c>
      <c r="BN338" s="26"/>
      <c r="BO338" s="34"/>
      <c r="BP338" s="34"/>
      <c r="BQ338" s="34"/>
      <c r="BR338" s="34"/>
      <c r="BS338" s="34"/>
      <c r="BT338" s="34"/>
      <c r="BU338" s="34"/>
      <c r="BV338" s="34"/>
      <c r="BW338" s="34"/>
      <c r="BX338" s="34"/>
      <c r="BY338" s="34"/>
      <c r="BZ338" s="34"/>
      <c r="CA338" s="20"/>
      <c r="CB338" s="20"/>
      <c r="CC338" s="29">
        <v>46003</v>
      </c>
      <c r="CD338" s="35" t="s">
        <v>3936</v>
      </c>
    </row>
    <row r="339" spans="1:82" s="18" customFormat="1" ht="66.75" customHeight="1" x14ac:dyDescent="0.25">
      <c r="A339" s="87">
        <v>335</v>
      </c>
      <c r="B339" s="141" t="s">
        <v>3953</v>
      </c>
      <c r="C339" s="6" t="s">
        <v>3954</v>
      </c>
      <c r="D339" s="6" t="s">
        <v>3955</v>
      </c>
      <c r="E339" s="75" t="s">
        <v>174</v>
      </c>
      <c r="F339" s="4" t="s">
        <v>1628</v>
      </c>
      <c r="G339" s="5" t="s">
        <v>84</v>
      </c>
      <c r="H339" s="6" t="s">
        <v>775</v>
      </c>
      <c r="I339" s="6" t="s">
        <v>3923</v>
      </c>
      <c r="J339" s="6"/>
      <c r="K339" s="6"/>
      <c r="L339" s="6"/>
      <c r="M339" s="6" t="s">
        <v>3924</v>
      </c>
      <c r="N339" s="6" t="s">
        <v>89</v>
      </c>
      <c r="O339" s="6" t="s">
        <v>246</v>
      </c>
      <c r="P339" s="6" t="s">
        <v>3956</v>
      </c>
      <c r="Q339" s="6"/>
      <c r="R339" s="82" t="s">
        <v>91</v>
      </c>
      <c r="S339" s="5" t="s">
        <v>92</v>
      </c>
      <c r="T339" s="5" t="s">
        <v>93</v>
      </c>
      <c r="U339" s="91">
        <v>100</v>
      </c>
      <c r="V339" s="5" t="s">
        <v>94</v>
      </c>
      <c r="W339" s="5" t="s">
        <v>95</v>
      </c>
      <c r="X339" s="5">
        <v>2023</v>
      </c>
      <c r="Y339" s="5" t="s">
        <v>117</v>
      </c>
      <c r="Z339" s="5" t="s">
        <v>97</v>
      </c>
      <c r="AA339" s="5" t="s">
        <v>3926</v>
      </c>
      <c r="AB339" s="6" t="s">
        <v>99</v>
      </c>
      <c r="AC339" s="79" t="s">
        <v>3957</v>
      </c>
      <c r="AD339" s="79" t="s">
        <v>3958</v>
      </c>
      <c r="AE339" s="6" t="s">
        <v>3959</v>
      </c>
      <c r="AF339" s="6" t="s">
        <v>3959</v>
      </c>
      <c r="AG339" s="49" t="s">
        <v>1042</v>
      </c>
      <c r="AH339" s="49" t="s">
        <v>1042</v>
      </c>
      <c r="AI339" s="49" t="s">
        <v>3960</v>
      </c>
      <c r="AJ339" s="49" t="s">
        <v>3960</v>
      </c>
      <c r="AK339" s="33" t="s">
        <v>1635</v>
      </c>
      <c r="AL339" s="33" t="s">
        <v>1635</v>
      </c>
      <c r="AM339" s="5" t="s">
        <v>3961</v>
      </c>
      <c r="AN339" s="5"/>
      <c r="AO339" s="5" t="s">
        <v>3962</v>
      </c>
      <c r="AP339" s="5" t="s">
        <v>3963</v>
      </c>
      <c r="AQ339" s="6" t="s">
        <v>3964</v>
      </c>
      <c r="AR339" s="20" t="s">
        <v>97</v>
      </c>
      <c r="AS339" s="20" t="s">
        <v>107</v>
      </c>
      <c r="AT339" s="20"/>
      <c r="AU339" s="24">
        <v>0.9</v>
      </c>
      <c r="AV339" s="24">
        <f t="shared" si="67"/>
        <v>0.72000000000000008</v>
      </c>
      <c r="AW339" s="24">
        <f t="shared" si="68"/>
        <v>0.54</v>
      </c>
      <c r="AX339" s="25">
        <v>1E-4</v>
      </c>
      <c r="AY339" s="24">
        <v>0</v>
      </c>
      <c r="AZ339" s="24">
        <f t="shared" si="69"/>
        <v>0.81</v>
      </c>
      <c r="BA339" s="24">
        <f t="shared" si="70"/>
        <v>0.64800000000000013</v>
      </c>
      <c r="BB339" s="24">
        <f t="shared" si="71"/>
        <v>0.48599999999999999</v>
      </c>
      <c r="BC339" s="25">
        <v>1E-4</v>
      </c>
      <c r="BD339" s="24">
        <v>0</v>
      </c>
      <c r="BE339" s="34">
        <v>5</v>
      </c>
      <c r="BF339" s="34">
        <f t="shared" si="65"/>
        <v>4</v>
      </c>
      <c r="BG339" s="34">
        <f t="shared" si="66"/>
        <v>3</v>
      </c>
      <c r="BH339" s="26">
        <v>1</v>
      </c>
      <c r="BI339" s="26">
        <v>0</v>
      </c>
      <c r="BJ339" s="20" t="s">
        <v>496</v>
      </c>
      <c r="BK339" s="27">
        <v>0.89160497276155892</v>
      </c>
      <c r="BL339" s="27" t="s">
        <v>2852</v>
      </c>
      <c r="BM339" s="27" t="s">
        <v>3965</v>
      </c>
      <c r="BN339" s="26"/>
      <c r="BO339" s="34"/>
      <c r="BP339" s="34"/>
      <c r="BQ339" s="34"/>
      <c r="BR339" s="34"/>
      <c r="BS339" s="34"/>
      <c r="BT339" s="34"/>
      <c r="BU339" s="34"/>
      <c r="BV339" s="34"/>
      <c r="BW339" s="34"/>
      <c r="BX339" s="34"/>
      <c r="BY339" s="34"/>
      <c r="BZ339" s="34"/>
      <c r="CA339" s="20"/>
      <c r="CB339" s="20"/>
      <c r="CC339" s="29">
        <v>46003</v>
      </c>
      <c r="CD339" s="35" t="s">
        <v>3936</v>
      </c>
    </row>
    <row r="340" spans="1:82" s="18" customFormat="1" ht="66.75" customHeight="1" x14ac:dyDescent="0.25">
      <c r="A340" s="121">
        <v>336</v>
      </c>
      <c r="B340" s="141" t="s">
        <v>3966</v>
      </c>
      <c r="C340" s="6" t="s">
        <v>3967</v>
      </c>
      <c r="D340" s="6" t="s">
        <v>3968</v>
      </c>
      <c r="E340" s="75" t="s">
        <v>174</v>
      </c>
      <c r="F340" s="4" t="s">
        <v>1628</v>
      </c>
      <c r="G340" s="5" t="s">
        <v>84</v>
      </c>
      <c r="H340" s="6" t="s">
        <v>775</v>
      </c>
      <c r="I340" s="6" t="s">
        <v>3923</v>
      </c>
      <c r="J340" s="6"/>
      <c r="K340" s="6"/>
      <c r="L340" s="6"/>
      <c r="M340" s="6" t="s">
        <v>3924</v>
      </c>
      <c r="N340" s="6" t="s">
        <v>89</v>
      </c>
      <c r="O340" s="6" t="s">
        <v>246</v>
      </c>
      <c r="P340" s="6" t="s">
        <v>3969</v>
      </c>
      <c r="Q340" s="6"/>
      <c r="R340" s="82" t="s">
        <v>91</v>
      </c>
      <c r="S340" s="5" t="s">
        <v>92</v>
      </c>
      <c r="T340" s="5" t="s">
        <v>93</v>
      </c>
      <c r="U340" s="91">
        <v>100</v>
      </c>
      <c r="V340" s="5" t="s">
        <v>94</v>
      </c>
      <c r="W340" s="5" t="s">
        <v>95</v>
      </c>
      <c r="X340" s="5">
        <v>2023</v>
      </c>
      <c r="Y340" s="5" t="s">
        <v>117</v>
      </c>
      <c r="Z340" s="5" t="s">
        <v>97</v>
      </c>
      <c r="AA340" s="5" t="s">
        <v>3926</v>
      </c>
      <c r="AB340" s="6" t="s">
        <v>99</v>
      </c>
      <c r="AC340" s="79" t="s">
        <v>3970</v>
      </c>
      <c r="AD340" s="79" t="s">
        <v>3971</v>
      </c>
      <c r="AE340" s="6" t="s">
        <v>3972</v>
      </c>
      <c r="AF340" s="6" t="s">
        <v>3973</v>
      </c>
      <c r="AG340" s="49" t="s">
        <v>1042</v>
      </c>
      <c r="AH340" s="49" t="s">
        <v>1042</v>
      </c>
      <c r="AI340" s="49" t="s">
        <v>3974</v>
      </c>
      <c r="AJ340" s="49" t="s">
        <v>3974</v>
      </c>
      <c r="AK340" s="33" t="s">
        <v>1635</v>
      </c>
      <c r="AL340" s="33" t="s">
        <v>1635</v>
      </c>
      <c r="AM340" s="5" t="s">
        <v>3961</v>
      </c>
      <c r="AN340" s="5"/>
      <c r="AO340" s="5" t="s">
        <v>3975</v>
      </c>
      <c r="AP340" s="5" t="s">
        <v>3976</v>
      </c>
      <c r="AQ340" s="6" t="s">
        <v>3964</v>
      </c>
      <c r="AR340" s="20" t="s">
        <v>97</v>
      </c>
      <c r="AS340" s="20" t="s">
        <v>107</v>
      </c>
      <c r="AT340" s="20"/>
      <c r="AU340" s="24">
        <v>0.9</v>
      </c>
      <c r="AV340" s="24">
        <f t="shared" si="67"/>
        <v>0.72000000000000008</v>
      </c>
      <c r="AW340" s="24">
        <f t="shared" si="68"/>
        <v>0.54</v>
      </c>
      <c r="AX340" s="25">
        <v>1E-4</v>
      </c>
      <c r="AY340" s="24">
        <v>0</v>
      </c>
      <c r="AZ340" s="24">
        <f t="shared" si="69"/>
        <v>0.81</v>
      </c>
      <c r="BA340" s="24">
        <f t="shared" si="70"/>
        <v>0.64800000000000013</v>
      </c>
      <c r="BB340" s="24">
        <f t="shared" si="71"/>
        <v>0.48599999999999999</v>
      </c>
      <c r="BC340" s="25">
        <v>1E-4</v>
      </c>
      <c r="BD340" s="24">
        <v>0</v>
      </c>
      <c r="BE340" s="34">
        <v>5</v>
      </c>
      <c r="BF340" s="34">
        <f t="shared" si="65"/>
        <v>4</v>
      </c>
      <c r="BG340" s="34">
        <f t="shared" si="66"/>
        <v>3</v>
      </c>
      <c r="BH340" s="26">
        <v>1</v>
      </c>
      <c r="BI340" s="26">
        <v>0</v>
      </c>
      <c r="BJ340" s="20" t="s">
        <v>496</v>
      </c>
      <c r="BK340" s="27">
        <v>1</v>
      </c>
      <c r="BL340" s="27" t="s">
        <v>3977</v>
      </c>
      <c r="BM340" s="27" t="s">
        <v>3978</v>
      </c>
      <c r="BN340" s="26"/>
      <c r="BO340" s="34"/>
      <c r="BP340" s="34"/>
      <c r="BQ340" s="34"/>
      <c r="BR340" s="34"/>
      <c r="BS340" s="34"/>
      <c r="BT340" s="34"/>
      <c r="BU340" s="34"/>
      <c r="BV340" s="34"/>
      <c r="BW340" s="34"/>
      <c r="BX340" s="34"/>
      <c r="BY340" s="34"/>
      <c r="BZ340" s="34"/>
      <c r="CA340" s="20"/>
      <c r="CB340" s="20"/>
      <c r="CC340" s="29">
        <v>46003</v>
      </c>
      <c r="CD340" s="35" t="s">
        <v>3936</v>
      </c>
    </row>
    <row r="341" spans="1:82" s="18" customFormat="1" ht="66.75" customHeight="1" x14ac:dyDescent="0.25">
      <c r="A341" s="87">
        <v>337</v>
      </c>
      <c r="B341" s="141" t="s">
        <v>3979</v>
      </c>
      <c r="C341" s="6" t="s">
        <v>3980</v>
      </c>
      <c r="D341" s="6" t="s">
        <v>3981</v>
      </c>
      <c r="E341" s="75" t="s">
        <v>174</v>
      </c>
      <c r="F341" s="4" t="s">
        <v>1628</v>
      </c>
      <c r="G341" s="5" t="s">
        <v>84</v>
      </c>
      <c r="H341" s="6" t="s">
        <v>775</v>
      </c>
      <c r="I341" s="6" t="s">
        <v>3923</v>
      </c>
      <c r="J341" s="6"/>
      <c r="K341" s="6"/>
      <c r="L341" s="6"/>
      <c r="M341" s="6" t="s">
        <v>3924</v>
      </c>
      <c r="N341" s="6" t="s">
        <v>89</v>
      </c>
      <c r="O341" s="6" t="s">
        <v>246</v>
      </c>
      <c r="P341" s="6" t="s">
        <v>3982</v>
      </c>
      <c r="Q341" s="6"/>
      <c r="R341" s="82" t="s">
        <v>91</v>
      </c>
      <c r="S341" s="5" t="s">
        <v>92</v>
      </c>
      <c r="T341" s="5" t="s">
        <v>93</v>
      </c>
      <c r="U341" s="91">
        <v>100</v>
      </c>
      <c r="V341" s="5" t="s">
        <v>94</v>
      </c>
      <c r="W341" s="5" t="s">
        <v>95</v>
      </c>
      <c r="X341" s="5">
        <v>2023</v>
      </c>
      <c r="Y341" s="5" t="s">
        <v>117</v>
      </c>
      <c r="Z341" s="5" t="s">
        <v>97</v>
      </c>
      <c r="AA341" s="5" t="s">
        <v>3926</v>
      </c>
      <c r="AB341" s="6" t="s">
        <v>99</v>
      </c>
      <c r="AC341" s="79" t="s">
        <v>3983</v>
      </c>
      <c r="AD341" s="79" t="s">
        <v>3984</v>
      </c>
      <c r="AE341" s="6" t="s">
        <v>3985</v>
      </c>
      <c r="AF341" s="6" t="s">
        <v>3985</v>
      </c>
      <c r="AG341" s="49" t="s">
        <v>1042</v>
      </c>
      <c r="AH341" s="49" t="s">
        <v>1042</v>
      </c>
      <c r="AI341" s="49" t="s">
        <v>3986</v>
      </c>
      <c r="AJ341" s="49" t="s">
        <v>3986</v>
      </c>
      <c r="AK341" s="33" t="s">
        <v>97</v>
      </c>
      <c r="AL341" s="33" t="s">
        <v>1635</v>
      </c>
      <c r="AM341" s="5" t="s">
        <v>3987</v>
      </c>
      <c r="AN341" s="5"/>
      <c r="AO341" s="5" t="s">
        <v>3988</v>
      </c>
      <c r="AP341" s="5" t="s">
        <v>3989</v>
      </c>
      <c r="AQ341" s="6" t="s">
        <v>3990</v>
      </c>
      <c r="AR341" s="20" t="s">
        <v>97</v>
      </c>
      <c r="AS341" s="20" t="s">
        <v>107</v>
      </c>
      <c r="AT341" s="20"/>
      <c r="AU341" s="24">
        <v>0.9</v>
      </c>
      <c r="AV341" s="24">
        <f t="shared" si="67"/>
        <v>0.72000000000000008</v>
      </c>
      <c r="AW341" s="24">
        <f t="shared" si="68"/>
        <v>0.54</v>
      </c>
      <c r="AX341" s="25">
        <v>1E-4</v>
      </c>
      <c r="AY341" s="24">
        <v>0</v>
      </c>
      <c r="AZ341" s="24">
        <f t="shared" si="69"/>
        <v>0.81</v>
      </c>
      <c r="BA341" s="24">
        <f t="shared" si="70"/>
        <v>0.64800000000000013</v>
      </c>
      <c r="BB341" s="24">
        <f t="shared" si="71"/>
        <v>0.48599999999999999</v>
      </c>
      <c r="BC341" s="25">
        <v>1E-4</v>
      </c>
      <c r="BD341" s="24">
        <v>0</v>
      </c>
      <c r="BE341" s="34">
        <v>5</v>
      </c>
      <c r="BF341" s="34">
        <f t="shared" si="65"/>
        <v>4</v>
      </c>
      <c r="BG341" s="34">
        <f t="shared" si="66"/>
        <v>3</v>
      </c>
      <c r="BH341" s="26">
        <v>1</v>
      </c>
      <c r="BI341" s="26">
        <v>0</v>
      </c>
      <c r="BJ341" s="20" t="s">
        <v>496</v>
      </c>
      <c r="BK341" s="27">
        <v>0.9147286821705426</v>
      </c>
      <c r="BL341" s="27" t="s">
        <v>3991</v>
      </c>
      <c r="BM341" s="27" t="s">
        <v>3992</v>
      </c>
      <c r="BN341" s="26"/>
      <c r="BO341" s="34"/>
      <c r="BP341" s="34"/>
      <c r="BQ341" s="34"/>
      <c r="BR341" s="34"/>
      <c r="BS341" s="34"/>
      <c r="BT341" s="34"/>
      <c r="BU341" s="34"/>
      <c r="BV341" s="34"/>
      <c r="BW341" s="34"/>
      <c r="BX341" s="34"/>
      <c r="BY341" s="34"/>
      <c r="BZ341" s="34"/>
      <c r="CA341" s="20"/>
      <c r="CB341" s="20"/>
      <c r="CC341" s="29">
        <v>46003</v>
      </c>
      <c r="CD341" s="35" t="s">
        <v>3936</v>
      </c>
    </row>
    <row r="342" spans="1:82" s="18" customFormat="1" ht="66.75" customHeight="1" x14ac:dyDescent="0.25">
      <c r="A342" s="87">
        <v>338</v>
      </c>
      <c r="B342" s="141" t="s">
        <v>3993</v>
      </c>
      <c r="C342" s="6" t="s">
        <v>3994</v>
      </c>
      <c r="D342" s="6" t="s">
        <v>3995</v>
      </c>
      <c r="E342" s="75" t="s">
        <v>174</v>
      </c>
      <c r="F342" s="4" t="s">
        <v>1628</v>
      </c>
      <c r="G342" s="5" t="s">
        <v>84</v>
      </c>
      <c r="H342" s="6" t="s">
        <v>775</v>
      </c>
      <c r="I342" s="6" t="s">
        <v>3923</v>
      </c>
      <c r="J342" s="6" t="s">
        <v>115</v>
      </c>
      <c r="K342" s="6"/>
      <c r="L342" s="6"/>
      <c r="M342" s="6" t="s">
        <v>3924</v>
      </c>
      <c r="N342" s="6" t="s">
        <v>89</v>
      </c>
      <c r="O342" s="6" t="s">
        <v>246</v>
      </c>
      <c r="P342" s="6" t="s">
        <v>3996</v>
      </c>
      <c r="Q342" s="6"/>
      <c r="R342" s="82" t="s">
        <v>91</v>
      </c>
      <c r="S342" s="5" t="s">
        <v>92</v>
      </c>
      <c r="T342" s="5" t="s">
        <v>93</v>
      </c>
      <c r="U342" s="91">
        <v>100</v>
      </c>
      <c r="V342" s="5" t="s">
        <v>94</v>
      </c>
      <c r="W342" s="5" t="s">
        <v>95</v>
      </c>
      <c r="X342" s="5">
        <v>2023</v>
      </c>
      <c r="Y342" s="5" t="s">
        <v>117</v>
      </c>
      <c r="Z342" s="5" t="s">
        <v>97</v>
      </c>
      <c r="AA342" s="5" t="s">
        <v>3926</v>
      </c>
      <c r="AB342" s="6" t="s">
        <v>99</v>
      </c>
      <c r="AC342" s="79" t="s">
        <v>3997</v>
      </c>
      <c r="AD342" s="79" t="s">
        <v>3998</v>
      </c>
      <c r="AE342" s="49" t="s">
        <v>3999</v>
      </c>
      <c r="AF342" s="49" t="s">
        <v>4000</v>
      </c>
      <c r="AG342" s="49" t="s">
        <v>1042</v>
      </c>
      <c r="AH342" s="49" t="s">
        <v>3113</v>
      </c>
      <c r="AI342" s="49" t="s">
        <v>4001</v>
      </c>
      <c r="AJ342" s="49" t="s">
        <v>4001</v>
      </c>
      <c r="AK342" s="33" t="s">
        <v>97</v>
      </c>
      <c r="AL342" s="33" t="s">
        <v>97</v>
      </c>
      <c r="AM342" s="5" t="s">
        <v>4002</v>
      </c>
      <c r="AN342" s="5" t="s">
        <v>4003</v>
      </c>
      <c r="AO342" s="5" t="s">
        <v>4004</v>
      </c>
      <c r="AP342" s="5" t="s">
        <v>4005</v>
      </c>
      <c r="AQ342" s="6" t="s">
        <v>4006</v>
      </c>
      <c r="AR342" s="20" t="s">
        <v>97</v>
      </c>
      <c r="AS342" s="20" t="s">
        <v>107</v>
      </c>
      <c r="AT342" s="20"/>
      <c r="AU342" s="24">
        <v>0.9</v>
      </c>
      <c r="AV342" s="24">
        <f t="shared" si="67"/>
        <v>0.72000000000000008</v>
      </c>
      <c r="AW342" s="24">
        <f t="shared" si="68"/>
        <v>0.54</v>
      </c>
      <c r="AX342" s="25">
        <v>1E-4</v>
      </c>
      <c r="AY342" s="24">
        <v>0</v>
      </c>
      <c r="AZ342" s="24">
        <f t="shared" si="69"/>
        <v>0.81</v>
      </c>
      <c r="BA342" s="24">
        <f t="shared" si="70"/>
        <v>0.64800000000000013</v>
      </c>
      <c r="BB342" s="24">
        <f t="shared" si="71"/>
        <v>0.48599999999999999</v>
      </c>
      <c r="BC342" s="25">
        <v>1E-4</v>
      </c>
      <c r="BD342" s="24">
        <v>0</v>
      </c>
      <c r="BE342" s="34">
        <v>5</v>
      </c>
      <c r="BF342" s="34">
        <f t="shared" si="65"/>
        <v>4</v>
      </c>
      <c r="BG342" s="34">
        <f t="shared" si="66"/>
        <v>3</v>
      </c>
      <c r="BH342" s="26">
        <v>1</v>
      </c>
      <c r="BI342" s="26">
        <v>0</v>
      </c>
      <c r="BJ342" s="20" t="s">
        <v>496</v>
      </c>
      <c r="BK342" s="27">
        <v>0.5</v>
      </c>
      <c r="BL342" s="27" t="s">
        <v>4007</v>
      </c>
      <c r="BM342" s="27" t="s">
        <v>4008</v>
      </c>
      <c r="BN342" s="26"/>
      <c r="BO342" s="34"/>
      <c r="BP342" s="34"/>
      <c r="BQ342" s="34"/>
      <c r="BR342" s="34"/>
      <c r="BS342" s="34"/>
      <c r="BT342" s="34"/>
      <c r="BU342" s="34"/>
      <c r="BV342" s="34"/>
      <c r="BW342" s="34"/>
      <c r="BX342" s="34"/>
      <c r="BY342" s="34"/>
      <c r="BZ342" s="34"/>
      <c r="CA342" s="20"/>
      <c r="CB342" s="20"/>
      <c r="CC342" s="46">
        <v>46003</v>
      </c>
      <c r="CD342" s="2" t="s">
        <v>4009</v>
      </c>
    </row>
    <row r="343" spans="1:82" s="18" customFormat="1" ht="150" customHeight="1" x14ac:dyDescent="0.25">
      <c r="A343" s="121">
        <v>339</v>
      </c>
      <c r="B343" s="141" t="s">
        <v>4010</v>
      </c>
      <c r="C343" s="6" t="s">
        <v>4011</v>
      </c>
      <c r="D343" s="6" t="s">
        <v>4012</v>
      </c>
      <c r="E343" s="75" t="s">
        <v>174</v>
      </c>
      <c r="F343" s="4" t="s">
        <v>1628</v>
      </c>
      <c r="G343" s="5" t="s">
        <v>84</v>
      </c>
      <c r="H343" s="6" t="s">
        <v>775</v>
      </c>
      <c r="I343" s="6" t="s">
        <v>4013</v>
      </c>
      <c r="J343" s="6"/>
      <c r="K343" s="6"/>
      <c r="L343" s="6"/>
      <c r="M343" s="6" t="s">
        <v>88</v>
      </c>
      <c r="N343" s="6" t="s">
        <v>89</v>
      </c>
      <c r="O343" s="6" t="s">
        <v>116</v>
      </c>
      <c r="P343" s="6" t="s">
        <v>4014</v>
      </c>
      <c r="Q343" s="6"/>
      <c r="R343" s="82" t="s">
        <v>175</v>
      </c>
      <c r="S343" s="5" t="s">
        <v>92</v>
      </c>
      <c r="T343" s="5" t="s">
        <v>93</v>
      </c>
      <c r="U343" s="91">
        <v>100</v>
      </c>
      <c r="V343" s="5" t="s">
        <v>94</v>
      </c>
      <c r="W343" s="5" t="s">
        <v>95</v>
      </c>
      <c r="X343" s="5">
        <v>2022</v>
      </c>
      <c r="Y343" s="5" t="s">
        <v>117</v>
      </c>
      <c r="Z343" s="5" t="s">
        <v>95</v>
      </c>
      <c r="AA343" s="5" t="s">
        <v>98</v>
      </c>
      <c r="AB343" s="6" t="s">
        <v>99</v>
      </c>
      <c r="AC343" s="79" t="s">
        <v>4015</v>
      </c>
      <c r="AD343" s="79" t="s">
        <v>4016</v>
      </c>
      <c r="AE343" s="6" t="s">
        <v>4017</v>
      </c>
      <c r="AF343" s="14" t="s">
        <v>7570</v>
      </c>
      <c r="AG343" s="49" t="s">
        <v>178</v>
      </c>
      <c r="AH343" s="49" t="s">
        <v>4018</v>
      </c>
      <c r="AI343" s="6" t="s">
        <v>4019</v>
      </c>
      <c r="AJ343" s="6" t="s">
        <v>4020</v>
      </c>
      <c r="AK343" s="5" t="s">
        <v>4021</v>
      </c>
      <c r="AL343" s="33" t="s">
        <v>97</v>
      </c>
      <c r="AM343" s="5" t="s">
        <v>4022</v>
      </c>
      <c r="AN343" s="5" t="s">
        <v>4023</v>
      </c>
      <c r="AO343" s="5" t="s">
        <v>4024</v>
      </c>
      <c r="AP343" s="5" t="s">
        <v>4025</v>
      </c>
      <c r="AQ343" s="49" t="s">
        <v>4014</v>
      </c>
      <c r="AR343" s="20" t="s">
        <v>97</v>
      </c>
      <c r="AS343" s="20" t="s">
        <v>107</v>
      </c>
      <c r="AT343" s="20"/>
      <c r="AU343" s="24">
        <v>0.9</v>
      </c>
      <c r="AV343" s="24">
        <f t="shared" si="67"/>
        <v>0.72000000000000008</v>
      </c>
      <c r="AW343" s="24">
        <f t="shared" si="68"/>
        <v>0.54</v>
      </c>
      <c r="AX343" s="25">
        <v>1E-4</v>
      </c>
      <c r="AY343" s="24">
        <v>0</v>
      </c>
      <c r="AZ343" s="24">
        <f t="shared" si="69"/>
        <v>0.81</v>
      </c>
      <c r="BA343" s="24">
        <f t="shared" si="70"/>
        <v>0.64800000000000013</v>
      </c>
      <c r="BB343" s="24">
        <f t="shared" si="71"/>
        <v>0.48599999999999999</v>
      </c>
      <c r="BC343" s="25">
        <v>1E-4</v>
      </c>
      <c r="BD343" s="24">
        <v>0</v>
      </c>
      <c r="BE343" s="34">
        <v>10</v>
      </c>
      <c r="BF343" s="34">
        <f t="shared" si="65"/>
        <v>8</v>
      </c>
      <c r="BG343" s="34">
        <f t="shared" si="66"/>
        <v>6</v>
      </c>
      <c r="BH343" s="26">
        <v>1</v>
      </c>
      <c r="BI343" s="26">
        <v>0</v>
      </c>
      <c r="BJ343" s="27">
        <v>1.002</v>
      </c>
      <c r="BK343" s="27">
        <v>0.69374892510647768</v>
      </c>
      <c r="BL343" s="27" t="s">
        <v>4026</v>
      </c>
      <c r="BM343" s="27" t="s">
        <v>4027</v>
      </c>
      <c r="BN343" s="26"/>
      <c r="BO343" s="34"/>
      <c r="BP343" s="34"/>
      <c r="BQ343" s="34"/>
      <c r="BR343" s="34"/>
      <c r="BS343" s="34"/>
      <c r="BT343" s="34"/>
      <c r="BU343" s="34"/>
      <c r="BV343" s="34"/>
      <c r="BW343" s="34"/>
      <c r="BX343" s="34"/>
      <c r="BY343" s="34"/>
      <c r="BZ343" s="34"/>
      <c r="CA343" s="20"/>
      <c r="CB343" s="20"/>
      <c r="CC343" s="44">
        <v>46097</v>
      </c>
      <c r="CD343" s="2" t="s">
        <v>7543</v>
      </c>
    </row>
    <row r="344" spans="1:82" s="18" customFormat="1" ht="66.75" customHeight="1" x14ac:dyDescent="0.25">
      <c r="A344" s="87">
        <v>340</v>
      </c>
      <c r="B344" s="141" t="s">
        <v>4028</v>
      </c>
      <c r="C344" s="6" t="s">
        <v>4029</v>
      </c>
      <c r="D344" s="6" t="s">
        <v>4030</v>
      </c>
      <c r="E344" s="75" t="s">
        <v>174</v>
      </c>
      <c r="F344" s="4" t="s">
        <v>1628</v>
      </c>
      <c r="G344" s="5" t="s">
        <v>84</v>
      </c>
      <c r="H344" s="6" t="s">
        <v>775</v>
      </c>
      <c r="I344" s="6" t="s">
        <v>4013</v>
      </c>
      <c r="J344" s="6"/>
      <c r="K344" s="6"/>
      <c r="L344" s="6"/>
      <c r="M344" s="6" t="s">
        <v>88</v>
      </c>
      <c r="N344" s="6" t="s">
        <v>89</v>
      </c>
      <c r="O344" s="6" t="s">
        <v>579</v>
      </c>
      <c r="P344" s="6" t="s">
        <v>4031</v>
      </c>
      <c r="Q344" s="6"/>
      <c r="R344" s="82" t="s">
        <v>175</v>
      </c>
      <c r="S344" s="5" t="s">
        <v>92</v>
      </c>
      <c r="T344" s="5" t="s">
        <v>93</v>
      </c>
      <c r="U344" s="91">
        <v>100</v>
      </c>
      <c r="V344" s="5" t="s">
        <v>94</v>
      </c>
      <c r="W344" s="5" t="s">
        <v>95</v>
      </c>
      <c r="X344" s="5">
        <v>2022</v>
      </c>
      <c r="Y344" s="5" t="s">
        <v>117</v>
      </c>
      <c r="Z344" s="5" t="s">
        <v>97</v>
      </c>
      <c r="AA344" s="5" t="s">
        <v>98</v>
      </c>
      <c r="AB344" s="6" t="s">
        <v>99</v>
      </c>
      <c r="AC344" s="79" t="s">
        <v>4032</v>
      </c>
      <c r="AD344" s="79" t="s">
        <v>4033</v>
      </c>
      <c r="AE344" s="6" t="s">
        <v>4034</v>
      </c>
      <c r="AF344" s="6" t="s">
        <v>4017</v>
      </c>
      <c r="AG344" s="49" t="s">
        <v>178</v>
      </c>
      <c r="AH344" s="49" t="s">
        <v>178</v>
      </c>
      <c r="AI344" s="49" t="s">
        <v>4035</v>
      </c>
      <c r="AJ344" s="49" t="s">
        <v>4019</v>
      </c>
      <c r="AK344" s="33" t="s">
        <v>97</v>
      </c>
      <c r="AL344" s="33" t="s">
        <v>97</v>
      </c>
      <c r="AM344" s="5" t="s">
        <v>4036</v>
      </c>
      <c r="AN344" s="5" t="s">
        <v>4037</v>
      </c>
      <c r="AO344" s="5" t="s">
        <v>4038</v>
      </c>
      <c r="AP344" s="5" t="s">
        <v>4024</v>
      </c>
      <c r="AQ344" s="49" t="s">
        <v>4014</v>
      </c>
      <c r="AR344" s="20" t="s">
        <v>97</v>
      </c>
      <c r="AS344" s="20" t="s">
        <v>107</v>
      </c>
      <c r="AT344" s="20"/>
      <c r="AU344" s="24">
        <v>0.7</v>
      </c>
      <c r="AV344" s="24">
        <f t="shared" si="67"/>
        <v>0.55999999999999994</v>
      </c>
      <c r="AW344" s="24">
        <f t="shared" si="68"/>
        <v>0.42</v>
      </c>
      <c r="AX344" s="25">
        <v>1E-4</v>
      </c>
      <c r="AY344" s="24">
        <v>0</v>
      </c>
      <c r="AZ344" s="24">
        <f t="shared" si="69"/>
        <v>0.63</v>
      </c>
      <c r="BA344" s="24">
        <f t="shared" si="70"/>
        <v>0.504</v>
      </c>
      <c r="BB344" s="24">
        <f t="shared" si="71"/>
        <v>0.378</v>
      </c>
      <c r="BC344" s="25">
        <v>1E-4</v>
      </c>
      <c r="BD344" s="24">
        <v>0</v>
      </c>
      <c r="BE344" s="34">
        <v>10</v>
      </c>
      <c r="BF344" s="34">
        <f t="shared" si="65"/>
        <v>8</v>
      </c>
      <c r="BG344" s="34">
        <f t="shared" si="66"/>
        <v>6</v>
      </c>
      <c r="BH344" s="26">
        <v>1</v>
      </c>
      <c r="BI344" s="26">
        <v>0</v>
      </c>
      <c r="BJ344" s="27">
        <v>0.66</v>
      </c>
      <c r="BK344" s="27">
        <v>0.64332482683193581</v>
      </c>
      <c r="BL344" s="27" t="s">
        <v>2885</v>
      </c>
      <c r="BM344" s="27" t="s">
        <v>4039</v>
      </c>
      <c r="BN344" s="26"/>
      <c r="BO344" s="34"/>
      <c r="BP344" s="34"/>
      <c r="BQ344" s="34"/>
      <c r="BR344" s="34"/>
      <c r="BS344" s="34"/>
      <c r="BT344" s="34"/>
      <c r="BU344" s="34"/>
      <c r="BV344" s="34"/>
      <c r="BW344" s="34"/>
      <c r="BX344" s="34"/>
      <c r="BY344" s="34"/>
      <c r="BZ344" s="34"/>
      <c r="CA344" s="20"/>
      <c r="CB344" s="20"/>
      <c r="CC344" s="29">
        <v>46003</v>
      </c>
      <c r="CD344" s="35" t="s">
        <v>3936</v>
      </c>
    </row>
    <row r="345" spans="1:82" s="18" customFormat="1" ht="66.75" customHeight="1" x14ac:dyDescent="0.25">
      <c r="A345" s="87">
        <v>341</v>
      </c>
      <c r="B345" s="141" t="s">
        <v>4040</v>
      </c>
      <c r="C345" s="6" t="s">
        <v>4041</v>
      </c>
      <c r="D345" s="6" t="s">
        <v>4042</v>
      </c>
      <c r="E345" s="75" t="s">
        <v>174</v>
      </c>
      <c r="F345" s="4" t="s">
        <v>1628</v>
      </c>
      <c r="G345" s="5" t="s">
        <v>84</v>
      </c>
      <c r="H345" s="6" t="s">
        <v>775</v>
      </c>
      <c r="I345" s="6" t="s">
        <v>4013</v>
      </c>
      <c r="J345" s="6"/>
      <c r="K345" s="6"/>
      <c r="L345" s="6"/>
      <c r="M345" s="6" t="s">
        <v>88</v>
      </c>
      <c r="N345" s="6" t="s">
        <v>245</v>
      </c>
      <c r="O345" s="6" t="s">
        <v>579</v>
      </c>
      <c r="P345" s="6" t="s">
        <v>4043</v>
      </c>
      <c r="Q345" s="6"/>
      <c r="R345" s="82" t="s">
        <v>91</v>
      </c>
      <c r="S345" s="5" t="s">
        <v>92</v>
      </c>
      <c r="T345" s="5" t="s">
        <v>93</v>
      </c>
      <c r="U345" s="91">
        <v>100</v>
      </c>
      <c r="V345" s="5" t="s">
        <v>94</v>
      </c>
      <c r="W345" s="5" t="s">
        <v>95</v>
      </c>
      <c r="X345" s="5">
        <v>2022</v>
      </c>
      <c r="Y345" s="5" t="s">
        <v>117</v>
      </c>
      <c r="Z345" s="5" t="s">
        <v>97</v>
      </c>
      <c r="AA345" s="5" t="s">
        <v>98</v>
      </c>
      <c r="AB345" s="6" t="s">
        <v>99</v>
      </c>
      <c r="AC345" s="79" t="s">
        <v>4044</v>
      </c>
      <c r="AD345" s="79" t="s">
        <v>4045</v>
      </c>
      <c r="AE345" s="49" t="s">
        <v>4046</v>
      </c>
      <c r="AF345" s="6" t="s">
        <v>4047</v>
      </c>
      <c r="AG345" s="49" t="s">
        <v>1042</v>
      </c>
      <c r="AH345" s="49" t="s">
        <v>4048</v>
      </c>
      <c r="AI345" s="49" t="s">
        <v>4049</v>
      </c>
      <c r="AJ345" s="49" t="s">
        <v>4050</v>
      </c>
      <c r="AK345" s="33" t="s">
        <v>97</v>
      </c>
      <c r="AL345" s="33" t="s">
        <v>4051</v>
      </c>
      <c r="AM345" s="6" t="s">
        <v>4052</v>
      </c>
      <c r="AN345" s="5" t="s">
        <v>4053</v>
      </c>
      <c r="AO345" s="5" t="s">
        <v>4054</v>
      </c>
      <c r="AP345" s="5" t="s">
        <v>4055</v>
      </c>
      <c r="AQ345" s="49" t="s">
        <v>4043</v>
      </c>
      <c r="AR345" s="20" t="s">
        <v>97</v>
      </c>
      <c r="AS345" s="20" t="s">
        <v>107</v>
      </c>
      <c r="AT345" s="20"/>
      <c r="AU345" s="24">
        <v>0.85</v>
      </c>
      <c r="AV345" s="24">
        <f t="shared" si="67"/>
        <v>0.68</v>
      </c>
      <c r="AW345" s="24">
        <f t="shared" si="68"/>
        <v>0.51</v>
      </c>
      <c r="AX345" s="25">
        <v>1E-4</v>
      </c>
      <c r="AY345" s="24">
        <v>0</v>
      </c>
      <c r="AZ345" s="24">
        <f t="shared" si="69"/>
        <v>0.76500000000000001</v>
      </c>
      <c r="BA345" s="24">
        <f t="shared" si="70"/>
        <v>0.6120000000000001</v>
      </c>
      <c r="BB345" s="24">
        <f t="shared" si="71"/>
        <v>0.45899999999999996</v>
      </c>
      <c r="BC345" s="25">
        <v>1E-4</v>
      </c>
      <c r="BD345" s="24">
        <v>0</v>
      </c>
      <c r="BE345" s="34">
        <v>20</v>
      </c>
      <c r="BF345" s="34">
        <f t="shared" si="65"/>
        <v>16</v>
      </c>
      <c r="BG345" s="34">
        <f t="shared" si="66"/>
        <v>12</v>
      </c>
      <c r="BH345" s="26">
        <v>1</v>
      </c>
      <c r="BI345" s="26">
        <v>0</v>
      </c>
      <c r="BJ345" s="27">
        <v>0.28399999999999997</v>
      </c>
      <c r="BK345" s="27">
        <v>0.58083832335329344</v>
      </c>
      <c r="BL345" s="27" t="s">
        <v>4056</v>
      </c>
      <c r="BM345" s="27" t="s">
        <v>4057</v>
      </c>
      <c r="BN345" s="26"/>
      <c r="BO345" s="34"/>
      <c r="BP345" s="34"/>
      <c r="BQ345" s="34"/>
      <c r="BR345" s="34"/>
      <c r="BS345" s="34"/>
      <c r="BT345" s="34"/>
      <c r="BU345" s="34"/>
      <c r="BV345" s="34"/>
      <c r="BW345" s="34"/>
      <c r="BX345" s="34"/>
      <c r="BY345" s="34"/>
      <c r="BZ345" s="34"/>
      <c r="CA345" s="20"/>
      <c r="CB345" s="20"/>
      <c r="CC345" s="29">
        <v>46003</v>
      </c>
      <c r="CD345" s="2" t="s">
        <v>1428</v>
      </c>
    </row>
    <row r="346" spans="1:82" s="18" customFormat="1" ht="66.75" customHeight="1" x14ac:dyDescent="0.25">
      <c r="A346" s="121">
        <v>342</v>
      </c>
      <c r="B346" s="141" t="s">
        <v>4058</v>
      </c>
      <c r="C346" s="6" t="s">
        <v>4059</v>
      </c>
      <c r="D346" s="6" t="s">
        <v>4060</v>
      </c>
      <c r="E346" s="75" t="s">
        <v>174</v>
      </c>
      <c r="F346" s="4" t="s">
        <v>1628</v>
      </c>
      <c r="G346" s="5" t="s">
        <v>84</v>
      </c>
      <c r="H346" s="6" t="s">
        <v>775</v>
      </c>
      <c r="I346" s="6" t="s">
        <v>4013</v>
      </c>
      <c r="J346" s="6"/>
      <c r="K346" s="6"/>
      <c r="L346" s="6"/>
      <c r="M346" s="6" t="s">
        <v>88</v>
      </c>
      <c r="N346" s="6" t="s">
        <v>89</v>
      </c>
      <c r="O346" s="6" t="s">
        <v>579</v>
      </c>
      <c r="P346" s="6" t="s">
        <v>4061</v>
      </c>
      <c r="Q346" s="6"/>
      <c r="R346" s="82" t="s">
        <v>91</v>
      </c>
      <c r="S346" s="5" t="s">
        <v>92</v>
      </c>
      <c r="T346" s="5" t="s">
        <v>93</v>
      </c>
      <c r="U346" s="91">
        <v>100</v>
      </c>
      <c r="V346" s="5" t="s">
        <v>94</v>
      </c>
      <c r="W346" s="5" t="s">
        <v>95</v>
      </c>
      <c r="X346" s="5">
        <v>2023</v>
      </c>
      <c r="Y346" s="5" t="s">
        <v>117</v>
      </c>
      <c r="Z346" s="5" t="s">
        <v>97</v>
      </c>
      <c r="AA346" s="5" t="s">
        <v>98</v>
      </c>
      <c r="AB346" s="6" t="s">
        <v>99</v>
      </c>
      <c r="AC346" s="79" t="s">
        <v>4062</v>
      </c>
      <c r="AD346" s="79" t="s">
        <v>4063</v>
      </c>
      <c r="AE346" s="49" t="s">
        <v>4064</v>
      </c>
      <c r="AF346" s="6" t="s">
        <v>4065</v>
      </c>
      <c r="AG346" s="49" t="s">
        <v>4066</v>
      </c>
      <c r="AH346" s="49" t="s">
        <v>4067</v>
      </c>
      <c r="AI346" s="49" t="s">
        <v>4068</v>
      </c>
      <c r="AJ346" s="49" t="s">
        <v>4069</v>
      </c>
      <c r="AK346" s="33" t="s">
        <v>97</v>
      </c>
      <c r="AL346" s="33" t="s">
        <v>1635</v>
      </c>
      <c r="AM346" s="5" t="s">
        <v>4070</v>
      </c>
      <c r="AN346" s="5"/>
      <c r="AO346" s="5" t="s">
        <v>4071</v>
      </c>
      <c r="AP346" s="5" t="s">
        <v>4072</v>
      </c>
      <c r="AQ346" s="49" t="s">
        <v>4073</v>
      </c>
      <c r="AR346" s="20" t="s">
        <v>97</v>
      </c>
      <c r="AS346" s="20" t="s">
        <v>107</v>
      </c>
      <c r="AT346" s="20"/>
      <c r="AU346" s="24">
        <v>0.9</v>
      </c>
      <c r="AV346" s="24">
        <f t="shared" si="67"/>
        <v>0.72000000000000008</v>
      </c>
      <c r="AW346" s="24">
        <f t="shared" si="68"/>
        <v>0.54</v>
      </c>
      <c r="AX346" s="25">
        <v>1E-4</v>
      </c>
      <c r="AY346" s="24">
        <v>0</v>
      </c>
      <c r="AZ346" s="24">
        <f t="shared" si="69"/>
        <v>0.81</v>
      </c>
      <c r="BA346" s="24">
        <f t="shared" si="70"/>
        <v>0.64800000000000013</v>
      </c>
      <c r="BB346" s="24">
        <f t="shared" si="71"/>
        <v>0.48599999999999999</v>
      </c>
      <c r="BC346" s="25">
        <v>1E-4</v>
      </c>
      <c r="BD346" s="24">
        <v>0</v>
      </c>
      <c r="BE346" s="34">
        <v>5</v>
      </c>
      <c r="BF346" s="34">
        <f t="shared" si="65"/>
        <v>4</v>
      </c>
      <c r="BG346" s="34">
        <f t="shared" si="66"/>
        <v>3</v>
      </c>
      <c r="BH346" s="26">
        <v>1</v>
      </c>
      <c r="BI346" s="26">
        <v>0</v>
      </c>
      <c r="BJ346" s="20" t="s">
        <v>496</v>
      </c>
      <c r="BK346" s="27">
        <v>0.875</v>
      </c>
      <c r="BL346" s="27" t="s">
        <v>4074</v>
      </c>
      <c r="BM346" s="27" t="s">
        <v>4075</v>
      </c>
      <c r="BN346" s="26"/>
      <c r="BO346" s="34"/>
      <c r="BP346" s="34"/>
      <c r="BQ346" s="34"/>
      <c r="BR346" s="34"/>
      <c r="BS346" s="34"/>
      <c r="BT346" s="34"/>
      <c r="BU346" s="34"/>
      <c r="BV346" s="34"/>
      <c r="BW346" s="34"/>
      <c r="BX346" s="34"/>
      <c r="BY346" s="34"/>
      <c r="BZ346" s="34"/>
      <c r="CA346" s="20"/>
      <c r="CB346" s="20"/>
      <c r="CC346" s="29">
        <v>46003</v>
      </c>
      <c r="CD346" s="35" t="s">
        <v>3936</v>
      </c>
    </row>
    <row r="347" spans="1:82" s="18" customFormat="1" ht="66.75" customHeight="1" x14ac:dyDescent="0.25">
      <c r="A347" s="87">
        <v>343</v>
      </c>
      <c r="B347" s="141" t="s">
        <v>4076</v>
      </c>
      <c r="C347" s="6" t="s">
        <v>4077</v>
      </c>
      <c r="D347" s="6" t="s">
        <v>4078</v>
      </c>
      <c r="E347" s="75" t="s">
        <v>174</v>
      </c>
      <c r="F347" s="4" t="s">
        <v>1628</v>
      </c>
      <c r="G347" s="5" t="s">
        <v>84</v>
      </c>
      <c r="H347" s="6" t="s">
        <v>775</v>
      </c>
      <c r="I347" s="6" t="s">
        <v>4013</v>
      </c>
      <c r="J347" s="6"/>
      <c r="K347" s="6"/>
      <c r="L347" s="6"/>
      <c r="M347" s="6" t="s">
        <v>88</v>
      </c>
      <c r="N347" s="6" t="s">
        <v>89</v>
      </c>
      <c r="O347" s="6" t="s">
        <v>579</v>
      </c>
      <c r="P347" s="6" t="s">
        <v>4079</v>
      </c>
      <c r="Q347" s="6"/>
      <c r="R347" s="82" t="s">
        <v>91</v>
      </c>
      <c r="S347" s="5" t="s">
        <v>92</v>
      </c>
      <c r="T347" s="5" t="s">
        <v>93</v>
      </c>
      <c r="U347" s="91">
        <v>100</v>
      </c>
      <c r="V347" s="5" t="s">
        <v>94</v>
      </c>
      <c r="W347" s="5" t="s">
        <v>95</v>
      </c>
      <c r="X347" s="5">
        <v>2023</v>
      </c>
      <c r="Y347" s="5" t="s">
        <v>117</v>
      </c>
      <c r="Z347" s="5" t="s">
        <v>97</v>
      </c>
      <c r="AA347" s="5" t="s">
        <v>3926</v>
      </c>
      <c r="AB347" s="6" t="s">
        <v>99</v>
      </c>
      <c r="AC347" s="79" t="s">
        <v>4080</v>
      </c>
      <c r="AD347" s="79" t="s">
        <v>4081</v>
      </c>
      <c r="AE347" s="6" t="s">
        <v>4082</v>
      </c>
      <c r="AF347" s="6" t="s">
        <v>3985</v>
      </c>
      <c r="AG347" s="6" t="s">
        <v>1298</v>
      </c>
      <c r="AH347" s="6" t="s">
        <v>4083</v>
      </c>
      <c r="AI347" s="6" t="s">
        <v>4068</v>
      </c>
      <c r="AJ347" s="6" t="s">
        <v>4084</v>
      </c>
      <c r="AK347" s="33" t="s">
        <v>97</v>
      </c>
      <c r="AL347" s="33" t="s">
        <v>1635</v>
      </c>
      <c r="AM347" s="5" t="s">
        <v>4085</v>
      </c>
      <c r="AN347" s="5"/>
      <c r="AO347" s="5" t="s">
        <v>4086</v>
      </c>
      <c r="AP347" s="5" t="s">
        <v>4087</v>
      </c>
      <c r="AQ347" s="6" t="s">
        <v>3990</v>
      </c>
      <c r="AR347" s="20" t="s">
        <v>97</v>
      </c>
      <c r="AS347" s="20" t="s">
        <v>107</v>
      </c>
      <c r="AT347" s="20"/>
      <c r="AU347" s="24">
        <v>0.9</v>
      </c>
      <c r="AV347" s="24">
        <f t="shared" si="67"/>
        <v>0.72000000000000008</v>
      </c>
      <c r="AW347" s="24">
        <f t="shared" si="68"/>
        <v>0.54</v>
      </c>
      <c r="AX347" s="25">
        <v>1E-4</v>
      </c>
      <c r="AY347" s="24">
        <v>0</v>
      </c>
      <c r="AZ347" s="24">
        <f t="shared" si="69"/>
        <v>0.81</v>
      </c>
      <c r="BA347" s="24">
        <f t="shared" si="70"/>
        <v>0.64800000000000013</v>
      </c>
      <c r="BB347" s="24">
        <f t="shared" si="71"/>
        <v>0.48599999999999999</v>
      </c>
      <c r="BC347" s="25">
        <v>1E-4</v>
      </c>
      <c r="BD347" s="24">
        <v>0</v>
      </c>
      <c r="BE347" s="34">
        <v>5</v>
      </c>
      <c r="BF347" s="34">
        <f t="shared" si="65"/>
        <v>4</v>
      </c>
      <c r="BG347" s="34">
        <f t="shared" si="66"/>
        <v>3</v>
      </c>
      <c r="BH347" s="26">
        <v>1</v>
      </c>
      <c r="BI347" s="26">
        <v>0</v>
      </c>
      <c r="BJ347" s="20" t="s">
        <v>496</v>
      </c>
      <c r="BK347" s="27">
        <v>0.85</v>
      </c>
      <c r="BL347" s="27" t="s">
        <v>4075</v>
      </c>
      <c r="BM347" s="27" t="s">
        <v>3003</v>
      </c>
      <c r="BN347" s="26"/>
      <c r="BO347" s="34"/>
      <c r="BP347" s="34"/>
      <c r="BQ347" s="34"/>
      <c r="BR347" s="34"/>
      <c r="BS347" s="34"/>
      <c r="BT347" s="34"/>
      <c r="BU347" s="34"/>
      <c r="BV347" s="34"/>
      <c r="BW347" s="34"/>
      <c r="BX347" s="34"/>
      <c r="BY347" s="34"/>
      <c r="BZ347" s="34"/>
      <c r="CA347" s="20"/>
      <c r="CB347" s="20"/>
      <c r="CC347" s="29">
        <v>46003</v>
      </c>
      <c r="CD347" s="35" t="s">
        <v>3936</v>
      </c>
    </row>
    <row r="348" spans="1:82" s="18" customFormat="1" ht="66.75" customHeight="1" x14ac:dyDescent="0.25">
      <c r="A348" s="87">
        <v>344</v>
      </c>
      <c r="B348" s="141" t="s">
        <v>4088</v>
      </c>
      <c r="C348" s="6" t="s">
        <v>4089</v>
      </c>
      <c r="D348" s="6" t="s">
        <v>4090</v>
      </c>
      <c r="E348" s="75" t="s">
        <v>174</v>
      </c>
      <c r="F348" s="4" t="s">
        <v>1628</v>
      </c>
      <c r="G348" s="5" t="s">
        <v>84</v>
      </c>
      <c r="H348" s="6" t="s">
        <v>775</v>
      </c>
      <c r="I348" s="6" t="s">
        <v>4091</v>
      </c>
      <c r="J348" s="6" t="s">
        <v>115</v>
      </c>
      <c r="K348" s="6"/>
      <c r="L348" s="6"/>
      <c r="M348" s="6" t="s">
        <v>88</v>
      </c>
      <c r="N348" s="6" t="s">
        <v>89</v>
      </c>
      <c r="O348" s="6" t="s">
        <v>116</v>
      </c>
      <c r="P348" s="6" t="s">
        <v>353</v>
      </c>
      <c r="Q348" s="6"/>
      <c r="R348" s="82" t="s">
        <v>91</v>
      </c>
      <c r="S348" s="5" t="s">
        <v>92</v>
      </c>
      <c r="T348" s="5" t="s">
        <v>93</v>
      </c>
      <c r="U348" s="91">
        <v>100</v>
      </c>
      <c r="V348" s="5" t="s">
        <v>94</v>
      </c>
      <c r="W348" s="5" t="s">
        <v>95</v>
      </c>
      <c r="X348" s="5">
        <v>2023</v>
      </c>
      <c r="Y348" s="5" t="s">
        <v>117</v>
      </c>
      <c r="Z348" s="5" t="s">
        <v>97</v>
      </c>
      <c r="AA348" s="5" t="s">
        <v>98</v>
      </c>
      <c r="AB348" s="6" t="s">
        <v>99</v>
      </c>
      <c r="AC348" s="79" t="s">
        <v>4092</v>
      </c>
      <c r="AD348" s="79" t="s">
        <v>4093</v>
      </c>
      <c r="AE348" s="6" t="s">
        <v>4094</v>
      </c>
      <c r="AF348" s="49" t="s">
        <v>4095</v>
      </c>
      <c r="AG348" s="49" t="s">
        <v>218</v>
      </c>
      <c r="AH348" s="49" t="s">
        <v>218</v>
      </c>
      <c r="AI348" s="49" t="s">
        <v>4096</v>
      </c>
      <c r="AJ348" s="6" t="s">
        <v>4097</v>
      </c>
      <c r="AK348" s="33" t="s">
        <v>97</v>
      </c>
      <c r="AL348" s="33" t="s">
        <v>97</v>
      </c>
      <c r="AM348" s="5" t="s">
        <v>4098</v>
      </c>
      <c r="AN348" s="5" t="s">
        <v>4099</v>
      </c>
      <c r="AO348" s="5" t="s">
        <v>4100</v>
      </c>
      <c r="AP348" s="5" t="s">
        <v>4101</v>
      </c>
      <c r="AQ348" s="49" t="s">
        <v>4091</v>
      </c>
      <c r="AR348" s="20" t="s">
        <v>97</v>
      </c>
      <c r="AS348" s="20" t="s">
        <v>107</v>
      </c>
      <c r="AT348" s="20"/>
      <c r="AU348" s="24">
        <v>0.6</v>
      </c>
      <c r="AV348" s="24">
        <f t="shared" si="67"/>
        <v>0.48</v>
      </c>
      <c r="AW348" s="24">
        <f t="shared" si="68"/>
        <v>0.36</v>
      </c>
      <c r="AX348" s="25">
        <v>1E-4</v>
      </c>
      <c r="AY348" s="24">
        <v>0</v>
      </c>
      <c r="AZ348" s="24">
        <f t="shared" si="69"/>
        <v>0.54</v>
      </c>
      <c r="BA348" s="24">
        <f t="shared" si="70"/>
        <v>0.43200000000000005</v>
      </c>
      <c r="BB348" s="24">
        <f t="shared" si="71"/>
        <v>0.32400000000000001</v>
      </c>
      <c r="BC348" s="25">
        <v>1E-4</v>
      </c>
      <c r="BD348" s="24">
        <v>0</v>
      </c>
      <c r="BE348" s="34">
        <v>5</v>
      </c>
      <c r="BF348" s="34">
        <f t="shared" si="65"/>
        <v>4</v>
      </c>
      <c r="BG348" s="34">
        <f t="shared" si="66"/>
        <v>3</v>
      </c>
      <c r="BH348" s="26">
        <v>1</v>
      </c>
      <c r="BI348" s="26">
        <v>0</v>
      </c>
      <c r="BJ348" s="27">
        <v>0.38100000000000001</v>
      </c>
      <c r="BK348" s="27">
        <v>0.47004585727927467</v>
      </c>
      <c r="BL348" s="27" t="s">
        <v>4102</v>
      </c>
      <c r="BM348" s="27" t="s">
        <v>4103</v>
      </c>
      <c r="BN348" s="26"/>
      <c r="BO348" s="34"/>
      <c r="BP348" s="34"/>
      <c r="BQ348" s="34"/>
      <c r="BR348" s="34"/>
      <c r="BS348" s="34"/>
      <c r="BT348" s="34"/>
      <c r="BU348" s="34"/>
      <c r="BV348" s="34"/>
      <c r="BW348" s="34"/>
      <c r="BX348" s="34"/>
      <c r="BY348" s="34"/>
      <c r="BZ348" s="34"/>
      <c r="CA348" s="20"/>
      <c r="CB348" s="20"/>
      <c r="CC348" s="29">
        <v>46003</v>
      </c>
      <c r="CD348" s="35" t="s">
        <v>3936</v>
      </c>
    </row>
    <row r="349" spans="1:82" s="18" customFormat="1" ht="66.75" customHeight="1" x14ac:dyDescent="0.25">
      <c r="A349" s="121">
        <v>345</v>
      </c>
      <c r="B349" s="141" t="s">
        <v>4104</v>
      </c>
      <c r="C349" s="6" t="s">
        <v>4105</v>
      </c>
      <c r="D349" s="6" t="s">
        <v>4106</v>
      </c>
      <c r="E349" s="75" t="s">
        <v>113</v>
      </c>
      <c r="F349" s="4" t="s">
        <v>1628</v>
      </c>
      <c r="G349" s="5" t="s">
        <v>84</v>
      </c>
      <c r="H349" s="6" t="s">
        <v>775</v>
      </c>
      <c r="I349" s="6" t="s">
        <v>4091</v>
      </c>
      <c r="J349" s="6" t="s">
        <v>115</v>
      </c>
      <c r="K349" s="6"/>
      <c r="L349" s="6"/>
      <c r="M349" s="6" t="s">
        <v>88</v>
      </c>
      <c r="N349" s="6" t="s">
        <v>89</v>
      </c>
      <c r="O349" s="6" t="s">
        <v>116</v>
      </c>
      <c r="P349" s="6" t="s">
        <v>4107</v>
      </c>
      <c r="Q349" s="6"/>
      <c r="R349" s="82" t="s">
        <v>91</v>
      </c>
      <c r="S349" s="5" t="s">
        <v>92</v>
      </c>
      <c r="T349" s="5" t="s">
        <v>93</v>
      </c>
      <c r="U349" s="91">
        <v>100</v>
      </c>
      <c r="V349" s="5" t="s">
        <v>94</v>
      </c>
      <c r="W349" s="5" t="s">
        <v>95</v>
      </c>
      <c r="X349" s="5">
        <v>2023</v>
      </c>
      <c r="Y349" s="5" t="s">
        <v>117</v>
      </c>
      <c r="Z349" s="5" t="s">
        <v>97</v>
      </c>
      <c r="AA349" s="5" t="s">
        <v>98</v>
      </c>
      <c r="AB349" s="6" t="s">
        <v>99</v>
      </c>
      <c r="AC349" s="79" t="s">
        <v>4108</v>
      </c>
      <c r="AD349" s="79" t="s">
        <v>4109</v>
      </c>
      <c r="AE349" s="6" t="s">
        <v>4110</v>
      </c>
      <c r="AF349" s="49" t="s">
        <v>4095</v>
      </c>
      <c r="AG349" s="49" t="s">
        <v>218</v>
      </c>
      <c r="AH349" s="49" t="s">
        <v>218</v>
      </c>
      <c r="AI349" s="49" t="s">
        <v>4096</v>
      </c>
      <c r="AJ349" s="49" t="s">
        <v>4097</v>
      </c>
      <c r="AK349" s="33" t="s">
        <v>97</v>
      </c>
      <c r="AL349" s="33" t="s">
        <v>97</v>
      </c>
      <c r="AM349" s="5" t="s">
        <v>4111</v>
      </c>
      <c r="AN349" s="5" t="s">
        <v>4099</v>
      </c>
      <c r="AO349" s="5" t="s">
        <v>4112</v>
      </c>
      <c r="AP349" s="5" t="s">
        <v>4113</v>
      </c>
      <c r="AQ349" s="49" t="s">
        <v>4091</v>
      </c>
      <c r="AR349" s="20" t="s">
        <v>97</v>
      </c>
      <c r="AS349" s="20" t="s">
        <v>107</v>
      </c>
      <c r="AT349" s="20"/>
      <c r="AU349" s="24">
        <v>0.05</v>
      </c>
      <c r="AV349" s="24">
        <f t="shared" si="67"/>
        <v>4.0000000000000008E-2</v>
      </c>
      <c r="AW349" s="24">
        <f t="shared" si="68"/>
        <v>0.03</v>
      </c>
      <c r="AX349" s="25">
        <v>1E-4</v>
      </c>
      <c r="AY349" s="24">
        <v>0</v>
      </c>
      <c r="AZ349" s="24">
        <f t="shared" si="69"/>
        <v>4.5000000000000005E-2</v>
      </c>
      <c r="BA349" s="24">
        <f t="shared" si="70"/>
        <v>3.6000000000000004E-2</v>
      </c>
      <c r="BB349" s="24">
        <f t="shared" si="71"/>
        <v>2.7000000000000003E-2</v>
      </c>
      <c r="BC349" s="25">
        <v>1E-4</v>
      </c>
      <c r="BD349" s="24">
        <v>0</v>
      </c>
      <c r="BE349" s="26">
        <v>0</v>
      </c>
      <c r="BF349" s="34">
        <f t="shared" si="65"/>
        <v>0</v>
      </c>
      <c r="BG349" s="34">
        <f t="shared" si="66"/>
        <v>0</v>
      </c>
      <c r="BH349" s="26">
        <v>0</v>
      </c>
      <c r="BI349" s="26">
        <v>0</v>
      </c>
      <c r="BJ349" s="27">
        <v>2.1000000000000001E-2</v>
      </c>
      <c r="BK349" s="27">
        <v>2.5981398739849906E-2</v>
      </c>
      <c r="BL349" s="27" t="s">
        <v>4114</v>
      </c>
      <c r="BM349" s="27" t="s">
        <v>4115</v>
      </c>
      <c r="BN349" s="26"/>
      <c r="BO349" s="34"/>
      <c r="BP349" s="34"/>
      <c r="BQ349" s="34"/>
      <c r="BR349" s="34"/>
      <c r="BS349" s="34"/>
      <c r="BT349" s="34"/>
      <c r="BU349" s="34"/>
      <c r="BV349" s="34"/>
      <c r="BW349" s="34"/>
      <c r="BX349" s="34"/>
      <c r="BY349" s="34"/>
      <c r="BZ349" s="34"/>
      <c r="CA349" s="20"/>
      <c r="CB349" s="20"/>
      <c r="CC349" s="29">
        <v>46003</v>
      </c>
      <c r="CD349" s="35" t="s">
        <v>3936</v>
      </c>
    </row>
    <row r="350" spans="1:82" s="18" customFormat="1" ht="147.75" customHeight="1" x14ac:dyDescent="0.25">
      <c r="A350" s="87">
        <v>346</v>
      </c>
      <c r="B350" s="142" t="s">
        <v>4116</v>
      </c>
      <c r="C350" s="14" t="s">
        <v>7285</v>
      </c>
      <c r="D350" s="2" t="s">
        <v>7284</v>
      </c>
      <c r="E350" s="75" t="s">
        <v>113</v>
      </c>
      <c r="F350" s="12" t="s">
        <v>1628</v>
      </c>
      <c r="G350" s="7">
        <v>102</v>
      </c>
      <c r="H350" s="2" t="s">
        <v>775</v>
      </c>
      <c r="I350" s="2" t="s">
        <v>2247</v>
      </c>
      <c r="J350" s="2"/>
      <c r="K350" s="2"/>
      <c r="L350" s="2"/>
      <c r="M350" s="2" t="s">
        <v>136</v>
      </c>
      <c r="N350" s="2" t="s">
        <v>245</v>
      </c>
      <c r="O350" s="2" t="s">
        <v>246</v>
      </c>
      <c r="P350" s="2" t="s">
        <v>4117</v>
      </c>
      <c r="Q350" s="2"/>
      <c r="R350" s="11" t="s">
        <v>91</v>
      </c>
      <c r="S350" s="5" t="s">
        <v>92</v>
      </c>
      <c r="T350" s="7" t="s">
        <v>93</v>
      </c>
      <c r="U350" s="181">
        <v>100</v>
      </c>
      <c r="V350" s="7" t="s">
        <v>94</v>
      </c>
      <c r="W350" s="7" t="s">
        <v>95</v>
      </c>
      <c r="X350" s="7">
        <v>2023</v>
      </c>
      <c r="Y350" s="7" t="s">
        <v>117</v>
      </c>
      <c r="Z350" s="7" t="s">
        <v>97</v>
      </c>
      <c r="AA350" s="7" t="s">
        <v>98</v>
      </c>
      <c r="AB350" s="2" t="s">
        <v>99</v>
      </c>
      <c r="AC350" s="182" t="s">
        <v>7286</v>
      </c>
      <c r="AD350" s="31" t="s">
        <v>4118</v>
      </c>
      <c r="AE350" s="2" t="s">
        <v>4119</v>
      </c>
      <c r="AF350" s="2" t="s">
        <v>121</v>
      </c>
      <c r="AG350" s="14" t="s">
        <v>218</v>
      </c>
      <c r="AH350" s="14" t="s">
        <v>218</v>
      </c>
      <c r="AI350" s="2" t="s">
        <v>7420</v>
      </c>
      <c r="AJ350" s="2" t="s">
        <v>4120</v>
      </c>
      <c r="AK350" s="7" t="s">
        <v>1635</v>
      </c>
      <c r="AL350" s="7" t="s">
        <v>97</v>
      </c>
      <c r="AM350" s="7"/>
      <c r="AN350" s="7" t="s">
        <v>4121</v>
      </c>
      <c r="AO350" s="14"/>
      <c r="AP350" s="7"/>
      <c r="AQ350" s="14" t="s">
        <v>7287</v>
      </c>
      <c r="AR350" s="20" t="s">
        <v>97</v>
      </c>
      <c r="AS350" s="20" t="s">
        <v>107</v>
      </c>
      <c r="AT350" s="20"/>
      <c r="AU350" s="24">
        <v>0.1</v>
      </c>
      <c r="AV350" s="24">
        <f t="shared" si="67"/>
        <v>8.0000000000000016E-2</v>
      </c>
      <c r="AW350" s="24">
        <f t="shared" si="68"/>
        <v>0.06</v>
      </c>
      <c r="AX350" s="25">
        <v>1E-4</v>
      </c>
      <c r="AY350" s="24">
        <v>0</v>
      </c>
      <c r="AZ350" s="24">
        <f t="shared" si="69"/>
        <v>9.0000000000000011E-2</v>
      </c>
      <c r="BA350" s="24">
        <f t="shared" si="70"/>
        <v>7.2000000000000008E-2</v>
      </c>
      <c r="BB350" s="24">
        <f t="shared" si="71"/>
        <v>5.4000000000000006E-2</v>
      </c>
      <c r="BC350" s="25">
        <v>1E-4</v>
      </c>
      <c r="BD350" s="24">
        <v>0</v>
      </c>
      <c r="BE350" s="26">
        <v>0</v>
      </c>
      <c r="BF350" s="34">
        <f t="shared" si="65"/>
        <v>0</v>
      </c>
      <c r="BG350" s="34">
        <f t="shared" si="66"/>
        <v>0</v>
      </c>
      <c r="BH350" s="26">
        <v>0</v>
      </c>
      <c r="BI350" s="26">
        <v>0</v>
      </c>
      <c r="BJ350" s="20" t="s">
        <v>496</v>
      </c>
      <c r="BK350" s="27">
        <v>2.3228832026051392E-3</v>
      </c>
      <c r="BL350" s="27" t="s">
        <v>2196</v>
      </c>
      <c r="BM350" s="27" t="s">
        <v>4123</v>
      </c>
      <c r="BN350" s="26"/>
      <c r="BO350" s="34">
        <v>1</v>
      </c>
      <c r="BP350" s="34"/>
      <c r="BQ350" s="34"/>
      <c r="BR350" s="34"/>
      <c r="BS350" s="34"/>
      <c r="BT350" s="34"/>
      <c r="BU350" s="34"/>
      <c r="BV350" s="34"/>
      <c r="BW350" s="34"/>
      <c r="BX350" s="34"/>
      <c r="BY350" s="34"/>
      <c r="BZ350" s="34"/>
      <c r="CA350" s="20"/>
      <c r="CB350" s="33"/>
      <c r="CC350" s="46">
        <v>46044</v>
      </c>
      <c r="CD350" s="11" t="s">
        <v>7288</v>
      </c>
    </row>
    <row r="351" spans="1:82" s="18" customFormat="1" ht="107.25" customHeight="1" x14ac:dyDescent="0.25">
      <c r="A351" s="87">
        <v>347</v>
      </c>
      <c r="B351" s="142" t="s">
        <v>4124</v>
      </c>
      <c r="C351" s="14" t="s">
        <v>7289</v>
      </c>
      <c r="D351" s="14" t="s">
        <v>7290</v>
      </c>
      <c r="E351" s="75" t="s">
        <v>113</v>
      </c>
      <c r="F351" s="12" t="s">
        <v>1628</v>
      </c>
      <c r="G351" s="7" t="s">
        <v>84</v>
      </c>
      <c r="H351" s="2" t="s">
        <v>775</v>
      </c>
      <c r="I351" s="2" t="s">
        <v>2247</v>
      </c>
      <c r="J351" s="2"/>
      <c r="K351" s="2"/>
      <c r="L351" s="2"/>
      <c r="M351" s="2" t="s">
        <v>3924</v>
      </c>
      <c r="N351" s="2" t="s">
        <v>245</v>
      </c>
      <c r="O351" s="2" t="s">
        <v>246</v>
      </c>
      <c r="P351" s="2" t="s">
        <v>4125</v>
      </c>
      <c r="Q351" s="2"/>
      <c r="R351" s="11" t="s">
        <v>91</v>
      </c>
      <c r="S351" s="5" t="s">
        <v>92</v>
      </c>
      <c r="T351" s="7" t="s">
        <v>93</v>
      </c>
      <c r="U351" s="181">
        <v>100</v>
      </c>
      <c r="V351" s="7" t="s">
        <v>94</v>
      </c>
      <c r="W351" s="7" t="s">
        <v>95</v>
      </c>
      <c r="X351" s="7">
        <v>2023</v>
      </c>
      <c r="Y351" s="7" t="s">
        <v>117</v>
      </c>
      <c r="Z351" s="7" t="s">
        <v>97</v>
      </c>
      <c r="AA351" s="7" t="s">
        <v>98</v>
      </c>
      <c r="AB351" s="2" t="s">
        <v>99</v>
      </c>
      <c r="AC351" s="182" t="s">
        <v>7291</v>
      </c>
      <c r="AD351" s="31" t="s">
        <v>4118</v>
      </c>
      <c r="AE351" s="176" t="s">
        <v>7292</v>
      </c>
      <c r="AF351" s="2" t="s">
        <v>121</v>
      </c>
      <c r="AG351" s="14" t="s">
        <v>218</v>
      </c>
      <c r="AH351" s="14" t="s">
        <v>218</v>
      </c>
      <c r="AI351" s="2" t="s">
        <v>7419</v>
      </c>
      <c r="AJ351" s="2" t="s">
        <v>4120</v>
      </c>
      <c r="AK351" s="7" t="s">
        <v>1635</v>
      </c>
      <c r="AL351" s="7" t="s">
        <v>97</v>
      </c>
      <c r="AM351" s="7"/>
      <c r="AN351" s="7"/>
      <c r="AO351" s="2"/>
      <c r="AP351" s="7"/>
      <c r="AQ351" s="14" t="s">
        <v>7293</v>
      </c>
      <c r="AR351" s="20" t="s">
        <v>97</v>
      </c>
      <c r="AS351" s="20" t="s">
        <v>107</v>
      </c>
      <c r="AT351" s="20"/>
      <c r="AU351" s="24" t="s">
        <v>1691</v>
      </c>
      <c r="AV351" s="24"/>
      <c r="AW351" s="24"/>
      <c r="AX351" s="25" t="s">
        <v>1693</v>
      </c>
      <c r="AY351" s="24"/>
      <c r="AZ351" s="24" t="s">
        <v>1691</v>
      </c>
      <c r="BA351" s="24"/>
      <c r="BB351" s="24"/>
      <c r="BC351" s="25">
        <v>1E-4</v>
      </c>
      <c r="BD351" s="24">
        <v>0</v>
      </c>
      <c r="BE351" s="26">
        <v>0</v>
      </c>
      <c r="BF351" s="34">
        <f t="shared" si="65"/>
        <v>0</v>
      </c>
      <c r="BG351" s="34">
        <f t="shared" si="66"/>
        <v>0</v>
      </c>
      <c r="BH351" s="26">
        <v>0</v>
      </c>
      <c r="BI351" s="26">
        <v>0</v>
      </c>
      <c r="BJ351" s="20" t="s">
        <v>496</v>
      </c>
      <c r="BK351" s="27">
        <v>5.9778290182466989E-4</v>
      </c>
      <c r="BL351" s="27" t="s">
        <v>2986</v>
      </c>
      <c r="BM351" s="27" t="s">
        <v>3051</v>
      </c>
      <c r="BN351" s="26"/>
      <c r="BO351" s="34"/>
      <c r="BP351" s="34"/>
      <c r="BQ351" s="34"/>
      <c r="BR351" s="34"/>
      <c r="BS351" s="34"/>
      <c r="BT351" s="34"/>
      <c r="BU351" s="34"/>
      <c r="BV351" s="34"/>
      <c r="BW351" s="34"/>
      <c r="BX351" s="34"/>
      <c r="BY351" s="34"/>
      <c r="BZ351" s="34"/>
      <c r="CA351" s="20"/>
      <c r="CB351" s="33"/>
      <c r="CC351" s="46">
        <v>46044</v>
      </c>
      <c r="CD351" s="36" t="s">
        <v>7294</v>
      </c>
    </row>
    <row r="352" spans="1:82" s="18" customFormat="1" ht="133.5" customHeight="1" x14ac:dyDescent="0.25">
      <c r="A352" s="121">
        <v>348</v>
      </c>
      <c r="B352" s="142" t="s">
        <v>4126</v>
      </c>
      <c r="C352" s="2" t="s">
        <v>4127</v>
      </c>
      <c r="D352" s="2" t="s">
        <v>4128</v>
      </c>
      <c r="E352" s="75" t="s">
        <v>113</v>
      </c>
      <c r="F352" s="12" t="s">
        <v>1628</v>
      </c>
      <c r="G352" s="7">
        <v>82</v>
      </c>
      <c r="H352" s="2" t="s">
        <v>114</v>
      </c>
      <c r="I352" s="2" t="s">
        <v>4129</v>
      </c>
      <c r="J352" s="2"/>
      <c r="K352" s="2"/>
      <c r="L352" s="2"/>
      <c r="M352" s="2" t="s">
        <v>136</v>
      </c>
      <c r="N352" s="2" t="s">
        <v>245</v>
      </c>
      <c r="O352" s="2" t="s">
        <v>246</v>
      </c>
      <c r="P352" s="2" t="s">
        <v>4130</v>
      </c>
      <c r="Q352" s="2"/>
      <c r="R352" s="11" t="s">
        <v>2587</v>
      </c>
      <c r="S352" s="5" t="s">
        <v>92</v>
      </c>
      <c r="T352" s="7" t="s">
        <v>2587</v>
      </c>
      <c r="U352" s="181">
        <v>1000</v>
      </c>
      <c r="V352" s="7" t="s">
        <v>94</v>
      </c>
      <c r="W352" s="7" t="s">
        <v>95</v>
      </c>
      <c r="X352" s="7">
        <v>2023</v>
      </c>
      <c r="Y352" s="7" t="s">
        <v>117</v>
      </c>
      <c r="Z352" s="7" t="s">
        <v>97</v>
      </c>
      <c r="AA352" s="7" t="s">
        <v>98</v>
      </c>
      <c r="AB352" s="2" t="s">
        <v>99</v>
      </c>
      <c r="AC352" s="31" t="s">
        <v>4131</v>
      </c>
      <c r="AD352" s="31" t="s">
        <v>4132</v>
      </c>
      <c r="AE352" s="84" t="s">
        <v>7454</v>
      </c>
      <c r="AF352" s="14" t="s">
        <v>7387</v>
      </c>
      <c r="AG352" s="21" t="s">
        <v>178</v>
      </c>
      <c r="AH352" s="21" t="s">
        <v>178</v>
      </c>
      <c r="AI352" s="2" t="s">
        <v>4133</v>
      </c>
      <c r="AJ352" s="2" t="s">
        <v>4134</v>
      </c>
      <c r="AK352" s="20" t="s">
        <v>97</v>
      </c>
      <c r="AL352" s="20" t="s">
        <v>97</v>
      </c>
      <c r="AM352" s="7" t="s">
        <v>4135</v>
      </c>
      <c r="AN352" s="7"/>
      <c r="AO352" s="7" t="s">
        <v>4136</v>
      </c>
      <c r="AP352" s="7" t="s">
        <v>4136</v>
      </c>
      <c r="AQ352" s="21" t="s">
        <v>1502</v>
      </c>
      <c r="AR352" s="20" t="s">
        <v>97</v>
      </c>
      <c r="AS352" s="20" t="s">
        <v>107</v>
      </c>
      <c r="AT352" s="20"/>
      <c r="AU352" s="24" t="s">
        <v>4137</v>
      </c>
      <c r="AV352" s="24"/>
      <c r="AW352" s="24"/>
      <c r="AX352" s="25" t="s">
        <v>4138</v>
      </c>
      <c r="AY352" s="24"/>
      <c r="AZ352" s="24" t="s">
        <v>4137</v>
      </c>
      <c r="BA352" s="24"/>
      <c r="BB352" s="24"/>
      <c r="BC352" s="25" t="s">
        <v>4138</v>
      </c>
      <c r="BD352" s="24"/>
      <c r="BE352" s="26">
        <v>0</v>
      </c>
      <c r="BF352" s="34">
        <f t="shared" si="65"/>
        <v>0</v>
      </c>
      <c r="BG352" s="34">
        <f t="shared" si="66"/>
        <v>0</v>
      </c>
      <c r="BH352" s="26">
        <v>0</v>
      </c>
      <c r="BI352" s="26">
        <v>0</v>
      </c>
      <c r="BJ352" s="20" t="s">
        <v>496</v>
      </c>
      <c r="BK352" s="27">
        <v>0</v>
      </c>
      <c r="BL352" s="27" t="s">
        <v>2598</v>
      </c>
      <c r="BM352" s="27" t="s">
        <v>2598</v>
      </c>
      <c r="BN352" s="26"/>
      <c r="BO352" s="34">
        <v>1</v>
      </c>
      <c r="BP352" s="34"/>
      <c r="BQ352" s="34"/>
      <c r="BR352" s="34"/>
      <c r="BS352" s="34"/>
      <c r="BT352" s="34" t="s">
        <v>4139</v>
      </c>
      <c r="BU352" s="34"/>
      <c r="BV352" s="34"/>
      <c r="BW352" s="34"/>
      <c r="BX352" s="34"/>
      <c r="BY352" s="34"/>
      <c r="BZ352" s="34"/>
      <c r="CA352" s="20"/>
      <c r="CB352" s="33"/>
      <c r="CC352" s="46">
        <v>45996</v>
      </c>
      <c r="CD352" s="11" t="s">
        <v>4140</v>
      </c>
    </row>
    <row r="353" spans="1:82" s="18" customFormat="1" ht="143.25" customHeight="1" x14ac:dyDescent="0.25">
      <c r="A353" s="87">
        <v>349</v>
      </c>
      <c r="B353" s="142" t="s">
        <v>4141</v>
      </c>
      <c r="C353" s="2" t="s">
        <v>4142</v>
      </c>
      <c r="D353" s="2" t="s">
        <v>4143</v>
      </c>
      <c r="E353" s="75" t="s">
        <v>113</v>
      </c>
      <c r="F353" s="12" t="s">
        <v>1628</v>
      </c>
      <c r="G353" s="7">
        <v>81</v>
      </c>
      <c r="H353" s="2" t="s">
        <v>114</v>
      </c>
      <c r="I353" s="2" t="s">
        <v>4129</v>
      </c>
      <c r="J353" s="2"/>
      <c r="K353" s="2"/>
      <c r="L353" s="2"/>
      <c r="M353" s="2" t="s">
        <v>136</v>
      </c>
      <c r="N353" s="2" t="s">
        <v>245</v>
      </c>
      <c r="O353" s="2" t="s">
        <v>246</v>
      </c>
      <c r="P353" s="2" t="s">
        <v>4130</v>
      </c>
      <c r="Q353" s="2"/>
      <c r="R353" s="11" t="s">
        <v>2587</v>
      </c>
      <c r="S353" s="5" t="s">
        <v>92</v>
      </c>
      <c r="T353" s="7" t="s">
        <v>2587</v>
      </c>
      <c r="U353" s="181">
        <v>1000</v>
      </c>
      <c r="V353" s="7" t="s">
        <v>94</v>
      </c>
      <c r="W353" s="7" t="s">
        <v>95</v>
      </c>
      <c r="X353" s="7">
        <v>2023</v>
      </c>
      <c r="Y353" s="7" t="s">
        <v>117</v>
      </c>
      <c r="Z353" s="7" t="s">
        <v>97</v>
      </c>
      <c r="AA353" s="7" t="s">
        <v>98</v>
      </c>
      <c r="AB353" s="2" t="s">
        <v>99</v>
      </c>
      <c r="AC353" s="31" t="s">
        <v>4144</v>
      </c>
      <c r="AD353" s="31" t="s">
        <v>4132</v>
      </c>
      <c r="AE353" s="14" t="s">
        <v>7453</v>
      </c>
      <c r="AF353" s="14" t="s">
        <v>7387</v>
      </c>
      <c r="AG353" s="21" t="s">
        <v>178</v>
      </c>
      <c r="AH353" s="21" t="s">
        <v>178</v>
      </c>
      <c r="AI353" s="2" t="s">
        <v>4133</v>
      </c>
      <c r="AJ353" s="2" t="s">
        <v>4134</v>
      </c>
      <c r="AK353" s="20" t="s">
        <v>97</v>
      </c>
      <c r="AL353" s="20" t="s">
        <v>97</v>
      </c>
      <c r="AM353" s="7" t="s">
        <v>4135</v>
      </c>
      <c r="AN353" s="7"/>
      <c r="AO353" s="7" t="s">
        <v>4136</v>
      </c>
      <c r="AP353" s="7" t="s">
        <v>4136</v>
      </c>
      <c r="AQ353" s="21" t="s">
        <v>1502</v>
      </c>
      <c r="AR353" s="20" t="s">
        <v>97</v>
      </c>
      <c r="AS353" s="20" t="s">
        <v>107</v>
      </c>
      <c r="AT353" s="20"/>
      <c r="AU353" s="24" t="s">
        <v>4137</v>
      </c>
      <c r="AV353" s="24"/>
      <c r="AW353" s="24"/>
      <c r="AX353" s="25" t="s">
        <v>4138</v>
      </c>
      <c r="AY353" s="24"/>
      <c r="AZ353" s="24" t="s">
        <v>4137</v>
      </c>
      <c r="BA353" s="24"/>
      <c r="BB353" s="24"/>
      <c r="BC353" s="25" t="s">
        <v>4138</v>
      </c>
      <c r="BD353" s="24"/>
      <c r="BE353" s="26">
        <v>0</v>
      </c>
      <c r="BF353" s="34">
        <f t="shared" si="65"/>
        <v>0</v>
      </c>
      <c r="BG353" s="34">
        <f t="shared" si="66"/>
        <v>0</v>
      </c>
      <c r="BH353" s="26">
        <v>0</v>
      </c>
      <c r="BI353" s="26">
        <v>0</v>
      </c>
      <c r="BJ353" s="20" t="s">
        <v>496</v>
      </c>
      <c r="BK353" s="27">
        <v>0</v>
      </c>
      <c r="BL353" s="27" t="s">
        <v>2598</v>
      </c>
      <c r="BM353" s="27" t="s">
        <v>2598</v>
      </c>
      <c r="BN353" s="26"/>
      <c r="BO353" s="34">
        <v>1</v>
      </c>
      <c r="BP353" s="34"/>
      <c r="BQ353" s="34"/>
      <c r="BR353" s="34"/>
      <c r="BS353" s="34"/>
      <c r="BT353" s="34" t="s">
        <v>4145</v>
      </c>
      <c r="BU353" s="34"/>
      <c r="BV353" s="34">
        <v>1</v>
      </c>
      <c r="BW353" s="34">
        <v>1</v>
      </c>
      <c r="BX353" s="34"/>
      <c r="BY353" s="34"/>
      <c r="BZ353" s="34"/>
      <c r="CA353" s="20"/>
      <c r="CB353" s="33"/>
      <c r="CC353" s="46">
        <v>45996</v>
      </c>
      <c r="CD353" s="11" t="s">
        <v>4140</v>
      </c>
    </row>
    <row r="354" spans="1:82" s="18" customFormat="1" ht="117.75" customHeight="1" x14ac:dyDescent="0.25">
      <c r="A354" s="87">
        <v>350</v>
      </c>
      <c r="B354" s="142" t="s">
        <v>4146</v>
      </c>
      <c r="C354" s="2" t="s">
        <v>4147</v>
      </c>
      <c r="D354" s="2" t="s">
        <v>4148</v>
      </c>
      <c r="E354" s="75" t="s">
        <v>113</v>
      </c>
      <c r="F354" s="12" t="s">
        <v>1628</v>
      </c>
      <c r="G354" s="7" t="s">
        <v>84</v>
      </c>
      <c r="H354" s="2" t="s">
        <v>114</v>
      </c>
      <c r="I354" s="2" t="s">
        <v>4129</v>
      </c>
      <c r="J354" s="2"/>
      <c r="K354" s="2"/>
      <c r="L354" s="2"/>
      <c r="M354" s="2" t="s">
        <v>74</v>
      </c>
      <c r="N354" s="2" t="s">
        <v>245</v>
      </c>
      <c r="O354" s="2" t="s">
        <v>246</v>
      </c>
      <c r="P354" s="2" t="s">
        <v>4147</v>
      </c>
      <c r="Q354" s="2"/>
      <c r="R354" s="11" t="s">
        <v>2587</v>
      </c>
      <c r="S354" s="5" t="s">
        <v>92</v>
      </c>
      <c r="T354" s="7" t="s">
        <v>2587</v>
      </c>
      <c r="U354" s="181">
        <v>100000</v>
      </c>
      <c r="V354" s="7" t="s">
        <v>94</v>
      </c>
      <c r="W354" s="7" t="s">
        <v>95</v>
      </c>
      <c r="X354" s="7">
        <v>2023</v>
      </c>
      <c r="Y354" s="7" t="s">
        <v>117</v>
      </c>
      <c r="Z354" s="7" t="s">
        <v>97</v>
      </c>
      <c r="AA354" s="7" t="s">
        <v>98</v>
      </c>
      <c r="AB354" s="2" t="s">
        <v>99</v>
      </c>
      <c r="AC354" s="31" t="s">
        <v>4149</v>
      </c>
      <c r="AD354" s="31" t="s">
        <v>1631</v>
      </c>
      <c r="AE354" s="14" t="s">
        <v>7450</v>
      </c>
      <c r="AF354" s="14" t="s">
        <v>7388</v>
      </c>
      <c r="AG354" s="21" t="s">
        <v>178</v>
      </c>
      <c r="AH354" s="21" t="s">
        <v>178</v>
      </c>
      <c r="AI354" s="2" t="s">
        <v>4150</v>
      </c>
      <c r="AJ354" s="2" t="s">
        <v>1634</v>
      </c>
      <c r="AK354" s="7" t="s">
        <v>97</v>
      </c>
      <c r="AL354" s="20" t="s">
        <v>97</v>
      </c>
      <c r="AM354" s="7" t="s">
        <v>4151</v>
      </c>
      <c r="AN354" s="7"/>
      <c r="AO354" s="7" t="s">
        <v>4136</v>
      </c>
      <c r="AP354" s="7" t="s">
        <v>4136</v>
      </c>
      <c r="AQ354" s="21" t="s">
        <v>1502</v>
      </c>
      <c r="AR354" s="20" t="s">
        <v>97</v>
      </c>
      <c r="AS354" s="20" t="s">
        <v>107</v>
      </c>
      <c r="AT354" s="20"/>
      <c r="AU354" s="24" t="s">
        <v>4152</v>
      </c>
      <c r="AV354" s="24"/>
      <c r="AW354" s="24"/>
      <c r="AX354" s="25" t="s">
        <v>3819</v>
      </c>
      <c r="AY354" s="24"/>
      <c r="AZ354" s="24" t="s">
        <v>4152</v>
      </c>
      <c r="BA354" s="24"/>
      <c r="BB354" s="24"/>
      <c r="BC354" s="25" t="s">
        <v>3819</v>
      </c>
      <c r="BD354" s="24"/>
      <c r="BE354" s="26">
        <v>0</v>
      </c>
      <c r="BF354" s="34">
        <f t="shared" si="65"/>
        <v>0</v>
      </c>
      <c r="BG354" s="34">
        <f t="shared" si="66"/>
        <v>0</v>
      </c>
      <c r="BH354" s="26">
        <v>0</v>
      </c>
      <c r="BI354" s="26">
        <v>0</v>
      </c>
      <c r="BJ354" s="20" t="s">
        <v>496</v>
      </c>
      <c r="BK354" s="27">
        <v>4.4977679826386159E-6</v>
      </c>
      <c r="BL354" s="27" t="s">
        <v>4153</v>
      </c>
      <c r="BM354" s="27" t="s">
        <v>4154</v>
      </c>
      <c r="BN354" s="26"/>
      <c r="BO354" s="34"/>
      <c r="BP354" s="34"/>
      <c r="BQ354" s="34"/>
      <c r="BR354" s="34"/>
      <c r="BS354" s="34"/>
      <c r="BT354" s="34" t="s">
        <v>4155</v>
      </c>
      <c r="BU354" s="34"/>
      <c r="BV354" s="34">
        <v>1</v>
      </c>
      <c r="BW354" s="34">
        <v>1</v>
      </c>
      <c r="BX354" s="34"/>
      <c r="BY354" s="34"/>
      <c r="BZ354" s="34"/>
      <c r="CA354" s="20"/>
      <c r="CB354" s="33"/>
      <c r="CC354" s="46">
        <v>45996</v>
      </c>
      <c r="CD354" s="11" t="s">
        <v>4156</v>
      </c>
    </row>
    <row r="355" spans="1:82" s="18" customFormat="1" ht="84" customHeight="1" x14ac:dyDescent="0.25">
      <c r="A355" s="121">
        <v>351</v>
      </c>
      <c r="B355" s="142" t="s">
        <v>4157</v>
      </c>
      <c r="C355" s="2" t="s">
        <v>4158</v>
      </c>
      <c r="D355" s="2" t="s">
        <v>4159</v>
      </c>
      <c r="E355" s="75" t="s">
        <v>113</v>
      </c>
      <c r="F355" s="12" t="s">
        <v>1628</v>
      </c>
      <c r="G355" s="7" t="s">
        <v>84</v>
      </c>
      <c r="H355" s="2" t="s">
        <v>114</v>
      </c>
      <c r="I355" s="2" t="s">
        <v>4129</v>
      </c>
      <c r="J355" s="2"/>
      <c r="K355" s="2"/>
      <c r="L355" s="2"/>
      <c r="M355" s="2" t="s">
        <v>74</v>
      </c>
      <c r="N355" s="2" t="s">
        <v>245</v>
      </c>
      <c r="O355" s="2" t="s">
        <v>246</v>
      </c>
      <c r="P355" s="2" t="s">
        <v>4160</v>
      </c>
      <c r="Q355" s="2"/>
      <c r="R355" s="11" t="s">
        <v>2587</v>
      </c>
      <c r="S355" s="5" t="s">
        <v>92</v>
      </c>
      <c r="T355" s="7" t="s">
        <v>2587</v>
      </c>
      <c r="U355" s="181">
        <v>100000</v>
      </c>
      <c r="V355" s="7" t="s">
        <v>94</v>
      </c>
      <c r="W355" s="7" t="s">
        <v>95</v>
      </c>
      <c r="X355" s="7">
        <v>2023</v>
      </c>
      <c r="Y355" s="7" t="s">
        <v>117</v>
      </c>
      <c r="Z355" s="7" t="s">
        <v>97</v>
      </c>
      <c r="AA355" s="7" t="s">
        <v>98</v>
      </c>
      <c r="AB355" s="2" t="s">
        <v>99</v>
      </c>
      <c r="AC355" s="31" t="s">
        <v>4161</v>
      </c>
      <c r="AD355" s="31" t="s">
        <v>1631</v>
      </c>
      <c r="AE355" s="14" t="s">
        <v>7463</v>
      </c>
      <c r="AF355" s="14" t="s">
        <v>7388</v>
      </c>
      <c r="AG355" s="21" t="s">
        <v>178</v>
      </c>
      <c r="AH355" s="21" t="s">
        <v>178</v>
      </c>
      <c r="AI355" s="2" t="s">
        <v>4150</v>
      </c>
      <c r="AJ355" s="2" t="s">
        <v>1634</v>
      </c>
      <c r="AK355" s="7" t="s">
        <v>97</v>
      </c>
      <c r="AL355" s="20" t="s">
        <v>97</v>
      </c>
      <c r="AM355" s="7" t="s">
        <v>4151</v>
      </c>
      <c r="AN355" s="7"/>
      <c r="AO355" s="7" t="s">
        <v>4136</v>
      </c>
      <c r="AP355" s="7" t="s">
        <v>4136</v>
      </c>
      <c r="AQ355" s="21" t="s">
        <v>1502</v>
      </c>
      <c r="AR355" s="20" t="s">
        <v>97</v>
      </c>
      <c r="AS355" s="20" t="s">
        <v>107</v>
      </c>
      <c r="AT355" s="20"/>
      <c r="AU355" s="24" t="s">
        <v>4162</v>
      </c>
      <c r="AV355" s="24"/>
      <c r="AW355" s="24"/>
      <c r="AX355" s="25" t="s">
        <v>4163</v>
      </c>
      <c r="AY355" s="24"/>
      <c r="AZ355" s="24" t="s">
        <v>4162</v>
      </c>
      <c r="BA355" s="24"/>
      <c r="BB355" s="24"/>
      <c r="BC355" s="25" t="s">
        <v>4163</v>
      </c>
      <c r="BD355" s="24"/>
      <c r="BE355" s="26">
        <v>0</v>
      </c>
      <c r="BF355" s="34">
        <f t="shared" si="65"/>
        <v>0</v>
      </c>
      <c r="BG355" s="34">
        <f t="shared" si="66"/>
        <v>0</v>
      </c>
      <c r="BH355" s="26">
        <v>0</v>
      </c>
      <c r="BI355" s="26">
        <v>0</v>
      </c>
      <c r="BJ355" s="20" t="s">
        <v>496</v>
      </c>
      <c r="BK355" s="27">
        <v>2.2488839913193079E-6</v>
      </c>
      <c r="BL355" s="27" t="s">
        <v>4153</v>
      </c>
      <c r="BM355" s="27" t="s">
        <v>4164</v>
      </c>
      <c r="BN355" s="26"/>
      <c r="BO355" s="34"/>
      <c r="BP355" s="34"/>
      <c r="BQ355" s="34"/>
      <c r="BR355" s="34"/>
      <c r="BS355" s="34"/>
      <c r="BT355" s="34" t="s">
        <v>4165</v>
      </c>
      <c r="BU355" s="34"/>
      <c r="BV355" s="34"/>
      <c r="BW355" s="34"/>
      <c r="BX355" s="34"/>
      <c r="BY355" s="34"/>
      <c r="BZ355" s="34"/>
      <c r="CA355" s="20"/>
      <c r="CB355" s="33"/>
      <c r="CC355" s="46">
        <v>45996</v>
      </c>
      <c r="CD355" s="11" t="s">
        <v>4166</v>
      </c>
    </row>
    <row r="356" spans="1:82" s="18" customFormat="1" ht="116.25" customHeight="1" x14ac:dyDescent="0.25">
      <c r="A356" s="87">
        <v>352</v>
      </c>
      <c r="B356" s="142" t="s">
        <v>4167</v>
      </c>
      <c r="C356" s="2" t="s">
        <v>4168</v>
      </c>
      <c r="D356" s="2" t="s">
        <v>4169</v>
      </c>
      <c r="E356" s="75" t="s">
        <v>113</v>
      </c>
      <c r="F356" s="12" t="s">
        <v>1628</v>
      </c>
      <c r="G356" s="7" t="s">
        <v>84</v>
      </c>
      <c r="H356" s="2" t="s">
        <v>114</v>
      </c>
      <c r="I356" s="2" t="s">
        <v>4129</v>
      </c>
      <c r="J356" s="2"/>
      <c r="K356" s="2"/>
      <c r="L356" s="2"/>
      <c r="M356" s="2" t="s">
        <v>74</v>
      </c>
      <c r="N356" s="2" t="s">
        <v>245</v>
      </c>
      <c r="O356" s="2" t="s">
        <v>246</v>
      </c>
      <c r="P356" s="2" t="s">
        <v>4170</v>
      </c>
      <c r="Q356" s="2"/>
      <c r="R356" s="11" t="s">
        <v>2587</v>
      </c>
      <c r="S356" s="5" t="s">
        <v>92</v>
      </c>
      <c r="T356" s="7" t="s">
        <v>2587</v>
      </c>
      <c r="U356" s="181">
        <v>100000</v>
      </c>
      <c r="V356" s="7" t="s">
        <v>94</v>
      </c>
      <c r="W356" s="7" t="s">
        <v>95</v>
      </c>
      <c r="X356" s="7">
        <v>2023</v>
      </c>
      <c r="Y356" s="7" t="s">
        <v>117</v>
      </c>
      <c r="Z356" s="7" t="s">
        <v>97</v>
      </c>
      <c r="AA356" s="7" t="s">
        <v>98</v>
      </c>
      <c r="AB356" s="2" t="s">
        <v>99</v>
      </c>
      <c r="AC356" s="31" t="s">
        <v>4171</v>
      </c>
      <c r="AD356" s="31" t="s">
        <v>1631</v>
      </c>
      <c r="AE356" s="14" t="s">
        <v>7450</v>
      </c>
      <c r="AF356" s="14" t="s">
        <v>7388</v>
      </c>
      <c r="AG356" s="21" t="s">
        <v>178</v>
      </c>
      <c r="AH356" s="21" t="s">
        <v>178</v>
      </c>
      <c r="AI356" s="21" t="s">
        <v>4150</v>
      </c>
      <c r="AJ356" s="21" t="s">
        <v>1634</v>
      </c>
      <c r="AK356" s="20" t="s">
        <v>97</v>
      </c>
      <c r="AL356" s="20" t="s">
        <v>97</v>
      </c>
      <c r="AM356" s="7" t="s">
        <v>4151</v>
      </c>
      <c r="AN356" s="7"/>
      <c r="AO356" s="7" t="s">
        <v>4136</v>
      </c>
      <c r="AP356" s="7" t="s">
        <v>4136</v>
      </c>
      <c r="AQ356" s="21" t="s">
        <v>1502</v>
      </c>
      <c r="AR356" s="20" t="s">
        <v>97</v>
      </c>
      <c r="AS356" s="20" t="s">
        <v>107</v>
      </c>
      <c r="AT356" s="20"/>
      <c r="AU356" s="24" t="s">
        <v>4172</v>
      </c>
      <c r="AV356" s="24"/>
      <c r="AW356" s="24"/>
      <c r="AX356" s="25" t="s">
        <v>4173</v>
      </c>
      <c r="AY356" s="24"/>
      <c r="AZ356" s="24" t="s">
        <v>4172</v>
      </c>
      <c r="BA356" s="24"/>
      <c r="BB356" s="24"/>
      <c r="BC356" s="25" t="s">
        <v>4173</v>
      </c>
      <c r="BD356" s="24"/>
      <c r="BE356" s="26">
        <v>0</v>
      </c>
      <c r="BF356" s="34">
        <f t="shared" si="65"/>
        <v>0</v>
      </c>
      <c r="BG356" s="34">
        <f t="shared" si="66"/>
        <v>0</v>
      </c>
      <c r="BH356" s="26">
        <v>0</v>
      </c>
      <c r="BI356" s="26">
        <v>0</v>
      </c>
      <c r="BJ356" s="20" t="s">
        <v>496</v>
      </c>
      <c r="BK356" s="27">
        <v>0</v>
      </c>
      <c r="BL356" s="27" t="s">
        <v>2598</v>
      </c>
      <c r="BM356" s="27" t="s">
        <v>4174</v>
      </c>
      <c r="BN356" s="26"/>
      <c r="BO356" s="34"/>
      <c r="BP356" s="34"/>
      <c r="BQ356" s="34"/>
      <c r="BR356" s="34"/>
      <c r="BS356" s="34"/>
      <c r="BT356" s="34" t="s">
        <v>4175</v>
      </c>
      <c r="BU356" s="34"/>
      <c r="BV356" s="34"/>
      <c r="BW356" s="34"/>
      <c r="BX356" s="34"/>
      <c r="BY356" s="34"/>
      <c r="BZ356" s="34"/>
      <c r="CA356" s="20"/>
      <c r="CB356" s="33"/>
      <c r="CC356" s="46">
        <v>45996</v>
      </c>
      <c r="CD356" s="11" t="s">
        <v>4156</v>
      </c>
    </row>
    <row r="357" spans="1:82" s="18" customFormat="1" ht="201.75" customHeight="1" x14ac:dyDescent="0.25">
      <c r="A357" s="87">
        <v>353</v>
      </c>
      <c r="B357" s="142" t="s">
        <v>4176</v>
      </c>
      <c r="C357" s="2" t="s">
        <v>4177</v>
      </c>
      <c r="D357" s="2" t="s">
        <v>4178</v>
      </c>
      <c r="E357" s="75" t="s">
        <v>113</v>
      </c>
      <c r="F357" s="12" t="s">
        <v>1628</v>
      </c>
      <c r="G357" s="7" t="s">
        <v>84</v>
      </c>
      <c r="H357" s="2" t="s">
        <v>114</v>
      </c>
      <c r="I357" s="2" t="s">
        <v>4129</v>
      </c>
      <c r="J357" s="2"/>
      <c r="K357" s="2"/>
      <c r="L357" s="2"/>
      <c r="M357" s="2" t="s">
        <v>74</v>
      </c>
      <c r="N357" s="2" t="s">
        <v>245</v>
      </c>
      <c r="O357" s="2" t="s">
        <v>246</v>
      </c>
      <c r="P357" s="2" t="s">
        <v>4179</v>
      </c>
      <c r="Q357" s="2"/>
      <c r="R357" s="11" t="s">
        <v>2587</v>
      </c>
      <c r="S357" s="5" t="s">
        <v>92</v>
      </c>
      <c r="T357" s="7" t="s">
        <v>2587</v>
      </c>
      <c r="U357" s="181">
        <v>100000</v>
      </c>
      <c r="V357" s="7" t="s">
        <v>94</v>
      </c>
      <c r="W357" s="7" t="s">
        <v>95</v>
      </c>
      <c r="X357" s="7">
        <v>2023</v>
      </c>
      <c r="Y357" s="7" t="s">
        <v>117</v>
      </c>
      <c r="Z357" s="7" t="s">
        <v>97</v>
      </c>
      <c r="AA357" s="7" t="s">
        <v>98</v>
      </c>
      <c r="AB357" s="2" t="s">
        <v>99</v>
      </c>
      <c r="AC357" s="31" t="s">
        <v>4180</v>
      </c>
      <c r="AD357" s="31" t="s">
        <v>1631</v>
      </c>
      <c r="AE357" s="14" t="s">
        <v>7450</v>
      </c>
      <c r="AF357" s="14" t="s">
        <v>7388</v>
      </c>
      <c r="AG357" s="21" t="s">
        <v>178</v>
      </c>
      <c r="AH357" s="21" t="s">
        <v>178</v>
      </c>
      <c r="AI357" s="21" t="s">
        <v>4150</v>
      </c>
      <c r="AJ357" s="21" t="s">
        <v>1634</v>
      </c>
      <c r="AK357" s="20" t="s">
        <v>97</v>
      </c>
      <c r="AL357" s="20" t="s">
        <v>97</v>
      </c>
      <c r="AM357" s="7" t="s">
        <v>4151</v>
      </c>
      <c r="AN357" s="7"/>
      <c r="AO357" s="7" t="s">
        <v>4136</v>
      </c>
      <c r="AP357" s="7" t="s">
        <v>4136</v>
      </c>
      <c r="AQ357" s="21" t="s">
        <v>1502</v>
      </c>
      <c r="AR357" s="20" t="s">
        <v>97</v>
      </c>
      <c r="AS357" s="20" t="s">
        <v>107</v>
      </c>
      <c r="AT357" s="20"/>
      <c r="AU357" s="24" t="s">
        <v>4181</v>
      </c>
      <c r="AV357" s="24"/>
      <c r="AW357" s="24"/>
      <c r="AX357" s="25" t="s">
        <v>4182</v>
      </c>
      <c r="AY357" s="24"/>
      <c r="AZ357" s="24" t="s">
        <v>4181</v>
      </c>
      <c r="BA357" s="24"/>
      <c r="BB357" s="24"/>
      <c r="BC357" s="25" t="s">
        <v>4182</v>
      </c>
      <c r="BD357" s="24"/>
      <c r="BE357" s="26">
        <v>0</v>
      </c>
      <c r="BF357" s="34">
        <f t="shared" si="65"/>
        <v>0</v>
      </c>
      <c r="BG357" s="34">
        <f t="shared" si="66"/>
        <v>0</v>
      </c>
      <c r="BH357" s="26">
        <v>0</v>
      </c>
      <c r="BI357" s="26">
        <v>0</v>
      </c>
      <c r="BJ357" s="20" t="s">
        <v>496</v>
      </c>
      <c r="BK357" s="27">
        <v>2.2488839913193079E-6</v>
      </c>
      <c r="BL357" s="27" t="s">
        <v>2598</v>
      </c>
      <c r="BM357" s="27" t="s">
        <v>4174</v>
      </c>
      <c r="BN357" s="26"/>
      <c r="BO357" s="34"/>
      <c r="BP357" s="34"/>
      <c r="BQ357" s="34"/>
      <c r="BR357" s="34"/>
      <c r="BS357" s="34"/>
      <c r="BT357" s="34" t="s">
        <v>4183</v>
      </c>
      <c r="BU357" s="34"/>
      <c r="BV357" s="34"/>
      <c r="BW357" s="34"/>
      <c r="BX357" s="34"/>
      <c r="BY357" s="34"/>
      <c r="BZ357" s="34"/>
      <c r="CA357" s="20"/>
      <c r="CB357" s="33"/>
      <c r="CC357" s="46">
        <v>45996</v>
      </c>
      <c r="CD357" s="11" t="s">
        <v>4166</v>
      </c>
    </row>
    <row r="358" spans="1:82" s="18" customFormat="1" ht="159" customHeight="1" x14ac:dyDescent="0.25">
      <c r="A358" s="121">
        <v>354</v>
      </c>
      <c r="B358" s="142" t="s">
        <v>4184</v>
      </c>
      <c r="C358" s="2" t="s">
        <v>4185</v>
      </c>
      <c r="D358" s="2" t="s">
        <v>4186</v>
      </c>
      <c r="E358" s="75" t="s">
        <v>113</v>
      </c>
      <c r="F358" s="12" t="s">
        <v>1628</v>
      </c>
      <c r="G358" s="7" t="s">
        <v>84</v>
      </c>
      <c r="H358" s="2" t="s">
        <v>775</v>
      </c>
      <c r="I358" s="2" t="s">
        <v>4129</v>
      </c>
      <c r="J358" s="2"/>
      <c r="K358" s="2"/>
      <c r="L358" s="2"/>
      <c r="M358" s="2" t="s">
        <v>74</v>
      </c>
      <c r="N358" s="2" t="s">
        <v>245</v>
      </c>
      <c r="O358" s="2" t="s">
        <v>246</v>
      </c>
      <c r="P358" s="2" t="s">
        <v>4185</v>
      </c>
      <c r="Q358" s="2"/>
      <c r="R358" s="11" t="s">
        <v>91</v>
      </c>
      <c r="S358" s="5" t="s">
        <v>92</v>
      </c>
      <c r="T358" s="7" t="s">
        <v>93</v>
      </c>
      <c r="U358" s="181">
        <v>100</v>
      </c>
      <c r="V358" s="7" t="s">
        <v>94</v>
      </c>
      <c r="W358" s="7" t="s">
        <v>95</v>
      </c>
      <c r="X358" s="7">
        <v>2023</v>
      </c>
      <c r="Y358" s="7" t="s">
        <v>117</v>
      </c>
      <c r="Z358" s="7" t="s">
        <v>97</v>
      </c>
      <c r="AA358" s="7" t="s">
        <v>98</v>
      </c>
      <c r="AB358" s="2" t="s">
        <v>99</v>
      </c>
      <c r="AC358" s="31" t="s">
        <v>4187</v>
      </c>
      <c r="AD358" s="31" t="s">
        <v>7389</v>
      </c>
      <c r="AE358" s="84" t="s">
        <v>7451</v>
      </c>
      <c r="AF358" s="84" t="s">
        <v>7452</v>
      </c>
      <c r="AG358" s="21" t="s">
        <v>178</v>
      </c>
      <c r="AH358" s="21" t="s">
        <v>218</v>
      </c>
      <c r="AI358" s="2" t="s">
        <v>4188</v>
      </c>
      <c r="AJ358" s="2" t="s">
        <v>4189</v>
      </c>
      <c r="AK358" s="7" t="s">
        <v>1635</v>
      </c>
      <c r="AL358" s="7" t="s">
        <v>1635</v>
      </c>
      <c r="AM358" s="7" t="s">
        <v>4151</v>
      </c>
      <c r="AN358" s="7"/>
      <c r="AO358" s="7" t="s">
        <v>4136</v>
      </c>
      <c r="AP358" s="7" t="s">
        <v>4136</v>
      </c>
      <c r="AQ358" s="21" t="s">
        <v>1502</v>
      </c>
      <c r="AR358" s="20" t="s">
        <v>97</v>
      </c>
      <c r="AS358" s="20" t="s">
        <v>107</v>
      </c>
      <c r="AT358" s="20"/>
      <c r="AU358" s="24" t="s">
        <v>4190</v>
      </c>
      <c r="AV358" s="24"/>
      <c r="AW358" s="24"/>
      <c r="AX358" s="25" t="s">
        <v>4191</v>
      </c>
      <c r="AY358" s="24"/>
      <c r="AZ358" s="24" t="s">
        <v>4190</v>
      </c>
      <c r="BA358" s="24"/>
      <c r="BB358" s="24"/>
      <c r="BC358" s="25" t="s">
        <v>4191</v>
      </c>
      <c r="BD358" s="24">
        <v>0</v>
      </c>
      <c r="BE358" s="26">
        <v>0</v>
      </c>
      <c r="BF358" s="34">
        <f t="shared" si="65"/>
        <v>0</v>
      </c>
      <c r="BG358" s="34">
        <f t="shared" si="66"/>
        <v>0</v>
      </c>
      <c r="BH358" s="26">
        <v>0</v>
      </c>
      <c r="BI358" s="26">
        <v>0</v>
      </c>
      <c r="BJ358" s="20" t="s">
        <v>496</v>
      </c>
      <c r="BK358" s="27">
        <v>0</v>
      </c>
      <c r="BL358" s="27" t="s">
        <v>1176</v>
      </c>
      <c r="BM358" s="27" t="s">
        <v>1176</v>
      </c>
      <c r="BN358" s="26"/>
      <c r="BO358" s="34"/>
      <c r="BP358" s="34"/>
      <c r="BQ358" s="34"/>
      <c r="BR358" s="34"/>
      <c r="BS358" s="34"/>
      <c r="BT358" s="34" t="s">
        <v>4192</v>
      </c>
      <c r="BU358" s="34"/>
      <c r="BV358" s="34"/>
      <c r="BW358" s="34"/>
      <c r="BX358" s="34"/>
      <c r="BY358" s="34"/>
      <c r="BZ358" s="34"/>
      <c r="CA358" s="20"/>
      <c r="CB358" s="33"/>
      <c r="CC358" s="46">
        <v>45996</v>
      </c>
      <c r="CD358" s="11" t="s">
        <v>4193</v>
      </c>
    </row>
    <row r="359" spans="1:82" s="18" customFormat="1" ht="66.75" customHeight="1" x14ac:dyDescent="0.25">
      <c r="A359" s="87">
        <v>355</v>
      </c>
      <c r="B359" s="141" t="s">
        <v>4194</v>
      </c>
      <c r="C359" s="6" t="s">
        <v>4195</v>
      </c>
      <c r="D359" s="6" t="s">
        <v>4196</v>
      </c>
      <c r="E359" s="75" t="s">
        <v>174</v>
      </c>
      <c r="F359" s="4" t="s">
        <v>4197</v>
      </c>
      <c r="G359" s="5" t="s">
        <v>84</v>
      </c>
      <c r="H359" s="14" t="s">
        <v>86</v>
      </c>
      <c r="I359" s="90" t="s">
        <v>4198</v>
      </c>
      <c r="J359" s="90"/>
      <c r="K359" s="90"/>
      <c r="L359" s="90"/>
      <c r="M359" s="6" t="s">
        <v>88</v>
      </c>
      <c r="N359" s="6" t="s">
        <v>89</v>
      </c>
      <c r="O359" s="6" t="s">
        <v>4199</v>
      </c>
      <c r="P359" s="6" t="s">
        <v>4200</v>
      </c>
      <c r="Q359" s="6"/>
      <c r="R359" s="82" t="s">
        <v>91</v>
      </c>
      <c r="S359" s="5" t="s">
        <v>4201</v>
      </c>
      <c r="T359" s="5" t="s">
        <v>93</v>
      </c>
      <c r="U359" s="91">
        <v>100</v>
      </c>
      <c r="V359" s="5" t="s">
        <v>94</v>
      </c>
      <c r="W359" s="5" t="s">
        <v>95</v>
      </c>
      <c r="X359" s="5">
        <v>2023</v>
      </c>
      <c r="Y359" s="5" t="s">
        <v>117</v>
      </c>
      <c r="Z359" s="5" t="s">
        <v>97</v>
      </c>
      <c r="AA359" s="5" t="s">
        <v>98</v>
      </c>
      <c r="AB359" s="6" t="s">
        <v>99</v>
      </c>
      <c r="AC359" s="79" t="s">
        <v>7322</v>
      </c>
      <c r="AD359" s="79" t="s">
        <v>7321</v>
      </c>
      <c r="AE359" s="175" t="s">
        <v>4202</v>
      </c>
      <c r="AF359" s="175" t="s">
        <v>4203</v>
      </c>
      <c r="AG359" s="33" t="s">
        <v>218</v>
      </c>
      <c r="AH359" s="33" t="s">
        <v>218</v>
      </c>
      <c r="AI359" s="49" t="s">
        <v>4204</v>
      </c>
      <c r="AJ359" s="6" t="s">
        <v>4205</v>
      </c>
      <c r="AK359" s="33" t="s">
        <v>97</v>
      </c>
      <c r="AL359" s="33" t="s">
        <v>97</v>
      </c>
      <c r="AM359" s="5" t="s">
        <v>4206</v>
      </c>
      <c r="AN359" s="5" t="s">
        <v>4207</v>
      </c>
      <c r="AO359" s="5" t="s">
        <v>4208</v>
      </c>
      <c r="AP359" s="5" t="s">
        <v>4209</v>
      </c>
      <c r="AQ359" s="49" t="s">
        <v>87</v>
      </c>
      <c r="AR359" s="20" t="s">
        <v>97</v>
      </c>
      <c r="AS359" s="20" t="s">
        <v>107</v>
      </c>
      <c r="AT359" s="20"/>
      <c r="AU359" s="41">
        <v>0.3</v>
      </c>
      <c r="AV359" s="24">
        <f t="shared" ref="AV359:AV373" si="72">+AU359*80%</f>
        <v>0.24</v>
      </c>
      <c r="AW359" s="24">
        <f t="shared" ref="AW359:AW373" si="73">+AU359*60%</f>
        <v>0.18</v>
      </c>
      <c r="AX359" s="25">
        <v>1E-4</v>
      </c>
      <c r="AY359" s="24">
        <v>0</v>
      </c>
      <c r="AZ359" s="24">
        <f t="shared" ref="AZ359:AZ373" si="74">+AU359*90%</f>
        <v>0.27</v>
      </c>
      <c r="BA359" s="24">
        <f t="shared" ref="BA359:BA373" si="75">AZ359*80%</f>
        <v>0.21600000000000003</v>
      </c>
      <c r="BB359" s="24">
        <f t="shared" ref="BB359:BB373" si="76">AZ359*60%</f>
        <v>0.16200000000000001</v>
      </c>
      <c r="BC359" s="25">
        <v>1E-4</v>
      </c>
      <c r="BD359" s="24">
        <v>0</v>
      </c>
      <c r="BE359" s="34">
        <v>5</v>
      </c>
      <c r="BF359" s="34">
        <f t="shared" si="65"/>
        <v>4</v>
      </c>
      <c r="BG359" s="34">
        <f t="shared" si="66"/>
        <v>3</v>
      </c>
      <c r="BH359" s="26">
        <v>1</v>
      </c>
      <c r="BI359" s="26">
        <v>0</v>
      </c>
      <c r="BJ359" s="20" t="s">
        <v>496</v>
      </c>
      <c r="BK359" s="27">
        <v>0.18123976446281156</v>
      </c>
      <c r="BL359" s="27">
        <v>0.13500000000000001</v>
      </c>
      <c r="BM359" s="27" t="s">
        <v>4210</v>
      </c>
      <c r="BN359" s="26"/>
      <c r="BO359" s="34"/>
      <c r="BP359" s="34"/>
      <c r="BQ359" s="34"/>
      <c r="BR359" s="34"/>
      <c r="BS359" s="34"/>
      <c r="BT359" s="34"/>
      <c r="BU359" s="34"/>
      <c r="BV359" s="34"/>
      <c r="BW359" s="34"/>
      <c r="BX359" s="34"/>
      <c r="BY359" s="34"/>
      <c r="BZ359" s="34"/>
      <c r="CA359" s="20"/>
      <c r="CB359" s="20"/>
      <c r="CC359" s="218">
        <v>46044</v>
      </c>
      <c r="CD359" s="42" t="s">
        <v>7323</v>
      </c>
    </row>
    <row r="360" spans="1:82" s="18" customFormat="1" ht="66.75" customHeight="1" x14ac:dyDescent="0.25">
      <c r="A360" s="87">
        <v>356</v>
      </c>
      <c r="B360" s="141" t="s">
        <v>4211</v>
      </c>
      <c r="C360" s="6" t="s">
        <v>4212</v>
      </c>
      <c r="D360" s="6" t="s">
        <v>4213</v>
      </c>
      <c r="E360" s="75" t="s">
        <v>113</v>
      </c>
      <c r="F360" s="4" t="s">
        <v>4197</v>
      </c>
      <c r="G360" s="5" t="s">
        <v>84</v>
      </c>
      <c r="H360" s="6" t="s">
        <v>775</v>
      </c>
      <c r="I360" s="90" t="s">
        <v>4198</v>
      </c>
      <c r="J360" s="90"/>
      <c r="K360" s="90"/>
      <c r="L360" s="90"/>
      <c r="M360" s="6" t="s">
        <v>88</v>
      </c>
      <c r="N360" s="6" t="s">
        <v>89</v>
      </c>
      <c r="O360" s="6" t="s">
        <v>4199</v>
      </c>
      <c r="P360" s="6" t="s">
        <v>4200</v>
      </c>
      <c r="Q360" s="6"/>
      <c r="R360" s="82" t="s">
        <v>91</v>
      </c>
      <c r="S360" s="5" t="s">
        <v>4201</v>
      </c>
      <c r="T360" s="5" t="s">
        <v>93</v>
      </c>
      <c r="U360" s="91">
        <v>100</v>
      </c>
      <c r="V360" s="5" t="s">
        <v>94</v>
      </c>
      <c r="W360" s="5" t="s">
        <v>95</v>
      </c>
      <c r="X360" s="5">
        <v>2023</v>
      </c>
      <c r="Y360" s="5" t="s">
        <v>117</v>
      </c>
      <c r="Z360" s="5" t="s">
        <v>97</v>
      </c>
      <c r="AA360" s="5" t="s">
        <v>98</v>
      </c>
      <c r="AB360" s="6" t="s">
        <v>99</v>
      </c>
      <c r="AC360" s="79" t="s">
        <v>4214</v>
      </c>
      <c r="AD360" s="79" t="s">
        <v>4215</v>
      </c>
      <c r="AE360" s="49" t="s">
        <v>4216</v>
      </c>
      <c r="AF360" s="49" t="s">
        <v>3582</v>
      </c>
      <c r="AG360" s="33" t="s">
        <v>218</v>
      </c>
      <c r="AH360" s="33" t="s">
        <v>218</v>
      </c>
      <c r="AI360" s="49" t="s">
        <v>4217</v>
      </c>
      <c r="AJ360" s="49" t="s">
        <v>4218</v>
      </c>
      <c r="AK360" s="33" t="s">
        <v>97</v>
      </c>
      <c r="AL360" s="33" t="s">
        <v>97</v>
      </c>
      <c r="AM360" s="5" t="s">
        <v>4219</v>
      </c>
      <c r="AN360" s="5"/>
      <c r="AO360" s="5" t="s">
        <v>4220</v>
      </c>
      <c r="AP360" s="5" t="s">
        <v>4209</v>
      </c>
      <c r="AQ360" s="49" t="s">
        <v>87</v>
      </c>
      <c r="AR360" s="20" t="s">
        <v>97</v>
      </c>
      <c r="AS360" s="20" t="s">
        <v>107</v>
      </c>
      <c r="AT360" s="20"/>
      <c r="AU360" s="24">
        <v>0.2</v>
      </c>
      <c r="AV360" s="24">
        <f t="shared" si="72"/>
        <v>0.16000000000000003</v>
      </c>
      <c r="AW360" s="24">
        <f t="shared" si="73"/>
        <v>0.12</v>
      </c>
      <c r="AX360" s="25">
        <v>1E-4</v>
      </c>
      <c r="AY360" s="24">
        <v>0</v>
      </c>
      <c r="AZ360" s="24">
        <f t="shared" si="74"/>
        <v>0.18000000000000002</v>
      </c>
      <c r="BA360" s="24">
        <f t="shared" si="75"/>
        <v>0.14400000000000002</v>
      </c>
      <c r="BB360" s="24">
        <f t="shared" si="76"/>
        <v>0.10800000000000001</v>
      </c>
      <c r="BC360" s="25">
        <v>1E-4</v>
      </c>
      <c r="BD360" s="24">
        <v>0</v>
      </c>
      <c r="BE360" s="26">
        <v>0</v>
      </c>
      <c r="BF360" s="34">
        <f t="shared" si="65"/>
        <v>0</v>
      </c>
      <c r="BG360" s="34">
        <f t="shared" si="66"/>
        <v>0</v>
      </c>
      <c r="BH360" s="26">
        <v>0</v>
      </c>
      <c r="BI360" s="26">
        <v>0</v>
      </c>
      <c r="BJ360" s="20" t="s">
        <v>496</v>
      </c>
      <c r="BK360" s="27">
        <v>0.26349455728874427</v>
      </c>
      <c r="BL360" s="27">
        <v>0.04</v>
      </c>
      <c r="BM360" s="27" t="s">
        <v>4221</v>
      </c>
      <c r="BN360" s="26"/>
      <c r="BO360" s="34"/>
      <c r="BP360" s="34"/>
      <c r="BQ360" s="34"/>
      <c r="BR360" s="34"/>
      <c r="BS360" s="34"/>
      <c r="BT360" s="34"/>
      <c r="BU360" s="34"/>
      <c r="BV360" s="34"/>
      <c r="BW360" s="34"/>
      <c r="BX360" s="34"/>
      <c r="BY360" s="34"/>
      <c r="BZ360" s="34"/>
      <c r="CA360" s="20"/>
      <c r="CB360" s="20"/>
      <c r="CC360" s="46">
        <v>46006</v>
      </c>
      <c r="CD360" s="42" t="s">
        <v>7353</v>
      </c>
    </row>
    <row r="361" spans="1:82" s="18" customFormat="1" ht="66.75" customHeight="1" x14ac:dyDescent="0.25">
      <c r="A361" s="121">
        <v>357</v>
      </c>
      <c r="B361" s="141" t="s">
        <v>4222</v>
      </c>
      <c r="C361" s="6" t="s">
        <v>4223</v>
      </c>
      <c r="D361" s="6" t="s">
        <v>4224</v>
      </c>
      <c r="E361" s="75" t="s">
        <v>174</v>
      </c>
      <c r="F361" s="4" t="s">
        <v>4197</v>
      </c>
      <c r="G361" s="5" t="s">
        <v>84</v>
      </c>
      <c r="H361" s="14" t="s">
        <v>114</v>
      </c>
      <c r="I361" s="90" t="s">
        <v>4198</v>
      </c>
      <c r="J361" s="90"/>
      <c r="K361" s="90"/>
      <c r="L361" s="90"/>
      <c r="M361" s="6" t="s">
        <v>88</v>
      </c>
      <c r="N361" s="6" t="s">
        <v>89</v>
      </c>
      <c r="O361" s="6" t="s">
        <v>4199</v>
      </c>
      <c r="P361" s="6" t="s">
        <v>4200</v>
      </c>
      <c r="Q361" s="6"/>
      <c r="R361" s="82" t="s">
        <v>91</v>
      </c>
      <c r="S361" s="5" t="s">
        <v>4201</v>
      </c>
      <c r="T361" s="5" t="s">
        <v>93</v>
      </c>
      <c r="U361" s="91">
        <v>100</v>
      </c>
      <c r="V361" s="5" t="s">
        <v>94</v>
      </c>
      <c r="W361" s="5" t="s">
        <v>95</v>
      </c>
      <c r="X361" s="5">
        <v>2023</v>
      </c>
      <c r="Y361" s="5" t="s">
        <v>117</v>
      </c>
      <c r="Z361" s="5" t="s">
        <v>97</v>
      </c>
      <c r="AA361" s="5" t="s">
        <v>98</v>
      </c>
      <c r="AB361" s="6" t="s">
        <v>99</v>
      </c>
      <c r="AC361" s="182" t="s">
        <v>7575</v>
      </c>
      <c r="AD361" s="79" t="s">
        <v>4225</v>
      </c>
      <c r="AE361" s="47" t="s">
        <v>4202</v>
      </c>
      <c r="AF361" s="47" t="s">
        <v>4203</v>
      </c>
      <c r="AG361" s="33" t="s">
        <v>218</v>
      </c>
      <c r="AH361" s="33" t="s">
        <v>218</v>
      </c>
      <c r="AI361" s="49" t="s">
        <v>4204</v>
      </c>
      <c r="AJ361" s="49" t="s">
        <v>4226</v>
      </c>
      <c r="AK361" s="33" t="s">
        <v>97</v>
      </c>
      <c r="AL361" s="33" t="s">
        <v>97</v>
      </c>
      <c r="AM361" s="5" t="s">
        <v>4227</v>
      </c>
      <c r="AN361" s="5" t="s">
        <v>4228</v>
      </c>
      <c r="AO361" s="5" t="s">
        <v>4229</v>
      </c>
      <c r="AP361" s="5" t="s">
        <v>4209</v>
      </c>
      <c r="AQ361" s="49" t="s">
        <v>87</v>
      </c>
      <c r="AR361" s="20" t="s">
        <v>97</v>
      </c>
      <c r="AS361" s="20" t="s">
        <v>107</v>
      </c>
      <c r="AT361" s="20"/>
      <c r="AU361" s="24">
        <v>0.2</v>
      </c>
      <c r="AV361" s="24">
        <f t="shared" si="72"/>
        <v>0.16000000000000003</v>
      </c>
      <c r="AW361" s="24">
        <f t="shared" si="73"/>
        <v>0.12</v>
      </c>
      <c r="AX361" s="25">
        <v>1E-4</v>
      </c>
      <c r="AY361" s="24">
        <v>0</v>
      </c>
      <c r="AZ361" s="24">
        <f t="shared" si="74"/>
        <v>0.18000000000000002</v>
      </c>
      <c r="BA361" s="24">
        <f t="shared" si="75"/>
        <v>0.14400000000000002</v>
      </c>
      <c r="BB361" s="24">
        <f t="shared" si="76"/>
        <v>0.10800000000000001</v>
      </c>
      <c r="BC361" s="25">
        <v>1E-4</v>
      </c>
      <c r="BD361" s="24">
        <v>0</v>
      </c>
      <c r="BE361" s="34">
        <v>5</v>
      </c>
      <c r="BF361" s="34">
        <f t="shared" si="65"/>
        <v>4</v>
      </c>
      <c r="BG361" s="34">
        <f t="shared" si="66"/>
        <v>3</v>
      </c>
      <c r="BH361" s="26">
        <v>1</v>
      </c>
      <c r="BI361" s="26">
        <v>0</v>
      </c>
      <c r="BJ361" s="20" t="s">
        <v>496</v>
      </c>
      <c r="BK361" s="27"/>
      <c r="BL361" s="27">
        <v>0.04</v>
      </c>
      <c r="BM361" s="27" t="s">
        <v>4230</v>
      </c>
      <c r="BN361" s="26"/>
      <c r="BO361" s="34"/>
      <c r="BP361" s="34"/>
      <c r="BQ361" s="34"/>
      <c r="BR361" s="34"/>
      <c r="BS361" s="34"/>
      <c r="BT361" s="34"/>
      <c r="BU361" s="34"/>
      <c r="BV361" s="34"/>
      <c r="BW361" s="34"/>
      <c r="BX361" s="34"/>
      <c r="BY361" s="34"/>
      <c r="BZ361" s="34"/>
      <c r="CA361" s="20"/>
      <c r="CB361" s="20"/>
      <c r="CC361" s="218">
        <v>46044</v>
      </c>
      <c r="CD361" s="42" t="s">
        <v>7324</v>
      </c>
    </row>
    <row r="362" spans="1:82" s="64" customFormat="1" ht="66.75" customHeight="1" x14ac:dyDescent="0.25">
      <c r="A362" s="87">
        <v>358</v>
      </c>
      <c r="B362" s="141" t="s">
        <v>4231</v>
      </c>
      <c r="C362" s="6" t="s">
        <v>4232</v>
      </c>
      <c r="D362" s="6" t="s">
        <v>4233</v>
      </c>
      <c r="E362" s="75" t="s">
        <v>113</v>
      </c>
      <c r="F362" s="4" t="s">
        <v>4197</v>
      </c>
      <c r="G362" s="5" t="s">
        <v>84</v>
      </c>
      <c r="H362" s="6" t="s">
        <v>775</v>
      </c>
      <c r="I362" s="90" t="s">
        <v>4198</v>
      </c>
      <c r="J362" s="90"/>
      <c r="K362" s="90"/>
      <c r="L362" s="90"/>
      <c r="M362" s="6" t="s">
        <v>88</v>
      </c>
      <c r="N362" s="6" t="s">
        <v>89</v>
      </c>
      <c r="O362" s="6" t="s">
        <v>4199</v>
      </c>
      <c r="P362" s="6" t="s">
        <v>4200</v>
      </c>
      <c r="Q362" s="6"/>
      <c r="R362" s="82" t="s">
        <v>91</v>
      </c>
      <c r="S362" s="5" t="s">
        <v>4201</v>
      </c>
      <c r="T362" s="5" t="s">
        <v>93</v>
      </c>
      <c r="U362" s="91">
        <v>100</v>
      </c>
      <c r="V362" s="5" t="s">
        <v>94</v>
      </c>
      <c r="W362" s="5" t="s">
        <v>95</v>
      </c>
      <c r="X362" s="5">
        <v>2023</v>
      </c>
      <c r="Y362" s="5" t="s">
        <v>117</v>
      </c>
      <c r="Z362" s="5" t="s">
        <v>97</v>
      </c>
      <c r="AA362" s="5" t="s">
        <v>973</v>
      </c>
      <c r="AB362" s="6" t="s">
        <v>99</v>
      </c>
      <c r="AC362" s="79" t="s">
        <v>4234</v>
      </c>
      <c r="AD362" s="79" t="s">
        <v>4235</v>
      </c>
      <c r="AE362" s="49" t="s">
        <v>4236</v>
      </c>
      <c r="AF362" s="6" t="s">
        <v>2787</v>
      </c>
      <c r="AG362" s="33" t="s">
        <v>4237</v>
      </c>
      <c r="AH362" s="33" t="s">
        <v>1043</v>
      </c>
      <c r="AI362" s="49" t="s">
        <v>4238</v>
      </c>
      <c r="AJ362" s="49" t="s">
        <v>2789</v>
      </c>
      <c r="AK362" s="33" t="s">
        <v>97</v>
      </c>
      <c r="AL362" s="33" t="s">
        <v>97</v>
      </c>
      <c r="AM362" s="5" t="s">
        <v>4227</v>
      </c>
      <c r="AN362" s="5"/>
      <c r="AO362" s="5" t="s">
        <v>4239</v>
      </c>
      <c r="AP362" s="5" t="s">
        <v>4209</v>
      </c>
      <c r="AQ362" s="49" t="s">
        <v>1046</v>
      </c>
      <c r="AR362" s="20" t="s">
        <v>97</v>
      </c>
      <c r="AS362" s="20" t="s">
        <v>107</v>
      </c>
      <c r="AT362" s="20"/>
      <c r="AU362" s="24">
        <v>0.3</v>
      </c>
      <c r="AV362" s="24">
        <f t="shared" si="72"/>
        <v>0.24</v>
      </c>
      <c r="AW362" s="24">
        <f t="shared" si="73"/>
        <v>0.18</v>
      </c>
      <c r="AX362" s="25">
        <v>1E-4</v>
      </c>
      <c r="AY362" s="24">
        <v>0</v>
      </c>
      <c r="AZ362" s="24">
        <f t="shared" si="74"/>
        <v>0.27</v>
      </c>
      <c r="BA362" s="24">
        <f t="shared" si="75"/>
        <v>0.21600000000000003</v>
      </c>
      <c r="BB362" s="24">
        <f t="shared" si="76"/>
        <v>0.16200000000000001</v>
      </c>
      <c r="BC362" s="25">
        <v>1E-4</v>
      </c>
      <c r="BD362" s="24">
        <v>0</v>
      </c>
      <c r="BE362" s="26">
        <v>0</v>
      </c>
      <c r="BF362" s="34">
        <f t="shared" si="65"/>
        <v>0</v>
      </c>
      <c r="BG362" s="34">
        <f t="shared" si="66"/>
        <v>0</v>
      </c>
      <c r="BH362" s="26">
        <v>0</v>
      </c>
      <c r="BI362" s="26">
        <v>0</v>
      </c>
      <c r="BJ362" s="20" t="s">
        <v>496</v>
      </c>
      <c r="BK362" s="27"/>
      <c r="BL362" s="27">
        <v>0.09</v>
      </c>
      <c r="BM362" s="27" t="s">
        <v>4240</v>
      </c>
      <c r="BN362" s="26"/>
      <c r="BO362" s="34"/>
      <c r="BP362" s="34"/>
      <c r="BQ362" s="34"/>
      <c r="BR362" s="34"/>
      <c r="BS362" s="34"/>
      <c r="BT362" s="34"/>
      <c r="BU362" s="34"/>
      <c r="BV362" s="34"/>
      <c r="BW362" s="34"/>
      <c r="BX362" s="34"/>
      <c r="BY362" s="34"/>
      <c r="BZ362" s="34"/>
      <c r="CA362" s="20"/>
      <c r="CB362" s="20"/>
      <c r="CC362" s="46">
        <v>46006</v>
      </c>
      <c r="CD362" s="42" t="s">
        <v>7354</v>
      </c>
    </row>
    <row r="363" spans="1:82" s="64" customFormat="1" ht="66.75" customHeight="1" x14ac:dyDescent="0.25">
      <c r="A363" s="87">
        <v>359</v>
      </c>
      <c r="B363" s="141" t="s">
        <v>4241</v>
      </c>
      <c r="C363" s="6" t="s">
        <v>4242</v>
      </c>
      <c r="D363" s="6" t="s">
        <v>4243</v>
      </c>
      <c r="E363" s="75" t="s">
        <v>113</v>
      </c>
      <c r="F363" s="4" t="s">
        <v>4197</v>
      </c>
      <c r="G363" s="5" t="s">
        <v>84</v>
      </c>
      <c r="H363" s="6" t="s">
        <v>775</v>
      </c>
      <c r="I363" s="90" t="s">
        <v>4198</v>
      </c>
      <c r="J363" s="90"/>
      <c r="K363" s="90"/>
      <c r="L363" s="90"/>
      <c r="M363" s="6" t="s">
        <v>88</v>
      </c>
      <c r="N363" s="6" t="s">
        <v>89</v>
      </c>
      <c r="O363" s="6" t="s">
        <v>4199</v>
      </c>
      <c r="P363" s="6" t="s">
        <v>4200</v>
      </c>
      <c r="Q363" s="6"/>
      <c r="R363" s="82" t="s">
        <v>91</v>
      </c>
      <c r="S363" s="5" t="s">
        <v>4201</v>
      </c>
      <c r="T363" s="5" t="s">
        <v>93</v>
      </c>
      <c r="U363" s="91">
        <v>100</v>
      </c>
      <c r="V363" s="5" t="s">
        <v>94</v>
      </c>
      <c r="W363" s="5" t="s">
        <v>95</v>
      </c>
      <c r="X363" s="5">
        <v>2023</v>
      </c>
      <c r="Y363" s="5" t="s">
        <v>117</v>
      </c>
      <c r="Z363" s="5" t="s">
        <v>97</v>
      </c>
      <c r="AA363" s="5" t="s">
        <v>98</v>
      </c>
      <c r="AB363" s="6" t="s">
        <v>99</v>
      </c>
      <c r="AC363" s="79" t="s">
        <v>4244</v>
      </c>
      <c r="AD363" s="79" t="s">
        <v>4245</v>
      </c>
      <c r="AE363" s="49" t="s">
        <v>4216</v>
      </c>
      <c r="AF363" s="6" t="s">
        <v>4246</v>
      </c>
      <c r="AG363" s="33" t="s">
        <v>218</v>
      </c>
      <c r="AH363" s="33" t="s">
        <v>218</v>
      </c>
      <c r="AI363" s="49" t="s">
        <v>4247</v>
      </c>
      <c r="AJ363" s="49" t="s">
        <v>4205</v>
      </c>
      <c r="AK363" s="33" t="s">
        <v>97</v>
      </c>
      <c r="AL363" s="33" t="s">
        <v>97</v>
      </c>
      <c r="AM363" s="5" t="s">
        <v>4227</v>
      </c>
      <c r="AN363" s="5"/>
      <c r="AO363" s="5" t="s">
        <v>4248</v>
      </c>
      <c r="AP363" s="5" t="s">
        <v>4209</v>
      </c>
      <c r="AQ363" s="49" t="s">
        <v>87</v>
      </c>
      <c r="AR363" s="20" t="s">
        <v>97</v>
      </c>
      <c r="AS363" s="20" t="s">
        <v>107</v>
      </c>
      <c r="AT363" s="20"/>
      <c r="AU363" s="24">
        <v>0.2</v>
      </c>
      <c r="AV363" s="24">
        <f t="shared" si="72"/>
        <v>0.16000000000000003</v>
      </c>
      <c r="AW363" s="24">
        <f t="shared" si="73"/>
        <v>0.12</v>
      </c>
      <c r="AX363" s="25">
        <v>1E-4</v>
      </c>
      <c r="AY363" s="24">
        <v>0</v>
      </c>
      <c r="AZ363" s="24">
        <f t="shared" si="74"/>
        <v>0.18000000000000002</v>
      </c>
      <c r="BA363" s="24">
        <f t="shared" si="75"/>
        <v>0.14400000000000002</v>
      </c>
      <c r="BB363" s="24">
        <f t="shared" si="76"/>
        <v>0.10800000000000001</v>
      </c>
      <c r="BC363" s="25">
        <v>1E-4</v>
      </c>
      <c r="BD363" s="24">
        <v>0</v>
      </c>
      <c r="BE363" s="26">
        <v>0</v>
      </c>
      <c r="BF363" s="34">
        <f t="shared" si="65"/>
        <v>0</v>
      </c>
      <c r="BG363" s="34">
        <f t="shared" si="66"/>
        <v>0</v>
      </c>
      <c r="BH363" s="26">
        <v>0</v>
      </c>
      <c r="BI363" s="26">
        <v>0</v>
      </c>
      <c r="BJ363" s="20" t="s">
        <v>496</v>
      </c>
      <c r="BK363" s="27">
        <v>0.28037885043746585</v>
      </c>
      <c r="BL363" s="27" t="s">
        <v>4249</v>
      </c>
      <c r="BM363" s="27" t="s">
        <v>4250</v>
      </c>
      <c r="BN363" s="26"/>
      <c r="BO363" s="34"/>
      <c r="BP363" s="34"/>
      <c r="BQ363" s="34"/>
      <c r="BR363" s="34"/>
      <c r="BS363" s="34"/>
      <c r="BT363" s="34"/>
      <c r="BU363" s="34"/>
      <c r="BV363" s="34"/>
      <c r="BW363" s="34"/>
      <c r="BX363" s="34"/>
      <c r="BY363" s="34"/>
      <c r="BZ363" s="34"/>
      <c r="CA363" s="20"/>
      <c r="CB363" s="20"/>
      <c r="CC363" s="46">
        <v>45699</v>
      </c>
      <c r="CD363" s="42" t="s">
        <v>4251</v>
      </c>
    </row>
    <row r="364" spans="1:82" s="64" customFormat="1" ht="66.75" customHeight="1" x14ac:dyDescent="0.25">
      <c r="A364" s="121">
        <v>360</v>
      </c>
      <c r="B364" s="141" t="s">
        <v>4252</v>
      </c>
      <c r="C364" s="6" t="s">
        <v>4253</v>
      </c>
      <c r="D364" s="6" t="s">
        <v>4254</v>
      </c>
      <c r="E364" s="75" t="s">
        <v>113</v>
      </c>
      <c r="F364" s="4" t="s">
        <v>4197</v>
      </c>
      <c r="G364" s="5" t="s">
        <v>84</v>
      </c>
      <c r="H364" s="6" t="s">
        <v>775</v>
      </c>
      <c r="I364" s="90" t="s">
        <v>4198</v>
      </c>
      <c r="J364" s="90"/>
      <c r="K364" s="90"/>
      <c r="L364" s="90"/>
      <c r="M364" s="6" t="s">
        <v>88</v>
      </c>
      <c r="N364" s="6" t="s">
        <v>89</v>
      </c>
      <c r="O364" s="6" t="s">
        <v>4199</v>
      </c>
      <c r="P364" s="6" t="s">
        <v>4200</v>
      </c>
      <c r="Q364" s="6"/>
      <c r="R364" s="82" t="s">
        <v>91</v>
      </c>
      <c r="S364" s="5" t="s">
        <v>4201</v>
      </c>
      <c r="T364" s="5" t="s">
        <v>93</v>
      </c>
      <c r="U364" s="91">
        <v>100</v>
      </c>
      <c r="V364" s="5" t="s">
        <v>94</v>
      </c>
      <c r="W364" s="5" t="s">
        <v>95</v>
      </c>
      <c r="X364" s="5">
        <v>2023</v>
      </c>
      <c r="Y364" s="5" t="s">
        <v>117</v>
      </c>
      <c r="Z364" s="5" t="s">
        <v>97</v>
      </c>
      <c r="AA364" s="5" t="s">
        <v>98</v>
      </c>
      <c r="AB364" s="6" t="s">
        <v>99</v>
      </c>
      <c r="AC364" s="79" t="s">
        <v>4255</v>
      </c>
      <c r="AD364" s="79" t="s">
        <v>4256</v>
      </c>
      <c r="AE364" s="49" t="s">
        <v>4216</v>
      </c>
      <c r="AF364" s="49" t="s">
        <v>4257</v>
      </c>
      <c r="AG364" s="33" t="s">
        <v>218</v>
      </c>
      <c r="AH364" s="33" t="s">
        <v>218</v>
      </c>
      <c r="AI364" s="49" t="s">
        <v>4247</v>
      </c>
      <c r="AJ364" s="49" t="s">
        <v>4205</v>
      </c>
      <c r="AK364" s="33" t="s">
        <v>97</v>
      </c>
      <c r="AL364" s="33" t="s">
        <v>1635</v>
      </c>
      <c r="AM364" s="5" t="s">
        <v>4227</v>
      </c>
      <c r="AN364" s="5"/>
      <c r="AO364" s="5" t="s">
        <v>4258</v>
      </c>
      <c r="AP364" s="5" t="s">
        <v>4209</v>
      </c>
      <c r="AQ364" s="49" t="s">
        <v>87</v>
      </c>
      <c r="AR364" s="20" t="s">
        <v>97</v>
      </c>
      <c r="AS364" s="20" t="s">
        <v>107</v>
      </c>
      <c r="AT364" s="20"/>
      <c r="AU364" s="24">
        <v>0.5</v>
      </c>
      <c r="AV364" s="24">
        <f t="shared" si="72"/>
        <v>0.4</v>
      </c>
      <c r="AW364" s="24">
        <f t="shared" si="73"/>
        <v>0.3</v>
      </c>
      <c r="AX364" s="25">
        <v>1E-4</v>
      </c>
      <c r="AY364" s="24">
        <v>0</v>
      </c>
      <c r="AZ364" s="24">
        <f t="shared" si="74"/>
        <v>0.45</v>
      </c>
      <c r="BA364" s="24">
        <f t="shared" si="75"/>
        <v>0.36000000000000004</v>
      </c>
      <c r="BB364" s="24">
        <f t="shared" si="76"/>
        <v>0.27</v>
      </c>
      <c r="BC364" s="25">
        <v>1E-4</v>
      </c>
      <c r="BD364" s="24">
        <v>0</v>
      </c>
      <c r="BE364" s="26">
        <v>0</v>
      </c>
      <c r="BF364" s="34">
        <f t="shared" si="65"/>
        <v>0</v>
      </c>
      <c r="BG364" s="34">
        <f t="shared" si="66"/>
        <v>0</v>
      </c>
      <c r="BH364" s="26">
        <v>0</v>
      </c>
      <c r="BI364" s="26">
        <v>0</v>
      </c>
      <c r="BJ364" s="20" t="s">
        <v>496</v>
      </c>
      <c r="BK364" s="27">
        <v>0.12241943267735536</v>
      </c>
      <c r="BL364" s="27" t="s">
        <v>4259</v>
      </c>
      <c r="BM364" s="27" t="s">
        <v>4260</v>
      </c>
      <c r="BN364" s="26"/>
      <c r="BO364" s="34"/>
      <c r="BP364" s="34"/>
      <c r="BQ364" s="34"/>
      <c r="BR364" s="34"/>
      <c r="BS364" s="34"/>
      <c r="BT364" s="34"/>
      <c r="BU364" s="34"/>
      <c r="BV364" s="34"/>
      <c r="BW364" s="34"/>
      <c r="BX364" s="34"/>
      <c r="BY364" s="34"/>
      <c r="BZ364" s="34"/>
      <c r="CA364" s="20"/>
      <c r="CB364" s="20"/>
      <c r="CC364" s="46">
        <v>46006</v>
      </c>
      <c r="CD364" s="42" t="s">
        <v>7355</v>
      </c>
    </row>
    <row r="365" spans="1:82" s="64" customFormat="1" ht="87.75" customHeight="1" x14ac:dyDescent="0.25">
      <c r="A365" s="87">
        <v>361</v>
      </c>
      <c r="B365" s="142" t="s">
        <v>4261</v>
      </c>
      <c r="C365" s="2" t="s">
        <v>4262</v>
      </c>
      <c r="D365" s="2" t="s">
        <v>4263</v>
      </c>
      <c r="E365" s="75" t="s">
        <v>113</v>
      </c>
      <c r="F365" s="12" t="s">
        <v>4197</v>
      </c>
      <c r="G365" s="7" t="s">
        <v>84</v>
      </c>
      <c r="H365" s="2" t="s">
        <v>108</v>
      </c>
      <c r="I365" s="2" t="s">
        <v>3649</v>
      </c>
      <c r="J365" s="2"/>
      <c r="K365" s="2"/>
      <c r="L365" s="2"/>
      <c r="M365" s="2" t="s">
        <v>88</v>
      </c>
      <c r="N365" s="2" t="s">
        <v>89</v>
      </c>
      <c r="O365" s="2" t="s">
        <v>4264</v>
      </c>
      <c r="P365" s="2" t="s">
        <v>3649</v>
      </c>
      <c r="Q365" s="2"/>
      <c r="R365" s="11" t="s">
        <v>175</v>
      </c>
      <c r="S365" s="5" t="s">
        <v>4201</v>
      </c>
      <c r="T365" s="7" t="s">
        <v>93</v>
      </c>
      <c r="U365" s="181">
        <v>100</v>
      </c>
      <c r="V365" s="7" t="s">
        <v>108</v>
      </c>
      <c r="W365" s="7" t="s">
        <v>95</v>
      </c>
      <c r="X365" s="7">
        <v>2023</v>
      </c>
      <c r="Y365" s="7" t="s">
        <v>117</v>
      </c>
      <c r="Z365" s="7" t="s">
        <v>108</v>
      </c>
      <c r="AA365" s="7" t="s">
        <v>108</v>
      </c>
      <c r="AB365" s="2" t="s">
        <v>99</v>
      </c>
      <c r="AC365" s="31" t="s">
        <v>7391</v>
      </c>
      <c r="AD365" s="31" t="s">
        <v>7390</v>
      </c>
      <c r="AE365" s="2" t="s">
        <v>7392</v>
      </c>
      <c r="AF365" s="2" t="s">
        <v>7393</v>
      </c>
      <c r="AG365" s="21" t="s">
        <v>178</v>
      </c>
      <c r="AH365" s="21" t="s">
        <v>178</v>
      </c>
      <c r="AI365" s="21" t="s">
        <v>85</v>
      </c>
      <c r="AJ365" s="21" t="s">
        <v>85</v>
      </c>
      <c r="AK365" s="33" t="s">
        <v>97</v>
      </c>
      <c r="AL365" s="33" t="s">
        <v>97</v>
      </c>
      <c r="AM365" s="7" t="s">
        <v>4265</v>
      </c>
      <c r="AN365" s="7"/>
      <c r="AO365" s="39" t="s">
        <v>4266</v>
      </c>
      <c r="AP365" s="39" t="s">
        <v>4267</v>
      </c>
      <c r="AQ365" s="21" t="s">
        <v>4268</v>
      </c>
      <c r="AR365" s="20" t="s">
        <v>97</v>
      </c>
      <c r="AS365" s="20" t="s">
        <v>107</v>
      </c>
      <c r="AT365" s="20"/>
      <c r="AU365" s="24">
        <v>0.8</v>
      </c>
      <c r="AV365" s="24">
        <f t="shared" si="72"/>
        <v>0.64000000000000012</v>
      </c>
      <c r="AW365" s="24">
        <f t="shared" si="73"/>
        <v>0.48</v>
      </c>
      <c r="AX365" s="25">
        <v>1E-4</v>
      </c>
      <c r="AY365" s="24">
        <v>0</v>
      </c>
      <c r="AZ365" s="24">
        <f t="shared" si="74"/>
        <v>0.72000000000000008</v>
      </c>
      <c r="BA365" s="24">
        <f t="shared" si="75"/>
        <v>0.57600000000000007</v>
      </c>
      <c r="BB365" s="24">
        <f t="shared" si="76"/>
        <v>0.43200000000000005</v>
      </c>
      <c r="BC365" s="25">
        <v>1E-4</v>
      </c>
      <c r="BD365" s="24">
        <v>0</v>
      </c>
      <c r="BE365" s="26">
        <v>0</v>
      </c>
      <c r="BF365" s="34">
        <f t="shared" si="65"/>
        <v>0</v>
      </c>
      <c r="BG365" s="34">
        <f t="shared" si="66"/>
        <v>0</v>
      </c>
      <c r="BH365" s="26">
        <v>0</v>
      </c>
      <c r="BI365" s="26">
        <v>0</v>
      </c>
      <c r="BJ365" s="20" t="s">
        <v>496</v>
      </c>
      <c r="BK365" s="27">
        <v>0.80857217985800689</v>
      </c>
      <c r="BL365" s="27" t="s">
        <v>4269</v>
      </c>
      <c r="BM365" s="27">
        <v>0</v>
      </c>
      <c r="BN365" s="26"/>
      <c r="BO365" s="34"/>
      <c r="BP365" s="34"/>
      <c r="BQ365" s="34"/>
      <c r="BR365" s="34"/>
      <c r="BS365" s="34">
        <v>1</v>
      </c>
      <c r="BT365" s="34"/>
      <c r="BU365" s="34"/>
      <c r="BV365" s="34"/>
      <c r="BW365" s="34"/>
      <c r="BX365" s="34"/>
      <c r="BY365" s="34"/>
      <c r="BZ365" s="34"/>
      <c r="CA365" s="20"/>
      <c r="CB365" s="33"/>
      <c r="CC365" s="29">
        <v>46003</v>
      </c>
      <c r="CD365" s="35" t="s">
        <v>4270</v>
      </c>
    </row>
    <row r="366" spans="1:82" s="64" customFormat="1" ht="66.75" customHeight="1" x14ac:dyDescent="0.25">
      <c r="A366" s="87">
        <v>362</v>
      </c>
      <c r="B366" s="141" t="s">
        <v>4271</v>
      </c>
      <c r="C366" s="6" t="s">
        <v>4272</v>
      </c>
      <c r="D366" s="6" t="s">
        <v>4273</v>
      </c>
      <c r="E366" s="75" t="s">
        <v>174</v>
      </c>
      <c r="F366" s="4" t="s">
        <v>4197</v>
      </c>
      <c r="G366" s="5" t="s">
        <v>84</v>
      </c>
      <c r="H366" s="6" t="s">
        <v>108</v>
      </c>
      <c r="I366" s="6" t="s">
        <v>3649</v>
      </c>
      <c r="J366" s="6"/>
      <c r="K366" s="6"/>
      <c r="L366" s="6"/>
      <c r="M366" s="6" t="s">
        <v>88</v>
      </c>
      <c r="N366" s="6" t="s">
        <v>89</v>
      </c>
      <c r="O366" s="6" t="s">
        <v>4274</v>
      </c>
      <c r="P366" s="6" t="s">
        <v>3649</v>
      </c>
      <c r="Q366" s="6"/>
      <c r="R366" s="82" t="s">
        <v>175</v>
      </c>
      <c r="S366" s="5" t="s">
        <v>4201</v>
      </c>
      <c r="T366" s="5" t="s">
        <v>93</v>
      </c>
      <c r="U366" s="91">
        <v>100</v>
      </c>
      <c r="V366" s="5" t="s">
        <v>94</v>
      </c>
      <c r="W366" s="5" t="s">
        <v>95</v>
      </c>
      <c r="X366" s="5">
        <v>2023</v>
      </c>
      <c r="Y366" s="5" t="s">
        <v>117</v>
      </c>
      <c r="Z366" s="5" t="s">
        <v>108</v>
      </c>
      <c r="AA366" s="5" t="s">
        <v>108</v>
      </c>
      <c r="AB366" s="6" t="s">
        <v>99</v>
      </c>
      <c r="AC366" s="79" t="s">
        <v>4275</v>
      </c>
      <c r="AD366" s="79" t="s">
        <v>4276</v>
      </c>
      <c r="AE366" s="49" t="s">
        <v>4277</v>
      </c>
      <c r="AF366" s="49" t="s">
        <v>4278</v>
      </c>
      <c r="AG366" s="49" t="s">
        <v>178</v>
      </c>
      <c r="AH366" s="49" t="s">
        <v>4018</v>
      </c>
      <c r="AI366" s="49" t="s">
        <v>85</v>
      </c>
      <c r="AJ366" s="49" t="s">
        <v>85</v>
      </c>
      <c r="AK366" s="33" t="s">
        <v>97</v>
      </c>
      <c r="AL366" s="33" t="s">
        <v>97</v>
      </c>
      <c r="AM366" s="6" t="s">
        <v>4279</v>
      </c>
      <c r="AN366" s="5"/>
      <c r="AO366" s="5"/>
      <c r="AP366" s="5"/>
      <c r="AQ366" s="49" t="s">
        <v>84</v>
      </c>
      <c r="AR366" s="20" t="s">
        <v>97</v>
      </c>
      <c r="AS366" s="20" t="s">
        <v>107</v>
      </c>
      <c r="AT366" s="20"/>
      <c r="AU366" s="24">
        <v>0.98</v>
      </c>
      <c r="AV366" s="24">
        <f t="shared" si="72"/>
        <v>0.78400000000000003</v>
      </c>
      <c r="AW366" s="24">
        <f t="shared" si="73"/>
        <v>0.58799999999999997</v>
      </c>
      <c r="AX366" s="25">
        <v>1E-4</v>
      </c>
      <c r="AY366" s="24">
        <v>0</v>
      </c>
      <c r="AZ366" s="24">
        <f t="shared" si="74"/>
        <v>0.88200000000000001</v>
      </c>
      <c r="BA366" s="24">
        <f t="shared" si="75"/>
        <v>0.7056</v>
      </c>
      <c r="BB366" s="24">
        <f t="shared" si="76"/>
        <v>0.5292</v>
      </c>
      <c r="BC366" s="25">
        <v>1E-4</v>
      </c>
      <c r="BD366" s="24">
        <v>0</v>
      </c>
      <c r="BE366" s="34">
        <v>10</v>
      </c>
      <c r="BF366" s="34">
        <f t="shared" si="65"/>
        <v>8</v>
      </c>
      <c r="BG366" s="34">
        <f t="shared" si="66"/>
        <v>6</v>
      </c>
      <c r="BH366" s="26">
        <v>1</v>
      </c>
      <c r="BI366" s="26">
        <v>0</v>
      </c>
      <c r="BJ366" s="20" t="s">
        <v>496</v>
      </c>
      <c r="BK366" s="27" t="s">
        <v>84</v>
      </c>
      <c r="BL366" s="27" t="s">
        <v>1176</v>
      </c>
      <c r="BM366" s="27" t="s">
        <v>1176</v>
      </c>
      <c r="BN366" s="26"/>
      <c r="BO366" s="34"/>
      <c r="BP366" s="34"/>
      <c r="BQ366" s="34"/>
      <c r="BR366" s="34"/>
      <c r="BS366" s="34"/>
      <c r="BT366" s="34"/>
      <c r="BU366" s="34"/>
      <c r="BV366" s="34"/>
      <c r="BW366" s="34"/>
      <c r="BX366" s="34"/>
      <c r="BY366" s="34"/>
      <c r="BZ366" s="34"/>
      <c r="CA366" s="20"/>
      <c r="CB366" s="20"/>
      <c r="CC366" s="29">
        <v>46003</v>
      </c>
      <c r="CD366" s="35" t="s">
        <v>254</v>
      </c>
    </row>
    <row r="367" spans="1:82" s="64" customFormat="1" ht="133.5" customHeight="1" x14ac:dyDescent="0.25">
      <c r="A367" s="121">
        <v>363</v>
      </c>
      <c r="B367" s="141" t="s">
        <v>4280</v>
      </c>
      <c r="C367" s="6" t="s">
        <v>4281</v>
      </c>
      <c r="D367" s="6" t="s">
        <v>4282</v>
      </c>
      <c r="E367" s="75" t="s">
        <v>174</v>
      </c>
      <c r="F367" s="4" t="s">
        <v>1628</v>
      </c>
      <c r="G367" s="5" t="s">
        <v>84</v>
      </c>
      <c r="H367" s="6" t="s">
        <v>775</v>
      </c>
      <c r="I367" s="6" t="s">
        <v>4013</v>
      </c>
      <c r="J367" s="6"/>
      <c r="K367" s="6"/>
      <c r="L367" s="6"/>
      <c r="M367" s="6" t="s">
        <v>88</v>
      </c>
      <c r="N367" s="6" t="s">
        <v>89</v>
      </c>
      <c r="O367" s="6" t="s">
        <v>579</v>
      </c>
      <c r="P367" s="6" t="s">
        <v>4283</v>
      </c>
      <c r="Q367" s="6"/>
      <c r="R367" s="82" t="s">
        <v>91</v>
      </c>
      <c r="S367" s="5" t="s">
        <v>92</v>
      </c>
      <c r="T367" s="6" t="s">
        <v>93</v>
      </c>
      <c r="U367" s="91">
        <v>100</v>
      </c>
      <c r="V367" s="5" t="s">
        <v>94</v>
      </c>
      <c r="W367" s="6" t="s">
        <v>95</v>
      </c>
      <c r="X367" s="6">
        <v>2022</v>
      </c>
      <c r="Y367" s="6" t="s">
        <v>117</v>
      </c>
      <c r="Z367" s="6" t="s">
        <v>97</v>
      </c>
      <c r="AA367" s="6" t="s">
        <v>98</v>
      </c>
      <c r="AB367" s="6" t="s">
        <v>99</v>
      </c>
      <c r="AC367" s="79" t="s">
        <v>4284</v>
      </c>
      <c r="AD367" s="79" t="s">
        <v>4285</v>
      </c>
      <c r="AE367" s="6" t="s">
        <v>4286</v>
      </c>
      <c r="AF367" s="6" t="s">
        <v>4287</v>
      </c>
      <c r="AG367" s="6" t="s">
        <v>218</v>
      </c>
      <c r="AH367" s="6" t="s">
        <v>218</v>
      </c>
      <c r="AI367" s="6" t="s">
        <v>4068</v>
      </c>
      <c r="AJ367" s="6" t="s">
        <v>4288</v>
      </c>
      <c r="AK367" s="5" t="s">
        <v>97</v>
      </c>
      <c r="AL367" s="6" t="s">
        <v>4289</v>
      </c>
      <c r="AM367" s="6" t="s">
        <v>4290</v>
      </c>
      <c r="AN367" s="6" t="s">
        <v>4291</v>
      </c>
      <c r="AO367" s="5" t="s">
        <v>4292</v>
      </c>
      <c r="AP367" s="5" t="s">
        <v>4293</v>
      </c>
      <c r="AQ367" s="6" t="s">
        <v>4043</v>
      </c>
      <c r="AR367" s="20" t="s">
        <v>97</v>
      </c>
      <c r="AS367" s="20" t="s">
        <v>107</v>
      </c>
      <c r="AT367" s="21"/>
      <c r="AU367" s="24">
        <v>0.9</v>
      </c>
      <c r="AV367" s="24">
        <f t="shared" si="72"/>
        <v>0.72000000000000008</v>
      </c>
      <c r="AW367" s="24">
        <f t="shared" si="73"/>
        <v>0.54</v>
      </c>
      <c r="AX367" s="25">
        <v>1E-4</v>
      </c>
      <c r="AY367" s="24">
        <v>0</v>
      </c>
      <c r="AZ367" s="24">
        <f t="shared" si="74"/>
        <v>0.81</v>
      </c>
      <c r="BA367" s="24">
        <f t="shared" si="75"/>
        <v>0.64800000000000013</v>
      </c>
      <c r="BB367" s="24">
        <f t="shared" si="76"/>
        <v>0.48599999999999999</v>
      </c>
      <c r="BC367" s="25">
        <v>1E-4</v>
      </c>
      <c r="BD367" s="24">
        <v>0</v>
      </c>
      <c r="BE367" s="55">
        <v>10</v>
      </c>
      <c r="BF367" s="34">
        <f t="shared" si="65"/>
        <v>8</v>
      </c>
      <c r="BG367" s="34">
        <f t="shared" si="66"/>
        <v>6</v>
      </c>
      <c r="BH367" s="26">
        <v>1</v>
      </c>
      <c r="BI367" s="52">
        <v>0</v>
      </c>
      <c r="BJ367" s="56">
        <v>0.98799999999999999</v>
      </c>
      <c r="BK367" s="56"/>
      <c r="BL367" s="27" t="s">
        <v>4294</v>
      </c>
      <c r="BM367" s="27" t="s">
        <v>683</v>
      </c>
      <c r="BN367" s="26"/>
      <c r="BO367" s="34"/>
      <c r="BP367" s="34"/>
      <c r="BQ367" s="34"/>
      <c r="BR367" s="34"/>
      <c r="BS367" s="34"/>
      <c r="BT367" s="34"/>
      <c r="BU367" s="34"/>
      <c r="BV367" s="34"/>
      <c r="BW367" s="34"/>
      <c r="BX367" s="34"/>
      <c r="BY367" s="34"/>
      <c r="BZ367" s="34"/>
      <c r="CA367" s="20"/>
      <c r="CB367" s="21"/>
      <c r="CC367" s="29">
        <v>46003</v>
      </c>
      <c r="CD367" s="57" t="s">
        <v>4295</v>
      </c>
    </row>
    <row r="368" spans="1:82" s="64" customFormat="1" ht="66.75" customHeight="1" x14ac:dyDescent="0.25">
      <c r="A368" s="87">
        <v>364</v>
      </c>
      <c r="B368" s="141" t="s">
        <v>4296</v>
      </c>
      <c r="C368" s="82" t="s">
        <v>4297</v>
      </c>
      <c r="D368" s="6" t="s">
        <v>4298</v>
      </c>
      <c r="E368" s="75" t="s">
        <v>174</v>
      </c>
      <c r="F368" s="4" t="s">
        <v>1628</v>
      </c>
      <c r="G368" s="5" t="s">
        <v>84</v>
      </c>
      <c r="H368" s="6" t="s">
        <v>775</v>
      </c>
      <c r="I368" s="6" t="s">
        <v>4091</v>
      </c>
      <c r="J368" s="6"/>
      <c r="K368" s="6"/>
      <c r="L368" s="6"/>
      <c r="M368" s="6" t="s">
        <v>88</v>
      </c>
      <c r="N368" s="6" t="s">
        <v>89</v>
      </c>
      <c r="O368" s="6" t="s">
        <v>116</v>
      </c>
      <c r="P368" s="6" t="s">
        <v>4299</v>
      </c>
      <c r="Q368" s="6"/>
      <c r="R368" s="82" t="s">
        <v>175</v>
      </c>
      <c r="S368" s="5" t="s">
        <v>92</v>
      </c>
      <c r="T368" s="6" t="s">
        <v>93</v>
      </c>
      <c r="U368" s="91">
        <v>100</v>
      </c>
      <c r="V368" s="5" t="s">
        <v>94</v>
      </c>
      <c r="W368" s="6" t="s">
        <v>95</v>
      </c>
      <c r="X368" s="6">
        <v>2022</v>
      </c>
      <c r="Y368" s="6" t="s">
        <v>117</v>
      </c>
      <c r="Z368" s="6" t="s">
        <v>97</v>
      </c>
      <c r="AA368" s="6" t="s">
        <v>98</v>
      </c>
      <c r="AB368" s="6" t="s">
        <v>99</v>
      </c>
      <c r="AC368" s="79" t="s">
        <v>4300</v>
      </c>
      <c r="AD368" s="79" t="s">
        <v>4109</v>
      </c>
      <c r="AE368" s="75" t="s">
        <v>4301</v>
      </c>
      <c r="AF368" s="49" t="s">
        <v>4302</v>
      </c>
      <c r="AG368" s="49" t="s">
        <v>218</v>
      </c>
      <c r="AH368" s="49" t="s">
        <v>218</v>
      </c>
      <c r="AI368" s="75" t="s">
        <v>4303</v>
      </c>
      <c r="AJ368" s="82" t="s">
        <v>4304</v>
      </c>
      <c r="AK368" s="33" t="s">
        <v>97</v>
      </c>
      <c r="AL368" s="33" t="s">
        <v>97</v>
      </c>
      <c r="AM368" s="6" t="s">
        <v>4305</v>
      </c>
      <c r="AN368" s="6" t="s">
        <v>4099</v>
      </c>
      <c r="AO368" s="6" t="s">
        <v>4306</v>
      </c>
      <c r="AP368" s="6" t="s">
        <v>4113</v>
      </c>
      <c r="AQ368" s="49" t="s">
        <v>4307</v>
      </c>
      <c r="AR368" s="20" t="s">
        <v>97</v>
      </c>
      <c r="AS368" s="20" t="s">
        <v>107</v>
      </c>
      <c r="AT368" s="21"/>
      <c r="AU368" s="59">
        <v>0.5</v>
      </c>
      <c r="AV368" s="24">
        <f t="shared" si="72"/>
        <v>0.4</v>
      </c>
      <c r="AW368" s="24">
        <f t="shared" si="73"/>
        <v>0.3</v>
      </c>
      <c r="AX368" s="25">
        <v>1E-4</v>
      </c>
      <c r="AY368" s="24">
        <v>0</v>
      </c>
      <c r="AZ368" s="24">
        <f t="shared" si="74"/>
        <v>0.45</v>
      </c>
      <c r="BA368" s="24">
        <f t="shared" si="75"/>
        <v>0.36000000000000004</v>
      </c>
      <c r="BB368" s="24">
        <f t="shared" si="76"/>
        <v>0.27</v>
      </c>
      <c r="BC368" s="25">
        <v>1E-4</v>
      </c>
      <c r="BD368" s="24">
        <v>0</v>
      </c>
      <c r="BE368" s="20">
        <v>20</v>
      </c>
      <c r="BF368" s="34">
        <f t="shared" si="65"/>
        <v>16</v>
      </c>
      <c r="BG368" s="34">
        <f t="shared" si="66"/>
        <v>12</v>
      </c>
      <c r="BH368" s="26">
        <v>1</v>
      </c>
      <c r="BI368" s="19">
        <v>0</v>
      </c>
      <c r="BJ368" s="60">
        <v>0.1003</v>
      </c>
      <c r="BK368" s="60"/>
      <c r="BL368" s="27" t="s">
        <v>4308</v>
      </c>
      <c r="BM368" s="27" t="s">
        <v>4309</v>
      </c>
      <c r="BN368" s="26"/>
      <c r="BO368" s="34"/>
      <c r="BP368" s="34"/>
      <c r="BQ368" s="34"/>
      <c r="BR368" s="34"/>
      <c r="BS368" s="34"/>
      <c r="BT368" s="34"/>
      <c r="BU368" s="34"/>
      <c r="BV368" s="34"/>
      <c r="BW368" s="34"/>
      <c r="BX368" s="34"/>
      <c r="BY368" s="34"/>
      <c r="BZ368" s="34"/>
      <c r="CA368" s="20"/>
      <c r="CB368" s="21"/>
      <c r="CC368" s="29">
        <v>46003</v>
      </c>
      <c r="CD368" s="2" t="s">
        <v>4310</v>
      </c>
    </row>
    <row r="369" spans="1:82" s="18" customFormat="1" ht="99.75" customHeight="1" x14ac:dyDescent="0.25">
      <c r="A369" s="87">
        <v>365</v>
      </c>
      <c r="B369" s="141" t="s">
        <v>4311</v>
      </c>
      <c r="C369" s="82" t="s">
        <v>4312</v>
      </c>
      <c r="D369" s="6" t="s">
        <v>4313</v>
      </c>
      <c r="E369" s="75" t="s">
        <v>174</v>
      </c>
      <c r="F369" s="4" t="s">
        <v>1628</v>
      </c>
      <c r="G369" s="5" t="s">
        <v>84</v>
      </c>
      <c r="H369" s="6" t="s">
        <v>775</v>
      </c>
      <c r="I369" s="6" t="s">
        <v>4091</v>
      </c>
      <c r="J369" s="6" t="s">
        <v>115</v>
      </c>
      <c r="K369" s="6"/>
      <c r="L369" s="6"/>
      <c r="M369" s="6" t="s">
        <v>88</v>
      </c>
      <c r="N369" s="6" t="s">
        <v>89</v>
      </c>
      <c r="O369" s="6" t="s">
        <v>116</v>
      </c>
      <c r="P369" s="6" t="s">
        <v>400</v>
      </c>
      <c r="Q369" s="6"/>
      <c r="R369" s="82" t="s">
        <v>91</v>
      </c>
      <c r="S369" s="5" t="s">
        <v>92</v>
      </c>
      <c r="T369" s="6" t="s">
        <v>93</v>
      </c>
      <c r="U369" s="91">
        <v>100</v>
      </c>
      <c r="V369" s="5" t="s">
        <v>94</v>
      </c>
      <c r="W369" s="6" t="s">
        <v>95</v>
      </c>
      <c r="X369" s="6">
        <v>2023</v>
      </c>
      <c r="Y369" s="6" t="s">
        <v>117</v>
      </c>
      <c r="Z369" s="6" t="s">
        <v>97</v>
      </c>
      <c r="AA369" s="6" t="s">
        <v>98</v>
      </c>
      <c r="AB369" s="6" t="s">
        <v>99</v>
      </c>
      <c r="AC369" s="79" t="s">
        <v>4314</v>
      </c>
      <c r="AD369" s="79" t="s">
        <v>4109</v>
      </c>
      <c r="AE369" s="75" t="s">
        <v>4315</v>
      </c>
      <c r="AF369" s="49" t="s">
        <v>4302</v>
      </c>
      <c r="AG369" s="49" t="s">
        <v>218</v>
      </c>
      <c r="AH369" s="49" t="s">
        <v>218</v>
      </c>
      <c r="AI369" s="75" t="s">
        <v>4316</v>
      </c>
      <c r="AJ369" s="82" t="s">
        <v>4317</v>
      </c>
      <c r="AK369" s="33" t="s">
        <v>97</v>
      </c>
      <c r="AL369" s="33" t="s">
        <v>97</v>
      </c>
      <c r="AM369" s="6" t="s">
        <v>4318</v>
      </c>
      <c r="AN369" s="6" t="s">
        <v>4099</v>
      </c>
      <c r="AO369" s="6" t="s">
        <v>4319</v>
      </c>
      <c r="AP369" s="6" t="s">
        <v>4113</v>
      </c>
      <c r="AQ369" s="49" t="s">
        <v>4307</v>
      </c>
      <c r="AR369" s="20" t="s">
        <v>97</v>
      </c>
      <c r="AS369" s="20" t="s">
        <v>107</v>
      </c>
      <c r="AT369" s="21"/>
      <c r="AU369" s="59">
        <v>0.8</v>
      </c>
      <c r="AV369" s="24">
        <f t="shared" si="72"/>
        <v>0.64000000000000012</v>
      </c>
      <c r="AW369" s="24">
        <f t="shared" si="73"/>
        <v>0.48</v>
      </c>
      <c r="AX369" s="25">
        <v>1E-4</v>
      </c>
      <c r="AY369" s="24">
        <v>0</v>
      </c>
      <c r="AZ369" s="24">
        <f t="shared" si="74"/>
        <v>0.72000000000000008</v>
      </c>
      <c r="BA369" s="24">
        <f t="shared" si="75"/>
        <v>0.57600000000000007</v>
      </c>
      <c r="BB369" s="24">
        <f t="shared" si="76"/>
        <v>0.43200000000000005</v>
      </c>
      <c r="BC369" s="25">
        <v>1E-4</v>
      </c>
      <c r="BD369" s="24">
        <v>0</v>
      </c>
      <c r="BE369" s="19">
        <v>5</v>
      </c>
      <c r="BF369" s="34">
        <f t="shared" si="65"/>
        <v>4</v>
      </c>
      <c r="BG369" s="34">
        <f t="shared" si="66"/>
        <v>3</v>
      </c>
      <c r="BH369" s="26">
        <v>1</v>
      </c>
      <c r="BI369" s="19">
        <v>0</v>
      </c>
      <c r="BJ369" s="60">
        <v>0.66190000000000004</v>
      </c>
      <c r="BK369" s="60"/>
      <c r="BL369" s="27" t="s">
        <v>4320</v>
      </c>
      <c r="BM369" s="27" t="s">
        <v>4321</v>
      </c>
      <c r="BN369" s="26"/>
      <c r="BO369" s="34"/>
      <c r="BP369" s="34"/>
      <c r="BQ369" s="34"/>
      <c r="BR369" s="34"/>
      <c r="BS369" s="34"/>
      <c r="BT369" s="34"/>
      <c r="BU369" s="34"/>
      <c r="BV369" s="34"/>
      <c r="BW369" s="34"/>
      <c r="BX369" s="34"/>
      <c r="BY369" s="34"/>
      <c r="BZ369" s="34"/>
      <c r="CA369" s="20"/>
      <c r="CB369" s="21"/>
      <c r="CC369" s="29">
        <v>46003</v>
      </c>
      <c r="CD369" s="42" t="s">
        <v>4322</v>
      </c>
    </row>
    <row r="370" spans="1:82" s="64" customFormat="1" ht="66.75" customHeight="1" x14ac:dyDescent="0.25">
      <c r="A370" s="121">
        <v>366</v>
      </c>
      <c r="B370" s="141" t="s">
        <v>4323</v>
      </c>
      <c r="C370" s="82" t="s">
        <v>4324</v>
      </c>
      <c r="D370" s="6" t="s">
        <v>4325</v>
      </c>
      <c r="E370" s="75" t="s">
        <v>174</v>
      </c>
      <c r="F370" s="4" t="s">
        <v>1628</v>
      </c>
      <c r="G370" s="5" t="s">
        <v>84</v>
      </c>
      <c r="H370" s="6" t="s">
        <v>775</v>
      </c>
      <c r="I370" s="6" t="s">
        <v>4091</v>
      </c>
      <c r="J370" s="6" t="s">
        <v>115</v>
      </c>
      <c r="K370" s="6"/>
      <c r="L370" s="6"/>
      <c r="M370" s="6" t="s">
        <v>88</v>
      </c>
      <c r="N370" s="6" t="s">
        <v>89</v>
      </c>
      <c r="O370" s="6" t="s">
        <v>116</v>
      </c>
      <c r="P370" s="6" t="s">
        <v>4326</v>
      </c>
      <c r="Q370" s="6"/>
      <c r="R370" s="82" t="s">
        <v>91</v>
      </c>
      <c r="S370" s="5" t="s">
        <v>92</v>
      </c>
      <c r="T370" s="6" t="s">
        <v>93</v>
      </c>
      <c r="U370" s="91">
        <v>100</v>
      </c>
      <c r="V370" s="5" t="s">
        <v>94</v>
      </c>
      <c r="W370" s="6" t="s">
        <v>95</v>
      </c>
      <c r="X370" s="6">
        <v>2023</v>
      </c>
      <c r="Y370" s="6" t="s">
        <v>117</v>
      </c>
      <c r="Z370" s="6" t="s">
        <v>97</v>
      </c>
      <c r="AA370" s="6" t="s">
        <v>98</v>
      </c>
      <c r="AB370" s="6" t="s">
        <v>99</v>
      </c>
      <c r="AC370" s="79" t="s">
        <v>4327</v>
      </c>
      <c r="AD370" s="79" t="s">
        <v>4109</v>
      </c>
      <c r="AE370" s="75" t="s">
        <v>4328</v>
      </c>
      <c r="AF370" s="49" t="s">
        <v>4302</v>
      </c>
      <c r="AG370" s="49" t="s">
        <v>218</v>
      </c>
      <c r="AH370" s="49" t="s">
        <v>218</v>
      </c>
      <c r="AI370" s="75" t="s">
        <v>4096</v>
      </c>
      <c r="AJ370" s="82" t="s">
        <v>4329</v>
      </c>
      <c r="AK370" s="33" t="s">
        <v>97</v>
      </c>
      <c r="AL370" s="33" t="s">
        <v>97</v>
      </c>
      <c r="AM370" s="6" t="s">
        <v>4318</v>
      </c>
      <c r="AN370" s="6" t="s">
        <v>4099</v>
      </c>
      <c r="AO370" s="6" t="s">
        <v>4330</v>
      </c>
      <c r="AP370" s="6" t="s">
        <v>4113</v>
      </c>
      <c r="AQ370" s="49" t="s">
        <v>4307</v>
      </c>
      <c r="AR370" s="20" t="s">
        <v>97</v>
      </c>
      <c r="AS370" s="20" t="s">
        <v>107</v>
      </c>
      <c r="AT370" s="21"/>
      <c r="AU370" s="59">
        <v>0.5</v>
      </c>
      <c r="AV370" s="24">
        <f t="shared" si="72"/>
        <v>0.4</v>
      </c>
      <c r="AW370" s="24">
        <f t="shared" si="73"/>
        <v>0.3</v>
      </c>
      <c r="AX370" s="25">
        <v>1E-4</v>
      </c>
      <c r="AY370" s="24">
        <v>0</v>
      </c>
      <c r="AZ370" s="24">
        <f t="shared" si="74"/>
        <v>0.45</v>
      </c>
      <c r="BA370" s="24">
        <f t="shared" si="75"/>
        <v>0.36000000000000004</v>
      </c>
      <c r="BB370" s="24">
        <f t="shared" si="76"/>
        <v>0.27</v>
      </c>
      <c r="BC370" s="25">
        <v>1E-4</v>
      </c>
      <c r="BD370" s="24">
        <v>0</v>
      </c>
      <c r="BE370" s="20">
        <v>5</v>
      </c>
      <c r="BF370" s="34">
        <f t="shared" si="65"/>
        <v>4</v>
      </c>
      <c r="BG370" s="34">
        <f t="shared" si="66"/>
        <v>3</v>
      </c>
      <c r="BH370" s="26">
        <v>1</v>
      </c>
      <c r="BI370" s="20">
        <v>0</v>
      </c>
      <c r="BJ370" s="60" t="s">
        <v>4331</v>
      </c>
      <c r="BK370" s="60"/>
      <c r="BL370" s="27" t="s">
        <v>4332</v>
      </c>
      <c r="BM370" s="27" t="s">
        <v>4333</v>
      </c>
      <c r="BN370" s="26"/>
      <c r="BO370" s="34"/>
      <c r="BP370" s="34"/>
      <c r="BQ370" s="34"/>
      <c r="BR370" s="34"/>
      <c r="BS370" s="34"/>
      <c r="BT370" s="34"/>
      <c r="BU370" s="34"/>
      <c r="BV370" s="34"/>
      <c r="BW370" s="34"/>
      <c r="BX370" s="34"/>
      <c r="BY370" s="34"/>
      <c r="BZ370" s="34"/>
      <c r="CA370" s="20"/>
      <c r="CB370" s="21"/>
      <c r="CC370" s="29">
        <v>46003</v>
      </c>
      <c r="CD370" s="2" t="s">
        <v>4334</v>
      </c>
    </row>
    <row r="371" spans="1:82" s="64" customFormat="1" ht="66.75" customHeight="1" x14ac:dyDescent="0.25">
      <c r="A371" s="87">
        <v>367</v>
      </c>
      <c r="B371" s="141" t="s">
        <v>4335</v>
      </c>
      <c r="C371" s="82" t="s">
        <v>4336</v>
      </c>
      <c r="D371" s="6" t="s">
        <v>4337</v>
      </c>
      <c r="E371" s="75" t="s">
        <v>174</v>
      </c>
      <c r="F371" s="4" t="s">
        <v>1628</v>
      </c>
      <c r="G371" s="5" t="s">
        <v>84</v>
      </c>
      <c r="H371" s="6" t="s">
        <v>775</v>
      </c>
      <c r="I371" s="6" t="s">
        <v>4091</v>
      </c>
      <c r="J371" s="6"/>
      <c r="K371" s="6"/>
      <c r="L371" s="6"/>
      <c r="M371" s="6" t="s">
        <v>88</v>
      </c>
      <c r="N371" s="6" t="s">
        <v>89</v>
      </c>
      <c r="O371" s="6" t="s">
        <v>116</v>
      </c>
      <c r="P371" s="6" t="s">
        <v>115</v>
      </c>
      <c r="Q371" s="6"/>
      <c r="R371" s="82" t="s">
        <v>91</v>
      </c>
      <c r="S371" s="5" t="s">
        <v>92</v>
      </c>
      <c r="T371" s="6" t="s">
        <v>93</v>
      </c>
      <c r="U371" s="91">
        <v>100</v>
      </c>
      <c r="V371" s="5" t="s">
        <v>94</v>
      </c>
      <c r="W371" s="6" t="s">
        <v>95</v>
      </c>
      <c r="X371" s="6">
        <v>2023</v>
      </c>
      <c r="Y371" s="6" t="s">
        <v>117</v>
      </c>
      <c r="Z371" s="6" t="s">
        <v>97</v>
      </c>
      <c r="AA371" s="6" t="s">
        <v>98</v>
      </c>
      <c r="AB371" s="6" t="s">
        <v>99</v>
      </c>
      <c r="AC371" s="79" t="s">
        <v>4338</v>
      </c>
      <c r="AD371" s="79" t="s">
        <v>4109</v>
      </c>
      <c r="AE371" s="75" t="s">
        <v>4339</v>
      </c>
      <c r="AF371" s="49" t="s">
        <v>4302</v>
      </c>
      <c r="AG371" s="49" t="s">
        <v>218</v>
      </c>
      <c r="AH371" s="49" t="s">
        <v>218</v>
      </c>
      <c r="AI371" s="49" t="s">
        <v>4340</v>
      </c>
      <c r="AJ371" s="6" t="s">
        <v>4341</v>
      </c>
      <c r="AK371" s="33" t="s">
        <v>97</v>
      </c>
      <c r="AL371" s="33" t="s">
        <v>97</v>
      </c>
      <c r="AM371" s="6" t="s">
        <v>4318</v>
      </c>
      <c r="AN371" s="6" t="s">
        <v>4099</v>
      </c>
      <c r="AO371" s="6" t="s">
        <v>4342</v>
      </c>
      <c r="AP371" s="6" t="s">
        <v>4113</v>
      </c>
      <c r="AQ371" s="49" t="s">
        <v>4307</v>
      </c>
      <c r="AR371" s="20" t="s">
        <v>97</v>
      </c>
      <c r="AS371" s="20" t="s">
        <v>107</v>
      </c>
      <c r="AT371" s="21"/>
      <c r="AU371" s="24">
        <v>0.5</v>
      </c>
      <c r="AV371" s="24">
        <f t="shared" si="72"/>
        <v>0.4</v>
      </c>
      <c r="AW371" s="24">
        <f t="shared" si="73"/>
        <v>0.3</v>
      </c>
      <c r="AX371" s="25">
        <v>1E-4</v>
      </c>
      <c r="AY371" s="24">
        <v>0</v>
      </c>
      <c r="AZ371" s="24">
        <f t="shared" si="74"/>
        <v>0.45</v>
      </c>
      <c r="BA371" s="24">
        <f t="shared" si="75"/>
        <v>0.36000000000000004</v>
      </c>
      <c r="BB371" s="24">
        <f t="shared" si="76"/>
        <v>0.27</v>
      </c>
      <c r="BC371" s="25">
        <v>1E-4</v>
      </c>
      <c r="BD371" s="24">
        <v>0</v>
      </c>
      <c r="BE371" s="55">
        <v>10</v>
      </c>
      <c r="BF371" s="34">
        <f t="shared" si="65"/>
        <v>8</v>
      </c>
      <c r="BG371" s="34">
        <f t="shared" si="66"/>
        <v>6</v>
      </c>
      <c r="BH371" s="26">
        <v>1</v>
      </c>
      <c r="BI371" s="52">
        <v>0</v>
      </c>
      <c r="BJ371" s="21" t="s">
        <v>4343</v>
      </c>
      <c r="BK371" s="21"/>
      <c r="BL371" s="27" t="s">
        <v>4344</v>
      </c>
      <c r="BM371" s="27" t="s">
        <v>4345</v>
      </c>
      <c r="BN371" s="26"/>
      <c r="BO371" s="34"/>
      <c r="BP371" s="34"/>
      <c r="BQ371" s="34"/>
      <c r="BR371" s="34"/>
      <c r="BS371" s="34"/>
      <c r="BT371" s="34"/>
      <c r="BU371" s="34"/>
      <c r="BV371" s="34"/>
      <c r="BW371" s="34"/>
      <c r="BX371" s="34"/>
      <c r="BY371" s="34"/>
      <c r="BZ371" s="34"/>
      <c r="CA371" s="20"/>
      <c r="CB371" s="21"/>
      <c r="CC371" s="29">
        <v>46003</v>
      </c>
      <c r="CD371" s="35" t="s">
        <v>3936</v>
      </c>
    </row>
    <row r="372" spans="1:82" s="64" customFormat="1" ht="66.75" customHeight="1" x14ac:dyDescent="0.25">
      <c r="A372" s="87">
        <v>368</v>
      </c>
      <c r="B372" s="141" t="s">
        <v>4346</v>
      </c>
      <c r="C372" s="82" t="s">
        <v>4347</v>
      </c>
      <c r="D372" s="6" t="s">
        <v>4348</v>
      </c>
      <c r="E372" s="75" t="s">
        <v>174</v>
      </c>
      <c r="F372" s="4" t="s">
        <v>1628</v>
      </c>
      <c r="G372" s="5" t="s">
        <v>84</v>
      </c>
      <c r="H372" s="6" t="s">
        <v>775</v>
      </c>
      <c r="I372" s="6" t="s">
        <v>4091</v>
      </c>
      <c r="J372" s="6"/>
      <c r="K372" s="6"/>
      <c r="L372" s="6"/>
      <c r="M372" s="6" t="s">
        <v>88</v>
      </c>
      <c r="N372" s="6" t="s">
        <v>89</v>
      </c>
      <c r="O372" s="6" t="s">
        <v>116</v>
      </c>
      <c r="P372" s="6" t="s">
        <v>4299</v>
      </c>
      <c r="Q372" s="6"/>
      <c r="R372" s="82" t="s">
        <v>175</v>
      </c>
      <c r="S372" s="5" t="s">
        <v>92</v>
      </c>
      <c r="T372" s="6" t="s">
        <v>93</v>
      </c>
      <c r="U372" s="91">
        <v>100</v>
      </c>
      <c r="V372" s="5" t="s">
        <v>94</v>
      </c>
      <c r="W372" s="6" t="s">
        <v>95</v>
      </c>
      <c r="X372" s="6">
        <v>2023</v>
      </c>
      <c r="Y372" s="6" t="s">
        <v>117</v>
      </c>
      <c r="Z372" s="6" t="s">
        <v>97</v>
      </c>
      <c r="AA372" s="6" t="s">
        <v>98</v>
      </c>
      <c r="AB372" s="6" t="s">
        <v>99</v>
      </c>
      <c r="AC372" s="79" t="s">
        <v>4349</v>
      </c>
      <c r="AD372" s="79" t="s">
        <v>4350</v>
      </c>
      <c r="AE372" s="75" t="s">
        <v>4351</v>
      </c>
      <c r="AF372" s="49" t="s">
        <v>4302</v>
      </c>
      <c r="AG372" s="49" t="s">
        <v>218</v>
      </c>
      <c r="AH372" s="49" t="s">
        <v>218</v>
      </c>
      <c r="AI372" s="49" t="s">
        <v>4352</v>
      </c>
      <c r="AJ372" s="49" t="s">
        <v>4353</v>
      </c>
      <c r="AK372" s="33" t="s">
        <v>97</v>
      </c>
      <c r="AL372" s="33" t="s">
        <v>97</v>
      </c>
      <c r="AM372" s="86" t="s">
        <v>4305</v>
      </c>
      <c r="AN372" s="6" t="s">
        <v>4099</v>
      </c>
      <c r="AO372" s="6" t="s">
        <v>4306</v>
      </c>
      <c r="AP372" s="6" t="s">
        <v>4354</v>
      </c>
      <c r="AQ372" s="49" t="s">
        <v>4307</v>
      </c>
      <c r="AR372" s="20" t="s">
        <v>97</v>
      </c>
      <c r="AS372" s="20" t="s">
        <v>107</v>
      </c>
      <c r="AT372" s="21"/>
      <c r="AU372" s="24">
        <v>0.8</v>
      </c>
      <c r="AV372" s="24">
        <f t="shared" si="72"/>
        <v>0.64000000000000012</v>
      </c>
      <c r="AW372" s="24">
        <f t="shared" si="73"/>
        <v>0.48</v>
      </c>
      <c r="AX372" s="25">
        <v>1E-4</v>
      </c>
      <c r="AY372" s="24">
        <v>0</v>
      </c>
      <c r="AZ372" s="24">
        <f t="shared" si="74"/>
        <v>0.72000000000000008</v>
      </c>
      <c r="BA372" s="24">
        <f t="shared" si="75"/>
        <v>0.57600000000000007</v>
      </c>
      <c r="BB372" s="24">
        <f t="shared" si="76"/>
        <v>0.43200000000000005</v>
      </c>
      <c r="BC372" s="25">
        <v>1E-4</v>
      </c>
      <c r="BD372" s="24">
        <v>0</v>
      </c>
      <c r="BE372" s="34">
        <v>10</v>
      </c>
      <c r="BF372" s="34">
        <f t="shared" si="65"/>
        <v>8</v>
      </c>
      <c r="BG372" s="34">
        <f t="shared" si="66"/>
        <v>6</v>
      </c>
      <c r="BH372" s="26">
        <v>1</v>
      </c>
      <c r="BI372" s="26">
        <v>0</v>
      </c>
      <c r="BJ372" s="21" t="s">
        <v>4355</v>
      </c>
      <c r="BK372" s="21"/>
      <c r="BL372" s="27" t="s">
        <v>4356</v>
      </c>
      <c r="BM372" s="27" t="s">
        <v>4357</v>
      </c>
      <c r="BN372" s="26"/>
      <c r="BO372" s="34"/>
      <c r="BP372" s="34"/>
      <c r="BQ372" s="34"/>
      <c r="BR372" s="34"/>
      <c r="BS372" s="34"/>
      <c r="BT372" s="34"/>
      <c r="BU372" s="34"/>
      <c r="BV372" s="34"/>
      <c r="BW372" s="34"/>
      <c r="BX372" s="34"/>
      <c r="BY372" s="34"/>
      <c r="BZ372" s="34"/>
      <c r="CA372" s="20"/>
      <c r="CB372" s="21"/>
      <c r="CC372" s="29">
        <v>46003</v>
      </c>
      <c r="CD372" s="2" t="s">
        <v>4358</v>
      </c>
    </row>
    <row r="373" spans="1:82" s="64" customFormat="1" ht="66.75" customHeight="1" x14ac:dyDescent="0.25">
      <c r="A373" s="121">
        <v>369</v>
      </c>
      <c r="B373" s="141" t="s">
        <v>4359</v>
      </c>
      <c r="C373" s="82" t="s">
        <v>4360</v>
      </c>
      <c r="D373" s="6" t="s">
        <v>4361</v>
      </c>
      <c r="E373" s="75" t="s">
        <v>174</v>
      </c>
      <c r="F373" s="4" t="s">
        <v>1628</v>
      </c>
      <c r="G373" s="5" t="s">
        <v>84</v>
      </c>
      <c r="H373" s="6" t="s">
        <v>775</v>
      </c>
      <c r="I373" s="6" t="s">
        <v>4091</v>
      </c>
      <c r="J373" s="6" t="s">
        <v>115</v>
      </c>
      <c r="K373" s="6"/>
      <c r="L373" s="6"/>
      <c r="M373" s="6" t="s">
        <v>88</v>
      </c>
      <c r="N373" s="6" t="s">
        <v>89</v>
      </c>
      <c r="O373" s="6" t="s">
        <v>116</v>
      </c>
      <c r="P373" s="6" t="s">
        <v>115</v>
      </c>
      <c r="Q373" s="6"/>
      <c r="R373" s="82" t="s">
        <v>91</v>
      </c>
      <c r="S373" s="5" t="s">
        <v>92</v>
      </c>
      <c r="T373" s="6" t="s">
        <v>93</v>
      </c>
      <c r="U373" s="91">
        <v>100</v>
      </c>
      <c r="V373" s="5" t="s">
        <v>94</v>
      </c>
      <c r="W373" s="6" t="s">
        <v>95</v>
      </c>
      <c r="X373" s="6">
        <v>2023</v>
      </c>
      <c r="Y373" s="6" t="s">
        <v>117</v>
      </c>
      <c r="Z373" s="6" t="s">
        <v>97</v>
      </c>
      <c r="AA373" s="6" t="s">
        <v>98</v>
      </c>
      <c r="AB373" s="6" t="s">
        <v>99</v>
      </c>
      <c r="AC373" s="79" t="s">
        <v>4362</v>
      </c>
      <c r="AD373" s="79" t="s">
        <v>4350</v>
      </c>
      <c r="AE373" s="82" t="s">
        <v>4339</v>
      </c>
      <c r="AF373" s="49" t="s">
        <v>4302</v>
      </c>
      <c r="AG373" s="49" t="s">
        <v>218</v>
      </c>
      <c r="AH373" s="49" t="s">
        <v>218</v>
      </c>
      <c r="AI373" s="49" t="s">
        <v>4340</v>
      </c>
      <c r="AJ373" s="49" t="s">
        <v>4353</v>
      </c>
      <c r="AK373" s="33" t="s">
        <v>97</v>
      </c>
      <c r="AL373" s="33" t="s">
        <v>97</v>
      </c>
      <c r="AM373" s="6" t="s">
        <v>4318</v>
      </c>
      <c r="AN373" s="6" t="s">
        <v>4099</v>
      </c>
      <c r="AO373" s="6" t="s">
        <v>4342</v>
      </c>
      <c r="AP373" s="6" t="s">
        <v>4354</v>
      </c>
      <c r="AQ373" s="49" t="s">
        <v>4307</v>
      </c>
      <c r="AR373" s="20" t="s">
        <v>97</v>
      </c>
      <c r="AS373" s="20" t="s">
        <v>107</v>
      </c>
      <c r="AT373" s="21"/>
      <c r="AU373" s="24">
        <v>0.7</v>
      </c>
      <c r="AV373" s="24">
        <f t="shared" si="72"/>
        <v>0.55999999999999994</v>
      </c>
      <c r="AW373" s="24">
        <f t="shared" si="73"/>
        <v>0.42</v>
      </c>
      <c r="AX373" s="25">
        <v>1E-4</v>
      </c>
      <c r="AY373" s="24">
        <v>0</v>
      </c>
      <c r="AZ373" s="24">
        <f t="shared" si="74"/>
        <v>0.63</v>
      </c>
      <c r="BA373" s="24">
        <f t="shared" si="75"/>
        <v>0.504</v>
      </c>
      <c r="BB373" s="24">
        <f t="shared" si="76"/>
        <v>0.378</v>
      </c>
      <c r="BC373" s="25">
        <v>1E-4</v>
      </c>
      <c r="BD373" s="24">
        <v>0</v>
      </c>
      <c r="BE373" s="34">
        <v>5</v>
      </c>
      <c r="BF373" s="34">
        <f t="shared" si="65"/>
        <v>4</v>
      </c>
      <c r="BG373" s="34">
        <f t="shared" si="66"/>
        <v>3</v>
      </c>
      <c r="BH373" s="26">
        <v>1</v>
      </c>
      <c r="BI373" s="26">
        <v>0</v>
      </c>
      <c r="BJ373" s="21" t="s">
        <v>4363</v>
      </c>
      <c r="BK373" s="21"/>
      <c r="BL373" s="27" t="s">
        <v>4364</v>
      </c>
      <c r="BM373" s="27" t="s">
        <v>4365</v>
      </c>
      <c r="BN373" s="26"/>
      <c r="BO373" s="34"/>
      <c r="BP373" s="34"/>
      <c r="BQ373" s="34"/>
      <c r="BR373" s="34"/>
      <c r="BS373" s="34"/>
      <c r="BT373" s="34"/>
      <c r="BU373" s="34"/>
      <c r="BV373" s="34"/>
      <c r="BW373" s="34"/>
      <c r="BX373" s="34"/>
      <c r="BY373" s="34"/>
      <c r="BZ373" s="34"/>
      <c r="CA373" s="20"/>
      <c r="CB373" s="21"/>
      <c r="CC373" s="29">
        <v>46003</v>
      </c>
      <c r="CD373" s="2" t="s">
        <v>4366</v>
      </c>
    </row>
    <row r="374" spans="1:82" s="64" customFormat="1" ht="123" customHeight="1" x14ac:dyDescent="0.25">
      <c r="A374" s="87">
        <v>370</v>
      </c>
      <c r="B374" s="142" t="s">
        <v>4367</v>
      </c>
      <c r="C374" s="11" t="s">
        <v>4368</v>
      </c>
      <c r="D374" s="2" t="s">
        <v>4369</v>
      </c>
      <c r="E374" s="75" t="s">
        <v>113</v>
      </c>
      <c r="F374" s="12" t="s">
        <v>1628</v>
      </c>
      <c r="G374" s="7" t="s">
        <v>84</v>
      </c>
      <c r="H374" s="2" t="s">
        <v>775</v>
      </c>
      <c r="I374" s="2" t="s">
        <v>2247</v>
      </c>
      <c r="J374" s="2"/>
      <c r="K374" s="2"/>
      <c r="L374" s="2"/>
      <c r="M374" s="2" t="s">
        <v>136</v>
      </c>
      <c r="N374" s="2" t="s">
        <v>245</v>
      </c>
      <c r="O374" s="2" t="s">
        <v>246</v>
      </c>
      <c r="P374" s="2" t="s">
        <v>4370</v>
      </c>
      <c r="Q374" s="2"/>
      <c r="R374" s="2" t="s">
        <v>4370</v>
      </c>
      <c r="S374" s="5" t="s">
        <v>92</v>
      </c>
      <c r="T374" s="2" t="s">
        <v>2587</v>
      </c>
      <c r="U374" s="181">
        <v>1000</v>
      </c>
      <c r="V374" s="7" t="s">
        <v>94</v>
      </c>
      <c r="W374" s="2" t="s">
        <v>95</v>
      </c>
      <c r="X374" s="2">
        <v>2023</v>
      </c>
      <c r="Y374" s="2" t="s">
        <v>117</v>
      </c>
      <c r="Z374" s="2" t="s">
        <v>97</v>
      </c>
      <c r="AA374" s="2" t="s">
        <v>98</v>
      </c>
      <c r="AB374" s="2" t="s">
        <v>99</v>
      </c>
      <c r="AC374" s="31" t="s">
        <v>4371</v>
      </c>
      <c r="AD374" s="31" t="s">
        <v>4118</v>
      </c>
      <c r="AE374" s="2" t="s">
        <v>4372</v>
      </c>
      <c r="AF374" s="11" t="s">
        <v>121</v>
      </c>
      <c r="AG374" s="6" t="s">
        <v>218</v>
      </c>
      <c r="AH374" s="2" t="s">
        <v>178</v>
      </c>
      <c r="AI374" s="11" t="s">
        <v>4373</v>
      </c>
      <c r="AJ374" s="11" t="s">
        <v>4374</v>
      </c>
      <c r="AK374" s="2" t="s">
        <v>4375</v>
      </c>
      <c r="AL374" s="7" t="s">
        <v>97</v>
      </c>
      <c r="AM374" s="2" t="s">
        <v>4376</v>
      </c>
      <c r="AN374" s="2" t="s">
        <v>4377</v>
      </c>
      <c r="AO374" s="2" t="s">
        <v>4378</v>
      </c>
      <c r="AP374" s="2"/>
      <c r="AQ374" s="21" t="s">
        <v>4379</v>
      </c>
      <c r="AR374" s="20" t="s">
        <v>97</v>
      </c>
      <c r="AS374" s="20" t="s">
        <v>107</v>
      </c>
      <c r="AT374" s="21"/>
      <c r="AU374" s="8" t="s">
        <v>7295</v>
      </c>
      <c r="AV374" s="24"/>
      <c r="AW374" s="24"/>
      <c r="AX374" s="110" t="s">
        <v>865</v>
      </c>
      <c r="AY374" s="24"/>
      <c r="AZ374" s="108" t="s">
        <v>864</v>
      </c>
      <c r="BA374" s="24"/>
      <c r="BB374" s="24"/>
      <c r="BC374" s="25">
        <v>1E-4</v>
      </c>
      <c r="BD374" s="24">
        <v>0</v>
      </c>
      <c r="BE374" s="26">
        <v>0</v>
      </c>
      <c r="BF374" s="34">
        <f t="shared" si="65"/>
        <v>0</v>
      </c>
      <c r="BG374" s="34">
        <f t="shared" si="66"/>
        <v>0</v>
      </c>
      <c r="BH374" s="26">
        <v>0</v>
      </c>
      <c r="BI374" s="26">
        <v>0</v>
      </c>
      <c r="BJ374" s="21" t="s">
        <v>4380</v>
      </c>
      <c r="BK374" s="21" t="s">
        <v>4381</v>
      </c>
      <c r="BL374" s="27" t="s">
        <v>4382</v>
      </c>
      <c r="BM374" s="209" t="s">
        <v>7296</v>
      </c>
      <c r="BN374" s="26"/>
      <c r="BO374" s="34"/>
      <c r="BP374" s="34"/>
      <c r="BQ374" s="34"/>
      <c r="BR374" s="34"/>
      <c r="BS374" s="34"/>
      <c r="BT374" s="34"/>
      <c r="BU374" s="34"/>
      <c r="BV374" s="34"/>
      <c r="BW374" s="34"/>
      <c r="BX374" s="34"/>
      <c r="BY374" s="34"/>
      <c r="BZ374" s="34"/>
      <c r="CA374" s="20"/>
      <c r="CB374" s="33"/>
      <c r="CC374" s="46">
        <v>46044</v>
      </c>
      <c r="CD374" s="11" t="s">
        <v>7299</v>
      </c>
    </row>
    <row r="375" spans="1:82" s="64" customFormat="1" ht="101.25" customHeight="1" x14ac:dyDescent="0.25">
      <c r="A375" s="87">
        <v>371</v>
      </c>
      <c r="B375" s="142" t="s">
        <v>4383</v>
      </c>
      <c r="C375" s="11" t="s">
        <v>4384</v>
      </c>
      <c r="D375" s="2" t="s">
        <v>4385</v>
      </c>
      <c r="E375" s="75" t="s">
        <v>113</v>
      </c>
      <c r="F375" s="12" t="s">
        <v>1628</v>
      </c>
      <c r="G375" s="7" t="s">
        <v>84</v>
      </c>
      <c r="H375" s="2" t="s">
        <v>775</v>
      </c>
      <c r="I375" s="2" t="s">
        <v>2247</v>
      </c>
      <c r="J375" s="2"/>
      <c r="K375" s="2"/>
      <c r="L375" s="2"/>
      <c r="M375" s="2" t="s">
        <v>136</v>
      </c>
      <c r="N375" s="2" t="s">
        <v>245</v>
      </c>
      <c r="O375" s="2" t="s">
        <v>246</v>
      </c>
      <c r="P375" s="2" t="s">
        <v>4370</v>
      </c>
      <c r="Q375" s="2"/>
      <c r="R375" s="2" t="s">
        <v>4370</v>
      </c>
      <c r="S375" s="5" t="s">
        <v>92</v>
      </c>
      <c r="T375" s="2" t="s">
        <v>2587</v>
      </c>
      <c r="U375" s="181">
        <v>1000</v>
      </c>
      <c r="V375" s="7" t="s">
        <v>94</v>
      </c>
      <c r="W375" s="2" t="s">
        <v>95</v>
      </c>
      <c r="X375" s="2">
        <v>2023</v>
      </c>
      <c r="Y375" s="2" t="s">
        <v>117</v>
      </c>
      <c r="Z375" s="2" t="s">
        <v>97</v>
      </c>
      <c r="AA375" s="2" t="s">
        <v>98</v>
      </c>
      <c r="AB375" s="2" t="s">
        <v>99</v>
      </c>
      <c r="AC375" s="31" t="s">
        <v>4386</v>
      </c>
      <c r="AD375" s="31" t="s">
        <v>4118</v>
      </c>
      <c r="AE375" s="2" t="s">
        <v>4387</v>
      </c>
      <c r="AF375" s="11" t="s">
        <v>121</v>
      </c>
      <c r="AG375" s="6" t="s">
        <v>218</v>
      </c>
      <c r="AH375" s="2" t="s">
        <v>178</v>
      </c>
      <c r="AI375" s="11" t="s">
        <v>4388</v>
      </c>
      <c r="AJ375" s="11" t="s">
        <v>4389</v>
      </c>
      <c r="AK375" s="2" t="s">
        <v>4390</v>
      </c>
      <c r="AL375" s="20" t="s">
        <v>97</v>
      </c>
      <c r="AM375" s="2" t="s">
        <v>4391</v>
      </c>
      <c r="AN375" s="2" t="s">
        <v>4377</v>
      </c>
      <c r="AO375" s="2" t="s">
        <v>4392</v>
      </c>
      <c r="AP375" s="2"/>
      <c r="AQ375" s="21" t="s">
        <v>4379</v>
      </c>
      <c r="AR375" s="20" t="s">
        <v>97</v>
      </c>
      <c r="AS375" s="20" t="s">
        <v>107</v>
      </c>
      <c r="AT375" s="21"/>
      <c r="AU375" s="8" t="s">
        <v>7298</v>
      </c>
      <c r="AV375" s="24"/>
      <c r="AW375" s="24"/>
      <c r="AX375" s="110" t="s">
        <v>1930</v>
      </c>
      <c r="AY375" s="24"/>
      <c r="AZ375" s="108" t="s">
        <v>1929</v>
      </c>
      <c r="BA375" s="24"/>
      <c r="BB375" s="24"/>
      <c r="BC375" s="25">
        <v>1E-4</v>
      </c>
      <c r="BD375" s="24">
        <v>0</v>
      </c>
      <c r="BE375" s="26">
        <v>0</v>
      </c>
      <c r="BF375" s="34">
        <f t="shared" si="65"/>
        <v>0</v>
      </c>
      <c r="BG375" s="34">
        <f t="shared" si="66"/>
        <v>0</v>
      </c>
      <c r="BH375" s="26">
        <v>0</v>
      </c>
      <c r="BI375" s="26">
        <v>0</v>
      </c>
      <c r="BJ375" s="21" t="s">
        <v>4393</v>
      </c>
      <c r="BK375" s="21" t="s">
        <v>4394</v>
      </c>
      <c r="BL375" s="27" t="s">
        <v>4395</v>
      </c>
      <c r="BM375" s="10" t="s">
        <v>7297</v>
      </c>
      <c r="BN375" s="26"/>
      <c r="BO375" s="34"/>
      <c r="BP375" s="34"/>
      <c r="BQ375" s="34"/>
      <c r="BR375" s="34"/>
      <c r="BS375" s="34"/>
      <c r="BT375" s="34"/>
      <c r="BU375" s="34"/>
      <c r="BV375" s="34"/>
      <c r="BW375" s="34"/>
      <c r="BX375" s="34"/>
      <c r="BY375" s="34"/>
      <c r="BZ375" s="34"/>
      <c r="CA375" s="20"/>
      <c r="CB375" s="33"/>
      <c r="CC375" s="46">
        <v>46044</v>
      </c>
      <c r="CD375" s="11" t="s">
        <v>7300</v>
      </c>
    </row>
    <row r="376" spans="1:82" s="64" customFormat="1" ht="171" customHeight="1" x14ac:dyDescent="0.25">
      <c r="A376" s="121">
        <v>372</v>
      </c>
      <c r="B376" s="142" t="s">
        <v>4396</v>
      </c>
      <c r="C376" s="11" t="s">
        <v>4397</v>
      </c>
      <c r="D376" s="2" t="s">
        <v>4398</v>
      </c>
      <c r="E376" s="75" t="s">
        <v>174</v>
      </c>
      <c r="F376" s="12" t="s">
        <v>1628</v>
      </c>
      <c r="G376" s="7" t="s">
        <v>84</v>
      </c>
      <c r="H376" s="2" t="s">
        <v>775</v>
      </c>
      <c r="I376" s="2" t="s">
        <v>2247</v>
      </c>
      <c r="J376" s="6" t="s">
        <v>115</v>
      </c>
      <c r="K376" s="6"/>
      <c r="L376" s="6"/>
      <c r="M376" s="2" t="s">
        <v>88</v>
      </c>
      <c r="N376" s="2" t="s">
        <v>89</v>
      </c>
      <c r="O376" s="2" t="s">
        <v>116</v>
      </c>
      <c r="P376" s="2" t="s">
        <v>400</v>
      </c>
      <c r="Q376" s="2"/>
      <c r="R376" s="11" t="s">
        <v>91</v>
      </c>
      <c r="S376" s="5" t="s">
        <v>92</v>
      </c>
      <c r="T376" s="11" t="s">
        <v>93</v>
      </c>
      <c r="U376" s="181">
        <v>100</v>
      </c>
      <c r="V376" s="7" t="s">
        <v>94</v>
      </c>
      <c r="W376" s="2" t="s">
        <v>95</v>
      </c>
      <c r="X376" s="2">
        <v>2023</v>
      </c>
      <c r="Y376" s="2" t="s">
        <v>117</v>
      </c>
      <c r="Z376" s="2" t="s">
        <v>97</v>
      </c>
      <c r="AA376" s="2" t="s">
        <v>98</v>
      </c>
      <c r="AB376" s="2" t="s">
        <v>99</v>
      </c>
      <c r="AC376" s="79" t="s">
        <v>7458</v>
      </c>
      <c r="AD376" s="31" t="s">
        <v>4399</v>
      </c>
      <c r="AE376" s="11" t="s">
        <v>4400</v>
      </c>
      <c r="AF376" s="11" t="s">
        <v>4401</v>
      </c>
      <c r="AG376" s="11" t="s">
        <v>7301</v>
      </c>
      <c r="AH376" s="11" t="s">
        <v>3567</v>
      </c>
      <c r="AI376" s="176" t="s">
        <v>7423</v>
      </c>
      <c r="AJ376" s="176" t="s">
        <v>7421</v>
      </c>
      <c r="AK376" s="20" t="s">
        <v>97</v>
      </c>
      <c r="AL376" s="39" t="s">
        <v>1635</v>
      </c>
      <c r="AM376" s="180" t="s">
        <v>4402</v>
      </c>
      <c r="AN376" s="2"/>
      <c r="AO376" s="2" t="s">
        <v>4403</v>
      </c>
      <c r="AP376" s="2" t="s">
        <v>4404</v>
      </c>
      <c r="AQ376" s="11" t="s">
        <v>4405</v>
      </c>
      <c r="AR376" s="20" t="s">
        <v>97</v>
      </c>
      <c r="AS376" s="20" t="s">
        <v>107</v>
      </c>
      <c r="AT376" s="21"/>
      <c r="AU376" s="24">
        <v>0.5</v>
      </c>
      <c r="AV376" s="24">
        <f t="shared" ref="AV376:AV384" si="77">+AU376*80%</f>
        <v>0.4</v>
      </c>
      <c r="AW376" s="24">
        <f t="shared" ref="AW376:AW384" si="78">+AU376*60%</f>
        <v>0.3</v>
      </c>
      <c r="AX376" s="25">
        <v>1E-4</v>
      </c>
      <c r="AY376" s="24">
        <v>0</v>
      </c>
      <c r="AZ376" s="24">
        <f t="shared" ref="AZ376:AZ384" si="79">+AU376*90%</f>
        <v>0.45</v>
      </c>
      <c r="BA376" s="24">
        <f t="shared" ref="BA376:BA384" si="80">AZ376*80%</f>
        <v>0.36000000000000004</v>
      </c>
      <c r="BB376" s="24">
        <f t="shared" ref="BB376:BB384" si="81">AZ376*60%</f>
        <v>0.27</v>
      </c>
      <c r="BC376" s="25">
        <v>1E-4</v>
      </c>
      <c r="BD376" s="24">
        <v>0</v>
      </c>
      <c r="BE376" s="55">
        <v>5</v>
      </c>
      <c r="BF376" s="34">
        <f t="shared" si="65"/>
        <v>4</v>
      </c>
      <c r="BG376" s="34">
        <f t="shared" si="66"/>
        <v>3</v>
      </c>
      <c r="BH376" s="26">
        <v>1</v>
      </c>
      <c r="BI376" s="52">
        <v>0</v>
      </c>
      <c r="BJ376" s="21" t="s">
        <v>4406</v>
      </c>
      <c r="BK376" s="21"/>
      <c r="BL376" s="27" t="s">
        <v>4407</v>
      </c>
      <c r="BM376" s="27" t="s">
        <v>4408</v>
      </c>
      <c r="BN376" s="26"/>
      <c r="BO376" s="34"/>
      <c r="BP376" s="34"/>
      <c r="BQ376" s="34"/>
      <c r="BR376" s="34"/>
      <c r="BS376" s="34"/>
      <c r="BT376" s="34"/>
      <c r="BU376" s="34"/>
      <c r="BV376" s="34"/>
      <c r="BW376" s="34"/>
      <c r="BX376" s="34"/>
      <c r="BY376" s="34"/>
      <c r="BZ376" s="34"/>
      <c r="CA376" s="20"/>
      <c r="CB376" s="33"/>
      <c r="CC376" s="46">
        <v>46044</v>
      </c>
      <c r="CD376" s="36" t="s">
        <v>7302</v>
      </c>
    </row>
    <row r="377" spans="1:82" s="64" customFormat="1" ht="173.25" customHeight="1" x14ac:dyDescent="0.25">
      <c r="A377" s="87">
        <v>373</v>
      </c>
      <c r="B377" s="142" t="s">
        <v>4409</v>
      </c>
      <c r="C377" s="11" t="s">
        <v>4410</v>
      </c>
      <c r="D377" s="2" t="s">
        <v>4411</v>
      </c>
      <c r="E377" s="75" t="s">
        <v>174</v>
      </c>
      <c r="F377" s="12" t="s">
        <v>1628</v>
      </c>
      <c r="G377" s="7" t="s">
        <v>84</v>
      </c>
      <c r="H377" s="2" t="s">
        <v>775</v>
      </c>
      <c r="I377" s="2" t="s">
        <v>2247</v>
      </c>
      <c r="J377" s="6" t="s">
        <v>115</v>
      </c>
      <c r="K377" s="6"/>
      <c r="L377" s="6"/>
      <c r="M377" s="2" t="s">
        <v>88</v>
      </c>
      <c r="N377" s="2" t="s">
        <v>89</v>
      </c>
      <c r="O377" s="2" t="s">
        <v>116</v>
      </c>
      <c r="P377" s="2" t="s">
        <v>4326</v>
      </c>
      <c r="Q377" s="2"/>
      <c r="R377" s="11" t="s">
        <v>91</v>
      </c>
      <c r="S377" s="5" t="s">
        <v>92</v>
      </c>
      <c r="T377" s="11" t="s">
        <v>93</v>
      </c>
      <c r="U377" s="181">
        <v>100</v>
      </c>
      <c r="V377" s="7" t="s">
        <v>94</v>
      </c>
      <c r="W377" s="2" t="s">
        <v>95</v>
      </c>
      <c r="X377" s="2">
        <v>2023</v>
      </c>
      <c r="Y377" s="2" t="s">
        <v>117</v>
      </c>
      <c r="Z377" s="2" t="s">
        <v>97</v>
      </c>
      <c r="AA377" s="2" t="s">
        <v>98</v>
      </c>
      <c r="AB377" s="2" t="s">
        <v>99</v>
      </c>
      <c r="AC377" s="79" t="s">
        <v>7457</v>
      </c>
      <c r="AD377" s="31" t="s">
        <v>4399</v>
      </c>
      <c r="AE377" s="11" t="s">
        <v>4412</v>
      </c>
      <c r="AF377" s="11" t="s">
        <v>4401</v>
      </c>
      <c r="AG377" s="11" t="s">
        <v>7301</v>
      </c>
      <c r="AH377" s="11" t="s">
        <v>3567</v>
      </c>
      <c r="AI377" s="2" t="s">
        <v>7425</v>
      </c>
      <c r="AJ377" s="2" t="s">
        <v>7422</v>
      </c>
      <c r="AK377" s="20" t="s">
        <v>97</v>
      </c>
      <c r="AL377" s="39" t="s">
        <v>1635</v>
      </c>
      <c r="AM377" s="47" t="s">
        <v>4413</v>
      </c>
      <c r="AN377" s="2" t="s">
        <v>4414</v>
      </c>
      <c r="AO377" s="2" t="s">
        <v>4415</v>
      </c>
      <c r="AP377" s="2" t="s">
        <v>4404</v>
      </c>
      <c r="AQ377" s="11" t="s">
        <v>4405</v>
      </c>
      <c r="AR377" s="20" t="s">
        <v>97</v>
      </c>
      <c r="AS377" s="20" t="s">
        <v>107</v>
      </c>
      <c r="AT377" s="21"/>
      <c r="AU377" s="24">
        <v>0.9</v>
      </c>
      <c r="AV377" s="24">
        <f t="shared" si="77"/>
        <v>0.72000000000000008</v>
      </c>
      <c r="AW377" s="24">
        <f t="shared" si="78"/>
        <v>0.54</v>
      </c>
      <c r="AX377" s="25">
        <v>1E-4</v>
      </c>
      <c r="AY377" s="24">
        <v>0</v>
      </c>
      <c r="AZ377" s="24">
        <f t="shared" si="79"/>
        <v>0.81</v>
      </c>
      <c r="BA377" s="24">
        <f t="shared" si="80"/>
        <v>0.64800000000000013</v>
      </c>
      <c r="BB377" s="24">
        <f t="shared" si="81"/>
        <v>0.48599999999999999</v>
      </c>
      <c r="BC377" s="25">
        <v>1E-4</v>
      </c>
      <c r="BD377" s="24">
        <v>0</v>
      </c>
      <c r="BE377" s="55">
        <v>10</v>
      </c>
      <c r="BF377" s="34">
        <f t="shared" si="65"/>
        <v>8</v>
      </c>
      <c r="BG377" s="34">
        <f t="shared" si="66"/>
        <v>6</v>
      </c>
      <c r="BH377" s="26">
        <v>1</v>
      </c>
      <c r="BI377" s="52">
        <v>0</v>
      </c>
      <c r="BJ377" s="21" t="s">
        <v>4416</v>
      </c>
      <c r="BK377" s="21"/>
      <c r="BL377" s="27" t="s">
        <v>4417</v>
      </c>
      <c r="BM377" s="27" t="s">
        <v>4418</v>
      </c>
      <c r="BN377" s="26"/>
      <c r="BO377" s="34"/>
      <c r="BP377" s="34"/>
      <c r="BQ377" s="34"/>
      <c r="BR377" s="34"/>
      <c r="BS377" s="34"/>
      <c r="BT377" s="34"/>
      <c r="BU377" s="34"/>
      <c r="BV377" s="34"/>
      <c r="BW377" s="34"/>
      <c r="BX377" s="34"/>
      <c r="BY377" s="34"/>
      <c r="BZ377" s="34"/>
      <c r="CA377" s="20"/>
      <c r="CB377" s="33"/>
      <c r="CC377" s="46">
        <v>46044</v>
      </c>
      <c r="CD377" s="36" t="s">
        <v>7303</v>
      </c>
    </row>
    <row r="378" spans="1:82" s="64" customFormat="1" ht="133.5" customHeight="1" x14ac:dyDescent="0.25">
      <c r="A378" s="87">
        <v>374</v>
      </c>
      <c r="B378" s="142" t="s">
        <v>4419</v>
      </c>
      <c r="C378" s="11" t="s">
        <v>4420</v>
      </c>
      <c r="D378" s="2" t="s">
        <v>4421</v>
      </c>
      <c r="E378" s="75" t="s">
        <v>174</v>
      </c>
      <c r="F378" s="12" t="s">
        <v>1628</v>
      </c>
      <c r="G378" s="7" t="s">
        <v>84</v>
      </c>
      <c r="H378" s="2" t="s">
        <v>775</v>
      </c>
      <c r="I378" s="2" t="s">
        <v>2247</v>
      </c>
      <c r="J378" s="6" t="s">
        <v>115</v>
      </c>
      <c r="K378" s="6"/>
      <c r="L378" s="6"/>
      <c r="M378" s="2" t="s">
        <v>88</v>
      </c>
      <c r="N378" s="2" t="s">
        <v>89</v>
      </c>
      <c r="O378" s="2" t="s">
        <v>116</v>
      </c>
      <c r="P378" s="2" t="s">
        <v>4326</v>
      </c>
      <c r="Q378" s="2"/>
      <c r="R378" s="11" t="s">
        <v>91</v>
      </c>
      <c r="S378" s="5" t="s">
        <v>92</v>
      </c>
      <c r="T378" s="11" t="s">
        <v>93</v>
      </c>
      <c r="U378" s="181">
        <v>100</v>
      </c>
      <c r="V378" s="7" t="s">
        <v>94</v>
      </c>
      <c r="W378" s="2" t="s">
        <v>95</v>
      </c>
      <c r="X378" s="2">
        <v>2023</v>
      </c>
      <c r="Y378" s="2" t="s">
        <v>117</v>
      </c>
      <c r="Z378" s="2" t="s">
        <v>97</v>
      </c>
      <c r="AA378" s="2" t="s">
        <v>98</v>
      </c>
      <c r="AB378" s="2" t="s">
        <v>99</v>
      </c>
      <c r="AC378" s="31" t="s">
        <v>7456</v>
      </c>
      <c r="AD378" s="31" t="s">
        <v>4422</v>
      </c>
      <c r="AE378" s="11" t="s">
        <v>4423</v>
      </c>
      <c r="AF378" s="11" t="s">
        <v>4424</v>
      </c>
      <c r="AG378" s="11" t="s">
        <v>7301</v>
      </c>
      <c r="AH378" s="11" t="s">
        <v>3567</v>
      </c>
      <c r="AI378" s="176" t="s">
        <v>7427</v>
      </c>
      <c r="AJ378" s="2" t="s">
        <v>7424</v>
      </c>
      <c r="AK378" s="20" t="s">
        <v>97</v>
      </c>
      <c r="AL378" s="39" t="s">
        <v>1635</v>
      </c>
      <c r="AM378" s="47" t="s">
        <v>4425</v>
      </c>
      <c r="AN378" s="2" t="s">
        <v>4426</v>
      </c>
      <c r="AO378" s="2" t="s">
        <v>4427</v>
      </c>
      <c r="AP378" s="2" t="s">
        <v>4428</v>
      </c>
      <c r="AQ378" s="11" t="s">
        <v>4429</v>
      </c>
      <c r="AR378" s="20" t="s">
        <v>97</v>
      </c>
      <c r="AS378" s="20" t="s">
        <v>107</v>
      </c>
      <c r="AT378" s="21"/>
      <c r="AU378" s="24">
        <v>0.3</v>
      </c>
      <c r="AV378" s="24">
        <f t="shared" si="77"/>
        <v>0.24</v>
      </c>
      <c r="AW378" s="24">
        <f t="shared" si="78"/>
        <v>0.18</v>
      </c>
      <c r="AX378" s="25">
        <v>1E-4</v>
      </c>
      <c r="AY378" s="24">
        <v>0</v>
      </c>
      <c r="AZ378" s="24">
        <f t="shared" si="79"/>
        <v>0.27</v>
      </c>
      <c r="BA378" s="24">
        <f t="shared" si="80"/>
        <v>0.21600000000000003</v>
      </c>
      <c r="BB378" s="24">
        <f t="shared" si="81"/>
        <v>0.16200000000000001</v>
      </c>
      <c r="BC378" s="25">
        <v>1E-4</v>
      </c>
      <c r="BD378" s="24">
        <v>0</v>
      </c>
      <c r="BE378" s="55">
        <v>5</v>
      </c>
      <c r="BF378" s="34">
        <f t="shared" si="65"/>
        <v>4</v>
      </c>
      <c r="BG378" s="34">
        <f t="shared" si="66"/>
        <v>3</v>
      </c>
      <c r="BH378" s="26">
        <v>1</v>
      </c>
      <c r="BI378" s="52">
        <v>0</v>
      </c>
      <c r="BJ378" s="21" t="s">
        <v>4430</v>
      </c>
      <c r="BK378" s="21"/>
      <c r="BL378" s="27" t="s">
        <v>4431</v>
      </c>
      <c r="BM378" s="27" t="s">
        <v>4432</v>
      </c>
      <c r="BN378" s="26"/>
      <c r="BO378" s="34"/>
      <c r="BP378" s="34"/>
      <c r="BQ378" s="34"/>
      <c r="BR378" s="34"/>
      <c r="BS378" s="34"/>
      <c r="BT378" s="34"/>
      <c r="BU378" s="34"/>
      <c r="BV378" s="34"/>
      <c r="BW378" s="34"/>
      <c r="BX378" s="34"/>
      <c r="BY378" s="34"/>
      <c r="BZ378" s="34"/>
      <c r="CA378" s="20"/>
      <c r="CB378" s="33"/>
      <c r="CC378" s="46">
        <v>46044</v>
      </c>
      <c r="CD378" s="36" t="s">
        <v>7304</v>
      </c>
    </row>
    <row r="379" spans="1:82" s="64" customFormat="1" ht="187.5" customHeight="1" x14ac:dyDescent="0.25">
      <c r="A379" s="121">
        <v>375</v>
      </c>
      <c r="B379" s="142" t="s">
        <v>4433</v>
      </c>
      <c r="C379" s="11" t="s">
        <v>4434</v>
      </c>
      <c r="D379" s="2" t="s">
        <v>4435</v>
      </c>
      <c r="E379" s="75" t="s">
        <v>174</v>
      </c>
      <c r="F379" s="12" t="s">
        <v>1628</v>
      </c>
      <c r="G379" s="7" t="s">
        <v>84</v>
      </c>
      <c r="H379" s="2" t="s">
        <v>775</v>
      </c>
      <c r="I379" s="2" t="s">
        <v>2247</v>
      </c>
      <c r="J379" s="6" t="s">
        <v>115</v>
      </c>
      <c r="K379" s="6"/>
      <c r="L379" s="6"/>
      <c r="M379" s="2" t="s">
        <v>88</v>
      </c>
      <c r="N379" s="2" t="s">
        <v>89</v>
      </c>
      <c r="O379" s="2" t="s">
        <v>116</v>
      </c>
      <c r="P379" s="2" t="s">
        <v>4326</v>
      </c>
      <c r="Q379" s="2"/>
      <c r="R379" s="11" t="s">
        <v>91</v>
      </c>
      <c r="S379" s="5" t="s">
        <v>92</v>
      </c>
      <c r="T379" s="11" t="s">
        <v>93</v>
      </c>
      <c r="U379" s="181">
        <v>100</v>
      </c>
      <c r="V379" s="7" t="s">
        <v>94</v>
      </c>
      <c r="W379" s="2" t="s">
        <v>95</v>
      </c>
      <c r="X379" s="2">
        <v>2023</v>
      </c>
      <c r="Y379" s="2" t="s">
        <v>117</v>
      </c>
      <c r="Z379" s="2" t="s">
        <v>97</v>
      </c>
      <c r="AA379" s="2" t="s">
        <v>98</v>
      </c>
      <c r="AB379" s="2" t="s">
        <v>99</v>
      </c>
      <c r="AC379" s="31" t="s">
        <v>7455</v>
      </c>
      <c r="AD379" s="31" t="s">
        <v>4436</v>
      </c>
      <c r="AE379" s="11" t="s">
        <v>4423</v>
      </c>
      <c r="AF379" s="11" t="s">
        <v>4437</v>
      </c>
      <c r="AG379" s="11" t="s">
        <v>7301</v>
      </c>
      <c r="AH379" s="11" t="s">
        <v>3567</v>
      </c>
      <c r="AI379" s="176" t="s">
        <v>7430</v>
      </c>
      <c r="AJ379" s="176" t="s">
        <v>7426</v>
      </c>
      <c r="AK379" s="20" t="s">
        <v>97</v>
      </c>
      <c r="AL379" s="39" t="s">
        <v>1635</v>
      </c>
      <c r="AM379" s="88" t="s">
        <v>4438</v>
      </c>
      <c r="AN379" s="2" t="s">
        <v>4439</v>
      </c>
      <c r="AO379" s="2" t="s">
        <v>4440</v>
      </c>
      <c r="AP379" s="2" t="s">
        <v>4441</v>
      </c>
      <c r="AQ379" s="11" t="s">
        <v>4442</v>
      </c>
      <c r="AR379" s="20" t="s">
        <v>97</v>
      </c>
      <c r="AS379" s="20" t="s">
        <v>107</v>
      </c>
      <c r="AT379" s="21"/>
      <c r="AU379" s="24">
        <v>0.5</v>
      </c>
      <c r="AV379" s="24">
        <f t="shared" si="77"/>
        <v>0.4</v>
      </c>
      <c r="AW379" s="24">
        <f t="shared" si="78"/>
        <v>0.3</v>
      </c>
      <c r="AX379" s="25">
        <v>1E-4</v>
      </c>
      <c r="AY379" s="24">
        <v>0</v>
      </c>
      <c r="AZ379" s="24">
        <f t="shared" si="79"/>
        <v>0.45</v>
      </c>
      <c r="BA379" s="24">
        <f t="shared" si="80"/>
        <v>0.36000000000000004</v>
      </c>
      <c r="BB379" s="24">
        <f t="shared" si="81"/>
        <v>0.27</v>
      </c>
      <c r="BC379" s="25">
        <v>1E-4</v>
      </c>
      <c r="BD379" s="24">
        <v>0</v>
      </c>
      <c r="BE379" s="55">
        <v>5</v>
      </c>
      <c r="BF379" s="34">
        <f t="shared" si="65"/>
        <v>4</v>
      </c>
      <c r="BG379" s="34">
        <f t="shared" si="66"/>
        <v>3</v>
      </c>
      <c r="BH379" s="26">
        <v>1</v>
      </c>
      <c r="BI379" s="52">
        <v>0</v>
      </c>
      <c r="BJ379" s="21" t="s">
        <v>4443</v>
      </c>
      <c r="BK379" s="21"/>
      <c r="BL379" s="27" t="s">
        <v>4444</v>
      </c>
      <c r="BM379" s="27" t="s">
        <v>4445</v>
      </c>
      <c r="BN379" s="26"/>
      <c r="BO379" s="34"/>
      <c r="BP379" s="34"/>
      <c r="BQ379" s="34"/>
      <c r="BR379" s="34"/>
      <c r="BS379" s="34"/>
      <c r="BT379" s="34"/>
      <c r="BU379" s="34"/>
      <c r="BV379" s="34"/>
      <c r="BW379" s="34"/>
      <c r="BX379" s="34"/>
      <c r="BY379" s="34"/>
      <c r="BZ379" s="34"/>
      <c r="CA379" s="20"/>
      <c r="CB379" s="33"/>
      <c r="CC379" s="46">
        <v>46044</v>
      </c>
      <c r="CD379" s="36" t="s">
        <v>7305</v>
      </c>
    </row>
    <row r="380" spans="1:82" s="64" customFormat="1" ht="201.75" customHeight="1" x14ac:dyDescent="0.25">
      <c r="A380" s="87">
        <v>376</v>
      </c>
      <c r="B380" s="142" t="s">
        <v>4446</v>
      </c>
      <c r="C380" s="11" t="s">
        <v>4447</v>
      </c>
      <c r="D380" s="2" t="s">
        <v>4448</v>
      </c>
      <c r="E380" s="75" t="s">
        <v>174</v>
      </c>
      <c r="F380" s="12" t="s">
        <v>1628</v>
      </c>
      <c r="G380" s="7" t="s">
        <v>84</v>
      </c>
      <c r="H380" s="2" t="s">
        <v>775</v>
      </c>
      <c r="I380" s="2" t="s">
        <v>2247</v>
      </c>
      <c r="J380" s="6" t="s">
        <v>115</v>
      </c>
      <c r="K380" s="6"/>
      <c r="L380" s="6"/>
      <c r="M380" s="2" t="s">
        <v>88</v>
      </c>
      <c r="N380" s="2" t="s">
        <v>89</v>
      </c>
      <c r="O380" s="2" t="s">
        <v>116</v>
      </c>
      <c r="P380" s="2" t="s">
        <v>4326</v>
      </c>
      <c r="Q380" s="2"/>
      <c r="R380" s="11" t="s">
        <v>91</v>
      </c>
      <c r="S380" s="5" t="s">
        <v>92</v>
      </c>
      <c r="T380" s="2" t="s">
        <v>93</v>
      </c>
      <c r="U380" s="181">
        <v>100</v>
      </c>
      <c r="V380" s="7" t="s">
        <v>94</v>
      </c>
      <c r="W380" s="2" t="s">
        <v>95</v>
      </c>
      <c r="X380" s="2">
        <v>2023</v>
      </c>
      <c r="Y380" s="2" t="s">
        <v>117</v>
      </c>
      <c r="Z380" s="2" t="s">
        <v>97</v>
      </c>
      <c r="AA380" s="2" t="s">
        <v>98</v>
      </c>
      <c r="AB380" s="2" t="s">
        <v>99</v>
      </c>
      <c r="AC380" s="31" t="s">
        <v>7459</v>
      </c>
      <c r="AD380" s="31" t="s">
        <v>4449</v>
      </c>
      <c r="AE380" s="11" t="s">
        <v>4423</v>
      </c>
      <c r="AF380" s="11" t="s">
        <v>4450</v>
      </c>
      <c r="AG380" s="11" t="s">
        <v>7301</v>
      </c>
      <c r="AH380" s="11" t="s">
        <v>3567</v>
      </c>
      <c r="AI380" s="176" t="s">
        <v>7428</v>
      </c>
      <c r="AJ380" s="2" t="s">
        <v>7429</v>
      </c>
      <c r="AK380" s="20" t="s">
        <v>97</v>
      </c>
      <c r="AL380" s="39" t="s">
        <v>1635</v>
      </c>
      <c r="AM380" s="47" t="s">
        <v>4413</v>
      </c>
      <c r="AN380" s="2" t="s">
        <v>4451</v>
      </c>
      <c r="AO380" s="2" t="s">
        <v>4452</v>
      </c>
      <c r="AP380" s="2" t="s">
        <v>4453</v>
      </c>
      <c r="AQ380" s="2" t="s">
        <v>4454</v>
      </c>
      <c r="AR380" s="20" t="s">
        <v>97</v>
      </c>
      <c r="AS380" s="20" t="s">
        <v>107</v>
      </c>
      <c r="AT380" s="21"/>
      <c r="AU380" s="24">
        <v>0.1</v>
      </c>
      <c r="AV380" s="24">
        <f t="shared" si="77"/>
        <v>8.0000000000000016E-2</v>
      </c>
      <c r="AW380" s="24">
        <f t="shared" si="78"/>
        <v>0.06</v>
      </c>
      <c r="AX380" s="25">
        <v>1E-4</v>
      </c>
      <c r="AY380" s="24">
        <v>0</v>
      </c>
      <c r="AZ380" s="24">
        <f t="shared" si="79"/>
        <v>9.0000000000000011E-2</v>
      </c>
      <c r="BA380" s="24">
        <f t="shared" si="80"/>
        <v>7.2000000000000008E-2</v>
      </c>
      <c r="BB380" s="24">
        <f t="shared" si="81"/>
        <v>5.4000000000000006E-2</v>
      </c>
      <c r="BC380" s="25">
        <v>1E-4</v>
      </c>
      <c r="BD380" s="24">
        <v>0</v>
      </c>
      <c r="BE380" s="55">
        <v>5</v>
      </c>
      <c r="BF380" s="34">
        <f t="shared" si="65"/>
        <v>4</v>
      </c>
      <c r="BG380" s="34">
        <f t="shared" si="66"/>
        <v>3</v>
      </c>
      <c r="BH380" s="26">
        <v>1</v>
      </c>
      <c r="BI380" s="52">
        <v>0</v>
      </c>
      <c r="BJ380" s="21" t="s">
        <v>4455</v>
      </c>
      <c r="BK380" s="21"/>
      <c r="BL380" s="27" t="s">
        <v>4456</v>
      </c>
      <c r="BM380" s="27" t="s">
        <v>4457</v>
      </c>
      <c r="BN380" s="26"/>
      <c r="BO380" s="34"/>
      <c r="BP380" s="34"/>
      <c r="BQ380" s="34"/>
      <c r="BR380" s="34"/>
      <c r="BS380" s="34"/>
      <c r="BT380" s="34"/>
      <c r="BU380" s="34"/>
      <c r="BV380" s="34"/>
      <c r="BW380" s="34"/>
      <c r="BX380" s="34"/>
      <c r="BY380" s="34"/>
      <c r="BZ380" s="34"/>
      <c r="CA380" s="20"/>
      <c r="CB380" s="33"/>
      <c r="CC380" s="46">
        <v>46044</v>
      </c>
      <c r="CD380" s="36" t="s">
        <v>7306</v>
      </c>
    </row>
    <row r="381" spans="1:82" s="64" customFormat="1" ht="114" customHeight="1" x14ac:dyDescent="0.25">
      <c r="A381" s="87">
        <v>377</v>
      </c>
      <c r="B381" s="141" t="s">
        <v>4458</v>
      </c>
      <c r="C381" s="82" t="s">
        <v>4459</v>
      </c>
      <c r="D381" s="6" t="s">
        <v>4460</v>
      </c>
      <c r="E381" s="75" t="s">
        <v>174</v>
      </c>
      <c r="F381" s="4" t="s">
        <v>1628</v>
      </c>
      <c r="G381" s="5" t="s">
        <v>84</v>
      </c>
      <c r="H381" s="6" t="s">
        <v>775</v>
      </c>
      <c r="I381" s="6" t="s">
        <v>4013</v>
      </c>
      <c r="J381" s="6"/>
      <c r="K381" s="6"/>
      <c r="L381" s="6"/>
      <c r="M381" s="6" t="s">
        <v>3924</v>
      </c>
      <c r="N381" s="6" t="s">
        <v>89</v>
      </c>
      <c r="O381" s="6" t="s">
        <v>579</v>
      </c>
      <c r="P381" s="6" t="s">
        <v>4461</v>
      </c>
      <c r="Q381" s="6"/>
      <c r="R381" s="82" t="s">
        <v>91</v>
      </c>
      <c r="S381" s="5" t="s">
        <v>92</v>
      </c>
      <c r="T381" s="6" t="s">
        <v>93</v>
      </c>
      <c r="U381" s="91">
        <v>100</v>
      </c>
      <c r="V381" s="5" t="s">
        <v>94</v>
      </c>
      <c r="W381" s="6" t="s">
        <v>95</v>
      </c>
      <c r="X381" s="6">
        <v>2023</v>
      </c>
      <c r="Y381" s="6" t="s">
        <v>117</v>
      </c>
      <c r="Z381" s="6" t="s">
        <v>97</v>
      </c>
      <c r="AA381" s="6" t="s">
        <v>98</v>
      </c>
      <c r="AB381" s="6" t="s">
        <v>99</v>
      </c>
      <c r="AC381" s="79" t="s">
        <v>4462</v>
      </c>
      <c r="AD381" s="79" t="s">
        <v>4463</v>
      </c>
      <c r="AE381" s="6" t="s">
        <v>4464</v>
      </c>
      <c r="AF381" s="6" t="s">
        <v>4465</v>
      </c>
      <c r="AG381" s="6" t="s">
        <v>218</v>
      </c>
      <c r="AH381" s="6" t="s">
        <v>4466</v>
      </c>
      <c r="AI381" s="6" t="s">
        <v>4467</v>
      </c>
      <c r="AJ381" s="6" t="s">
        <v>4468</v>
      </c>
      <c r="AK381" s="33" t="s">
        <v>97</v>
      </c>
      <c r="AL381" s="5" t="s">
        <v>4469</v>
      </c>
      <c r="AM381" s="6" t="s">
        <v>4070</v>
      </c>
      <c r="AN381" s="6" t="s">
        <v>4470</v>
      </c>
      <c r="AO381" s="5" t="s">
        <v>4471</v>
      </c>
      <c r="AP381" s="5" t="s">
        <v>4472</v>
      </c>
      <c r="AQ381" s="6" t="s">
        <v>4473</v>
      </c>
      <c r="AR381" s="20" t="s">
        <v>97</v>
      </c>
      <c r="AS381" s="20" t="s">
        <v>107</v>
      </c>
      <c r="AT381" s="21"/>
      <c r="AU381" s="24">
        <v>0.9</v>
      </c>
      <c r="AV381" s="24">
        <f t="shared" si="77"/>
        <v>0.72000000000000008</v>
      </c>
      <c r="AW381" s="24">
        <f t="shared" si="78"/>
        <v>0.54</v>
      </c>
      <c r="AX381" s="25">
        <v>1E-4</v>
      </c>
      <c r="AY381" s="24">
        <v>0</v>
      </c>
      <c r="AZ381" s="24">
        <f t="shared" si="79"/>
        <v>0.81</v>
      </c>
      <c r="BA381" s="24">
        <f t="shared" si="80"/>
        <v>0.64800000000000013</v>
      </c>
      <c r="BB381" s="24">
        <f t="shared" si="81"/>
        <v>0.48599999999999999</v>
      </c>
      <c r="BC381" s="25">
        <v>1E-4</v>
      </c>
      <c r="BD381" s="24">
        <v>0</v>
      </c>
      <c r="BE381" s="55">
        <v>5</v>
      </c>
      <c r="BF381" s="34">
        <f t="shared" si="65"/>
        <v>4</v>
      </c>
      <c r="BG381" s="34">
        <f t="shared" si="66"/>
        <v>3</v>
      </c>
      <c r="BH381" s="26">
        <v>1</v>
      </c>
      <c r="BI381" s="52">
        <v>0</v>
      </c>
      <c r="BJ381" s="21"/>
      <c r="BK381" s="21"/>
      <c r="BL381" s="27" t="s">
        <v>4474</v>
      </c>
      <c r="BM381" s="27" t="s">
        <v>4475</v>
      </c>
      <c r="BN381" s="26"/>
      <c r="BO381" s="34"/>
      <c r="BP381" s="34"/>
      <c r="BQ381" s="34"/>
      <c r="BR381" s="34"/>
      <c r="BS381" s="34"/>
      <c r="BT381" s="34"/>
      <c r="BU381" s="34"/>
      <c r="BV381" s="34"/>
      <c r="BW381" s="34"/>
      <c r="BX381" s="34"/>
      <c r="BY381" s="34"/>
      <c r="BZ381" s="34"/>
      <c r="CA381" s="20"/>
      <c r="CB381" s="21"/>
      <c r="CC381" s="29">
        <v>46003</v>
      </c>
      <c r="CD381" s="40" t="s">
        <v>4476</v>
      </c>
    </row>
    <row r="382" spans="1:82" s="64" customFormat="1" ht="114" customHeight="1" x14ac:dyDescent="0.25">
      <c r="A382" s="121">
        <v>378</v>
      </c>
      <c r="B382" s="141" t="s">
        <v>4477</v>
      </c>
      <c r="C382" s="6" t="s">
        <v>4478</v>
      </c>
      <c r="D382" s="6" t="s">
        <v>4479</v>
      </c>
      <c r="E382" s="75" t="s">
        <v>113</v>
      </c>
      <c r="F382" s="4" t="s">
        <v>1628</v>
      </c>
      <c r="G382" s="5" t="s">
        <v>84</v>
      </c>
      <c r="H382" s="6" t="s">
        <v>114</v>
      </c>
      <c r="I382" s="6" t="s">
        <v>3863</v>
      </c>
      <c r="J382" s="6"/>
      <c r="K382" s="6"/>
      <c r="L382" s="6"/>
      <c r="M382" s="6" t="s">
        <v>88</v>
      </c>
      <c r="N382" s="6" t="s">
        <v>89</v>
      </c>
      <c r="O382" s="6" t="s">
        <v>246</v>
      </c>
      <c r="P382" s="6" t="s">
        <v>3889</v>
      </c>
      <c r="Q382" s="6"/>
      <c r="R382" s="82" t="s">
        <v>175</v>
      </c>
      <c r="S382" s="5" t="s">
        <v>92</v>
      </c>
      <c r="T382" s="5" t="s">
        <v>93</v>
      </c>
      <c r="U382" s="91">
        <v>100</v>
      </c>
      <c r="V382" s="5" t="s">
        <v>94</v>
      </c>
      <c r="W382" s="5" t="s">
        <v>95</v>
      </c>
      <c r="X382" s="5">
        <v>2023</v>
      </c>
      <c r="Y382" s="5" t="s">
        <v>117</v>
      </c>
      <c r="Z382" s="5" t="s">
        <v>97</v>
      </c>
      <c r="AA382" s="5" t="s">
        <v>98</v>
      </c>
      <c r="AB382" s="6" t="s">
        <v>99</v>
      </c>
      <c r="AC382" s="79" t="s">
        <v>4480</v>
      </c>
      <c r="AD382" s="79" t="s">
        <v>4481</v>
      </c>
      <c r="AE382" s="6" t="s">
        <v>4482</v>
      </c>
      <c r="AF382" s="6" t="s">
        <v>4483</v>
      </c>
      <c r="AG382" s="6" t="s">
        <v>1042</v>
      </c>
      <c r="AH382" s="6" t="s">
        <v>1042</v>
      </c>
      <c r="AI382" s="6" t="s">
        <v>4484</v>
      </c>
      <c r="AJ382" s="6" t="s">
        <v>3909</v>
      </c>
      <c r="AK382" s="33" t="s">
        <v>97</v>
      </c>
      <c r="AL382" s="5" t="s">
        <v>3882</v>
      </c>
      <c r="AM382" s="151" t="s">
        <v>7307</v>
      </c>
      <c r="AN382" s="5"/>
      <c r="AO382" s="5" t="s">
        <v>4485</v>
      </c>
      <c r="AP382" s="5" t="s">
        <v>4485</v>
      </c>
      <c r="AQ382" s="49" t="s">
        <v>4486</v>
      </c>
      <c r="AR382" s="20" t="s">
        <v>97</v>
      </c>
      <c r="AS382" s="20" t="s">
        <v>107</v>
      </c>
      <c r="AT382" s="20"/>
      <c r="AU382" s="24">
        <v>0.9</v>
      </c>
      <c r="AV382" s="24">
        <f t="shared" si="77"/>
        <v>0.72000000000000008</v>
      </c>
      <c r="AW382" s="24">
        <f t="shared" si="78"/>
        <v>0.54</v>
      </c>
      <c r="AX382" s="25">
        <v>1E-4</v>
      </c>
      <c r="AY382" s="24">
        <v>0</v>
      </c>
      <c r="AZ382" s="24">
        <f t="shared" si="79"/>
        <v>0.81</v>
      </c>
      <c r="BA382" s="24">
        <f t="shared" si="80"/>
        <v>0.64800000000000013</v>
      </c>
      <c r="BB382" s="24">
        <f t="shared" si="81"/>
        <v>0.48599999999999999</v>
      </c>
      <c r="BC382" s="25">
        <v>1E-4</v>
      </c>
      <c r="BD382" s="24">
        <v>0</v>
      </c>
      <c r="BE382" s="26">
        <v>0</v>
      </c>
      <c r="BF382" s="34">
        <f t="shared" si="65"/>
        <v>0</v>
      </c>
      <c r="BG382" s="34">
        <f t="shared" si="66"/>
        <v>0</v>
      </c>
      <c r="BH382" s="26">
        <v>0</v>
      </c>
      <c r="BI382" s="26">
        <v>0</v>
      </c>
      <c r="BJ382" s="27">
        <v>0.94395516413130509</v>
      </c>
      <c r="BK382" s="19"/>
      <c r="BL382" s="27" t="s">
        <v>4487</v>
      </c>
      <c r="BM382" s="27" t="s">
        <v>4488</v>
      </c>
      <c r="BN382" s="26"/>
      <c r="BO382" s="34"/>
      <c r="BP382" s="34"/>
      <c r="BQ382" s="34"/>
      <c r="BR382" s="34"/>
      <c r="BS382" s="34"/>
      <c r="BT382" s="34"/>
      <c r="BU382" s="34"/>
      <c r="BV382" s="34"/>
      <c r="BW382" s="34"/>
      <c r="BX382" s="34"/>
      <c r="BY382" s="34"/>
      <c r="BZ382" s="34"/>
      <c r="CA382" s="20"/>
      <c r="CB382" s="20"/>
      <c r="CC382" s="29">
        <v>46044</v>
      </c>
      <c r="CD382" s="42" t="s">
        <v>7308</v>
      </c>
    </row>
    <row r="383" spans="1:82" s="64" customFormat="1" ht="174" customHeight="1" x14ac:dyDescent="0.25">
      <c r="A383" s="87">
        <v>379</v>
      </c>
      <c r="B383" s="141" t="s">
        <v>4489</v>
      </c>
      <c r="C383" s="6" t="s">
        <v>4490</v>
      </c>
      <c r="D383" s="6" t="s">
        <v>4491</v>
      </c>
      <c r="E383" s="75" t="s">
        <v>113</v>
      </c>
      <c r="F383" s="4" t="s">
        <v>1628</v>
      </c>
      <c r="G383" s="5" t="s">
        <v>84</v>
      </c>
      <c r="H383" s="6" t="s">
        <v>114</v>
      </c>
      <c r="I383" s="6" t="s">
        <v>3863</v>
      </c>
      <c r="J383" s="6"/>
      <c r="K383" s="6"/>
      <c r="L383" s="6"/>
      <c r="M383" s="6" t="s">
        <v>88</v>
      </c>
      <c r="N383" s="6" t="s">
        <v>89</v>
      </c>
      <c r="O383" s="6" t="s">
        <v>1444</v>
      </c>
      <c r="P383" s="6" t="s">
        <v>4492</v>
      </c>
      <c r="Q383" s="6"/>
      <c r="R383" s="82" t="s">
        <v>91</v>
      </c>
      <c r="S383" s="5" t="s">
        <v>92</v>
      </c>
      <c r="T383" s="5" t="s">
        <v>93</v>
      </c>
      <c r="U383" s="91">
        <v>100</v>
      </c>
      <c r="V383" s="5" t="s">
        <v>94</v>
      </c>
      <c r="W383" s="5" t="s">
        <v>95</v>
      </c>
      <c r="X383" s="5">
        <v>2023</v>
      </c>
      <c r="Y383" s="5" t="s">
        <v>117</v>
      </c>
      <c r="Z383" s="5" t="s">
        <v>97</v>
      </c>
      <c r="AA383" s="5" t="s">
        <v>98</v>
      </c>
      <c r="AB383" s="6" t="s">
        <v>99</v>
      </c>
      <c r="AC383" s="79" t="s">
        <v>4493</v>
      </c>
      <c r="AD383" s="79" t="s">
        <v>4494</v>
      </c>
      <c r="AE383" s="6" t="s">
        <v>4495</v>
      </c>
      <c r="AF383" s="6" t="s">
        <v>3868</v>
      </c>
      <c r="AG383" s="49" t="s">
        <v>1042</v>
      </c>
      <c r="AH383" s="49" t="s">
        <v>1042</v>
      </c>
      <c r="AI383" s="6" t="s">
        <v>4496</v>
      </c>
      <c r="AJ383" s="49" t="s">
        <v>4497</v>
      </c>
      <c r="AK383" s="33" t="s">
        <v>97</v>
      </c>
      <c r="AL383" s="5" t="s">
        <v>3882</v>
      </c>
      <c r="AM383" s="82"/>
      <c r="AN383" s="5"/>
      <c r="AO383" s="5" t="s">
        <v>4498</v>
      </c>
      <c r="AP383" s="5" t="s">
        <v>4499</v>
      </c>
      <c r="AQ383" s="49" t="s">
        <v>4486</v>
      </c>
      <c r="AR383" s="20" t="s">
        <v>97</v>
      </c>
      <c r="AS383" s="20" t="s">
        <v>107</v>
      </c>
      <c r="AT383" s="20"/>
      <c r="AU383" s="24">
        <v>0.9</v>
      </c>
      <c r="AV383" s="24">
        <f t="shared" si="77"/>
        <v>0.72000000000000008</v>
      </c>
      <c r="AW383" s="24">
        <f t="shared" si="78"/>
        <v>0.54</v>
      </c>
      <c r="AX383" s="25">
        <v>1E-4</v>
      </c>
      <c r="AY383" s="24">
        <v>0</v>
      </c>
      <c r="AZ383" s="24">
        <f t="shared" si="79"/>
        <v>0.81</v>
      </c>
      <c r="BA383" s="24">
        <f t="shared" si="80"/>
        <v>0.64800000000000013</v>
      </c>
      <c r="BB383" s="24">
        <f t="shared" si="81"/>
        <v>0.48599999999999999</v>
      </c>
      <c r="BC383" s="25">
        <v>1E-4</v>
      </c>
      <c r="BD383" s="24">
        <v>0</v>
      </c>
      <c r="BE383" s="26">
        <v>0</v>
      </c>
      <c r="BF383" s="34">
        <f t="shared" si="65"/>
        <v>0</v>
      </c>
      <c r="BG383" s="34">
        <f t="shared" si="66"/>
        <v>0</v>
      </c>
      <c r="BH383" s="26">
        <v>0</v>
      </c>
      <c r="BI383" s="26">
        <v>0</v>
      </c>
      <c r="BJ383" s="27" t="s">
        <v>84</v>
      </c>
      <c r="BK383" s="19"/>
      <c r="BL383" s="27" t="s">
        <v>4500</v>
      </c>
      <c r="BM383" s="27" t="s">
        <v>3677</v>
      </c>
      <c r="BN383" s="26"/>
      <c r="BO383" s="34"/>
      <c r="BP383" s="34"/>
      <c r="BQ383" s="34"/>
      <c r="BR383" s="34"/>
      <c r="BS383" s="34"/>
      <c r="BT383" s="34"/>
      <c r="BU383" s="34"/>
      <c r="BV383" s="34"/>
      <c r="BW383" s="34"/>
      <c r="BX383" s="34"/>
      <c r="BY383" s="34"/>
      <c r="BZ383" s="34"/>
      <c r="CA383" s="20"/>
      <c r="CB383" s="20"/>
      <c r="CC383" s="29">
        <v>46003</v>
      </c>
      <c r="CD383" s="2" t="s">
        <v>4501</v>
      </c>
    </row>
    <row r="384" spans="1:82" s="64" customFormat="1" ht="66.75" customHeight="1" x14ac:dyDescent="0.25">
      <c r="A384" s="87">
        <v>380</v>
      </c>
      <c r="B384" s="141" t="s">
        <v>4502</v>
      </c>
      <c r="C384" s="6" t="s">
        <v>4503</v>
      </c>
      <c r="D384" s="6" t="s">
        <v>4504</v>
      </c>
      <c r="E384" s="75" t="s">
        <v>113</v>
      </c>
      <c r="F384" s="4" t="s">
        <v>1628</v>
      </c>
      <c r="G384" s="5" t="s">
        <v>84</v>
      </c>
      <c r="H384" s="6" t="s">
        <v>114</v>
      </c>
      <c r="I384" s="6" t="s">
        <v>3863</v>
      </c>
      <c r="J384" s="6"/>
      <c r="K384" s="6"/>
      <c r="L384" s="6"/>
      <c r="M384" s="6" t="s">
        <v>136</v>
      </c>
      <c r="N384" s="6" t="s">
        <v>89</v>
      </c>
      <c r="O384" s="6" t="s">
        <v>4505</v>
      </c>
      <c r="P384" s="6" t="s">
        <v>4505</v>
      </c>
      <c r="Q384" s="6"/>
      <c r="R384" s="82" t="s">
        <v>91</v>
      </c>
      <c r="S384" s="5" t="s">
        <v>92</v>
      </c>
      <c r="T384" s="5" t="s">
        <v>93</v>
      </c>
      <c r="U384" s="91">
        <v>100</v>
      </c>
      <c r="V384" s="5" t="s">
        <v>94</v>
      </c>
      <c r="W384" s="5" t="s">
        <v>95</v>
      </c>
      <c r="X384" s="5">
        <v>2023</v>
      </c>
      <c r="Y384" s="5" t="s">
        <v>117</v>
      </c>
      <c r="Z384" s="5" t="s">
        <v>97</v>
      </c>
      <c r="AA384" s="5" t="s">
        <v>98</v>
      </c>
      <c r="AB384" s="6" t="s">
        <v>99</v>
      </c>
      <c r="AC384" s="79" t="s">
        <v>4506</v>
      </c>
      <c r="AD384" s="79" t="s">
        <v>4494</v>
      </c>
      <c r="AE384" s="6" t="s">
        <v>4507</v>
      </c>
      <c r="AF384" s="49" t="s">
        <v>3868</v>
      </c>
      <c r="AG384" s="49" t="s">
        <v>1042</v>
      </c>
      <c r="AH384" s="49" t="s">
        <v>1042</v>
      </c>
      <c r="AI384" s="6" t="s">
        <v>4508</v>
      </c>
      <c r="AJ384" s="49" t="s">
        <v>4509</v>
      </c>
      <c r="AK384" s="33" t="s">
        <v>97</v>
      </c>
      <c r="AL384" s="5" t="s">
        <v>3882</v>
      </c>
      <c r="AM384" s="82" t="s">
        <v>4510</v>
      </c>
      <c r="AN384" s="5"/>
      <c r="AO384" s="5" t="s">
        <v>4511</v>
      </c>
      <c r="AP384" s="5" t="s">
        <v>4512</v>
      </c>
      <c r="AQ384" s="49" t="s">
        <v>3897</v>
      </c>
      <c r="AR384" s="20" t="s">
        <v>97</v>
      </c>
      <c r="AS384" s="20" t="s">
        <v>107</v>
      </c>
      <c r="AT384" s="20"/>
      <c r="AU384" s="24">
        <v>0.9</v>
      </c>
      <c r="AV384" s="24">
        <f t="shared" si="77"/>
        <v>0.72000000000000008</v>
      </c>
      <c r="AW384" s="24">
        <f t="shared" si="78"/>
        <v>0.54</v>
      </c>
      <c r="AX384" s="25">
        <v>1E-4</v>
      </c>
      <c r="AY384" s="24">
        <v>0</v>
      </c>
      <c r="AZ384" s="24">
        <f t="shared" si="79"/>
        <v>0.81</v>
      </c>
      <c r="BA384" s="24">
        <f t="shared" si="80"/>
        <v>0.64800000000000013</v>
      </c>
      <c r="BB384" s="24">
        <f t="shared" si="81"/>
        <v>0.48599999999999999</v>
      </c>
      <c r="BC384" s="25">
        <v>1E-4</v>
      </c>
      <c r="BD384" s="24">
        <v>0</v>
      </c>
      <c r="BE384" s="26">
        <v>0</v>
      </c>
      <c r="BF384" s="34">
        <f t="shared" si="65"/>
        <v>0</v>
      </c>
      <c r="BG384" s="34">
        <f t="shared" si="66"/>
        <v>0</v>
      </c>
      <c r="BH384" s="26">
        <v>0</v>
      </c>
      <c r="BI384" s="26">
        <v>0</v>
      </c>
      <c r="BJ384" s="27">
        <v>0.19140625</v>
      </c>
      <c r="BK384" s="19"/>
      <c r="BL384" s="27" t="s">
        <v>4513</v>
      </c>
      <c r="BM384" s="27" t="s">
        <v>4514</v>
      </c>
      <c r="BN384" s="26"/>
      <c r="BO384" s="34"/>
      <c r="BP384" s="34"/>
      <c r="BQ384" s="34"/>
      <c r="BR384" s="34"/>
      <c r="BS384" s="34"/>
      <c r="BT384" s="34"/>
      <c r="BU384" s="34"/>
      <c r="BV384" s="34"/>
      <c r="BW384" s="34"/>
      <c r="BX384" s="34"/>
      <c r="BY384" s="34"/>
      <c r="BZ384" s="34"/>
      <c r="CA384" s="20"/>
      <c r="CB384" s="20"/>
      <c r="CC384" s="35">
        <v>46003</v>
      </c>
      <c r="CD384" s="61" t="s">
        <v>4515</v>
      </c>
    </row>
    <row r="385" spans="1:82" s="64" customFormat="1" ht="138.75" customHeight="1" x14ac:dyDescent="0.25">
      <c r="A385" s="121">
        <v>381</v>
      </c>
      <c r="B385" s="142" t="s">
        <v>4516</v>
      </c>
      <c r="C385" s="14" t="s">
        <v>7394</v>
      </c>
      <c r="D385" s="14" t="s">
        <v>7395</v>
      </c>
      <c r="E385" s="75" t="s">
        <v>113</v>
      </c>
      <c r="F385" s="12" t="s">
        <v>1628</v>
      </c>
      <c r="G385" s="7" t="s">
        <v>84</v>
      </c>
      <c r="H385" s="2" t="s">
        <v>114</v>
      </c>
      <c r="I385" s="2" t="s">
        <v>3863</v>
      </c>
      <c r="J385" s="2"/>
      <c r="K385" s="2"/>
      <c r="L385" s="2"/>
      <c r="M385" s="2" t="s">
        <v>136</v>
      </c>
      <c r="N385" s="2" t="s">
        <v>89</v>
      </c>
      <c r="O385" s="2" t="s">
        <v>4505</v>
      </c>
      <c r="P385" s="2" t="s">
        <v>4505</v>
      </c>
      <c r="Q385" s="2"/>
      <c r="R385" s="11" t="s">
        <v>91</v>
      </c>
      <c r="S385" s="5" t="s">
        <v>92</v>
      </c>
      <c r="T385" s="7" t="s">
        <v>4517</v>
      </c>
      <c r="U385" s="181" t="s">
        <v>84</v>
      </c>
      <c r="V385" s="7" t="s">
        <v>94</v>
      </c>
      <c r="W385" s="7" t="s">
        <v>95</v>
      </c>
      <c r="X385" s="7">
        <v>2023</v>
      </c>
      <c r="Y385" s="7" t="s">
        <v>117</v>
      </c>
      <c r="Z385" s="7" t="s">
        <v>97</v>
      </c>
      <c r="AA385" s="7" t="s">
        <v>98</v>
      </c>
      <c r="AB385" s="2" t="s">
        <v>99</v>
      </c>
      <c r="AC385" s="2" t="s">
        <v>4518</v>
      </c>
      <c r="AD385" s="31" t="s">
        <v>4519</v>
      </c>
      <c r="AE385" s="2" t="s">
        <v>4520</v>
      </c>
      <c r="AF385" s="2" t="s">
        <v>4521</v>
      </c>
      <c r="AG385" s="21" t="s">
        <v>1042</v>
      </c>
      <c r="AH385" s="21" t="s">
        <v>1042</v>
      </c>
      <c r="AI385" s="2" t="s">
        <v>4522</v>
      </c>
      <c r="AJ385" s="21" t="s">
        <v>4509</v>
      </c>
      <c r="AK385" s="20" t="s">
        <v>97</v>
      </c>
      <c r="AL385" s="20" t="s">
        <v>3882</v>
      </c>
      <c r="AM385" s="11" t="s">
        <v>4523</v>
      </c>
      <c r="AN385" s="7"/>
      <c r="AO385" s="7" t="s">
        <v>4524</v>
      </c>
      <c r="AP385" s="7" t="s">
        <v>4525</v>
      </c>
      <c r="AQ385" s="21" t="s">
        <v>3897</v>
      </c>
      <c r="AR385" s="20" t="s">
        <v>97</v>
      </c>
      <c r="AS385" s="20" t="s">
        <v>107</v>
      </c>
      <c r="AT385" s="20"/>
      <c r="AU385" s="41" t="s">
        <v>4526</v>
      </c>
      <c r="AV385" s="41"/>
      <c r="AW385" s="41"/>
      <c r="AX385" s="62" t="s">
        <v>4527</v>
      </c>
      <c r="AY385" s="41"/>
      <c r="AZ385" s="41" t="s">
        <v>4526</v>
      </c>
      <c r="BA385" s="41"/>
      <c r="BB385" s="41"/>
      <c r="BC385" s="62" t="s">
        <v>4527</v>
      </c>
      <c r="BD385" s="24"/>
      <c r="BE385" s="26">
        <v>0</v>
      </c>
      <c r="BF385" s="34">
        <f t="shared" si="65"/>
        <v>0</v>
      </c>
      <c r="BG385" s="34">
        <f t="shared" si="66"/>
        <v>0</v>
      </c>
      <c r="BH385" s="26">
        <v>0</v>
      </c>
      <c r="BI385" s="26">
        <v>0</v>
      </c>
      <c r="BJ385" s="27">
        <v>0.423712342079689</v>
      </c>
      <c r="BK385" s="19"/>
      <c r="BL385" s="27" t="s">
        <v>4528</v>
      </c>
      <c r="BM385" s="27" t="s">
        <v>4529</v>
      </c>
      <c r="BN385" s="26"/>
      <c r="BO385" s="34"/>
      <c r="BP385" s="34"/>
      <c r="BQ385" s="34"/>
      <c r="BR385" s="34"/>
      <c r="BS385" s="34"/>
      <c r="BT385" s="34"/>
      <c r="BU385" s="34"/>
      <c r="BV385" s="34"/>
      <c r="BW385" s="34"/>
      <c r="BX385" s="34"/>
      <c r="BY385" s="34"/>
      <c r="BZ385" s="34"/>
      <c r="CA385" s="20"/>
      <c r="CB385" s="33"/>
      <c r="CC385" s="46">
        <v>45996</v>
      </c>
      <c r="CD385" s="11" t="s">
        <v>4530</v>
      </c>
    </row>
    <row r="386" spans="1:82" s="64" customFormat="1" ht="66.75" customHeight="1" x14ac:dyDescent="0.25">
      <c r="A386" s="87">
        <v>382</v>
      </c>
      <c r="B386" s="141" t="s">
        <v>4531</v>
      </c>
      <c r="C386" s="6" t="s">
        <v>4532</v>
      </c>
      <c r="D386" s="6" t="s">
        <v>4533</v>
      </c>
      <c r="E386" s="75" t="s">
        <v>113</v>
      </c>
      <c r="F386" s="4" t="s">
        <v>1628</v>
      </c>
      <c r="G386" s="5" t="s">
        <v>84</v>
      </c>
      <c r="H386" s="6" t="s">
        <v>114</v>
      </c>
      <c r="I386" s="6" t="s">
        <v>3863</v>
      </c>
      <c r="J386" s="6"/>
      <c r="K386" s="6"/>
      <c r="L386" s="6"/>
      <c r="M386" s="6" t="s">
        <v>88</v>
      </c>
      <c r="N386" s="6" t="s">
        <v>89</v>
      </c>
      <c r="O386" s="6" t="s">
        <v>1444</v>
      </c>
      <c r="P386" s="6" t="s">
        <v>1445</v>
      </c>
      <c r="Q386" s="6"/>
      <c r="R386" s="82" t="s">
        <v>91</v>
      </c>
      <c r="S386" s="5" t="s">
        <v>92</v>
      </c>
      <c r="T386" s="5" t="s">
        <v>93</v>
      </c>
      <c r="U386" s="91">
        <v>100</v>
      </c>
      <c r="V386" s="5" t="s">
        <v>94</v>
      </c>
      <c r="W386" s="5" t="s">
        <v>95</v>
      </c>
      <c r="X386" s="5">
        <v>2023</v>
      </c>
      <c r="Y386" s="5" t="s">
        <v>117</v>
      </c>
      <c r="Z386" s="5" t="s">
        <v>97</v>
      </c>
      <c r="AA386" s="5" t="s">
        <v>98</v>
      </c>
      <c r="AB386" s="6" t="s">
        <v>99</v>
      </c>
      <c r="AC386" s="79" t="s">
        <v>4534</v>
      </c>
      <c r="AD386" s="79" t="s">
        <v>4494</v>
      </c>
      <c r="AE386" s="49" t="s">
        <v>4535</v>
      </c>
      <c r="AF386" s="49" t="s">
        <v>4536</v>
      </c>
      <c r="AG386" s="49" t="s">
        <v>4537</v>
      </c>
      <c r="AH386" s="49" t="s">
        <v>4537</v>
      </c>
      <c r="AI386" s="6" t="s">
        <v>4538</v>
      </c>
      <c r="AJ386" s="49" t="s">
        <v>4497</v>
      </c>
      <c r="AK386" s="33" t="s">
        <v>97</v>
      </c>
      <c r="AL386" s="33" t="s">
        <v>3882</v>
      </c>
      <c r="AM386" s="82" t="s">
        <v>4539</v>
      </c>
      <c r="AN386" s="5"/>
      <c r="AO386" s="5" t="s">
        <v>4540</v>
      </c>
      <c r="AP386" s="5" t="s">
        <v>4499</v>
      </c>
      <c r="AQ386" s="49" t="s">
        <v>3897</v>
      </c>
      <c r="AR386" s="20" t="s">
        <v>97</v>
      </c>
      <c r="AS386" s="20" t="s">
        <v>107</v>
      </c>
      <c r="AT386" s="20"/>
      <c r="AU386" s="24">
        <v>0.9</v>
      </c>
      <c r="AV386" s="24">
        <f t="shared" ref="AV386:AV396" si="82">+AU386*80%</f>
        <v>0.72000000000000008</v>
      </c>
      <c r="AW386" s="24">
        <f t="shared" ref="AW386:AW396" si="83">+AU386*60%</f>
        <v>0.54</v>
      </c>
      <c r="AX386" s="25">
        <v>1E-4</v>
      </c>
      <c r="AY386" s="24">
        <v>0</v>
      </c>
      <c r="AZ386" s="24">
        <f t="shared" ref="AZ386:AZ396" si="84">+AU386*90%</f>
        <v>0.81</v>
      </c>
      <c r="BA386" s="24">
        <f t="shared" ref="BA386:BA396" si="85">AZ386*80%</f>
        <v>0.64800000000000013</v>
      </c>
      <c r="BB386" s="24">
        <f t="shared" ref="BB386:BB396" si="86">AZ386*60%</f>
        <v>0.48599999999999999</v>
      </c>
      <c r="BC386" s="25">
        <v>1E-4</v>
      </c>
      <c r="BD386" s="24">
        <v>0</v>
      </c>
      <c r="BE386" s="26">
        <v>0</v>
      </c>
      <c r="BF386" s="34">
        <f t="shared" si="65"/>
        <v>0</v>
      </c>
      <c r="BG386" s="34">
        <f t="shared" si="66"/>
        <v>0</v>
      </c>
      <c r="BH386" s="26">
        <v>0</v>
      </c>
      <c r="BI386" s="26">
        <v>0</v>
      </c>
      <c r="BJ386" s="27" t="s">
        <v>84</v>
      </c>
      <c r="BK386" s="19"/>
      <c r="BL386" s="27" t="s">
        <v>4541</v>
      </c>
      <c r="BM386" s="27" t="s">
        <v>867</v>
      </c>
      <c r="BN386" s="26"/>
      <c r="BO386" s="34"/>
      <c r="BP386" s="34"/>
      <c r="BQ386" s="34"/>
      <c r="BR386" s="34"/>
      <c r="BS386" s="34"/>
      <c r="BT386" s="34"/>
      <c r="BU386" s="34"/>
      <c r="BV386" s="34"/>
      <c r="BW386" s="34"/>
      <c r="BX386" s="34"/>
      <c r="BY386" s="34"/>
      <c r="BZ386" s="34"/>
      <c r="CA386" s="20"/>
      <c r="CB386" s="20"/>
      <c r="CC386" s="29">
        <v>46003</v>
      </c>
      <c r="CD386" s="61" t="s">
        <v>4542</v>
      </c>
    </row>
    <row r="387" spans="1:82" s="64" customFormat="1" ht="96" customHeight="1" x14ac:dyDescent="0.25">
      <c r="A387" s="87">
        <v>383</v>
      </c>
      <c r="B387" s="141" t="s">
        <v>4543</v>
      </c>
      <c r="C387" s="6" t="s">
        <v>4544</v>
      </c>
      <c r="D387" s="6" t="s">
        <v>4545</v>
      </c>
      <c r="E387" s="75" t="s">
        <v>174</v>
      </c>
      <c r="F387" s="4" t="s">
        <v>1628</v>
      </c>
      <c r="G387" s="5" t="s">
        <v>84</v>
      </c>
      <c r="H387" s="6" t="s">
        <v>114</v>
      </c>
      <c r="I387" s="6" t="s">
        <v>3863</v>
      </c>
      <c r="J387" s="6" t="s">
        <v>115</v>
      </c>
      <c r="K387" s="6"/>
      <c r="L387" s="6"/>
      <c r="M387" s="6" t="s">
        <v>88</v>
      </c>
      <c r="N387" s="6" t="s">
        <v>89</v>
      </c>
      <c r="O387" s="6" t="s">
        <v>116</v>
      </c>
      <c r="P387" s="6" t="s">
        <v>3889</v>
      </c>
      <c r="Q387" s="6"/>
      <c r="R387" s="82" t="s">
        <v>91</v>
      </c>
      <c r="S387" s="5" t="s">
        <v>92</v>
      </c>
      <c r="T387" s="5" t="s">
        <v>93</v>
      </c>
      <c r="U387" s="91">
        <v>100</v>
      </c>
      <c r="V387" s="5" t="s">
        <v>94</v>
      </c>
      <c r="W387" s="5" t="s">
        <v>95</v>
      </c>
      <c r="X387" s="5">
        <v>2023</v>
      </c>
      <c r="Y387" s="5" t="s">
        <v>117</v>
      </c>
      <c r="Z387" s="5" t="s">
        <v>97</v>
      </c>
      <c r="AA387" s="5" t="s">
        <v>98</v>
      </c>
      <c r="AB387" s="6" t="s">
        <v>99</v>
      </c>
      <c r="AC387" s="79" t="s">
        <v>4546</v>
      </c>
      <c r="AD387" s="79" t="s">
        <v>3866</v>
      </c>
      <c r="AE387" s="6" t="s">
        <v>177</v>
      </c>
      <c r="AF387" s="6" t="s">
        <v>4547</v>
      </c>
      <c r="AG387" s="6" t="s">
        <v>1042</v>
      </c>
      <c r="AH387" s="6" t="s">
        <v>1042</v>
      </c>
      <c r="AI387" s="6" t="s">
        <v>4548</v>
      </c>
      <c r="AJ387" s="6" t="s">
        <v>4549</v>
      </c>
      <c r="AK387" s="5" t="s">
        <v>97</v>
      </c>
      <c r="AL387" s="5" t="s">
        <v>3882</v>
      </c>
      <c r="AM387" s="82" t="s">
        <v>3883</v>
      </c>
      <c r="AN387" s="5"/>
      <c r="AO387" s="5" t="s">
        <v>4550</v>
      </c>
      <c r="AP387" s="5" t="s">
        <v>4551</v>
      </c>
      <c r="AQ387" s="6" t="s">
        <v>3897</v>
      </c>
      <c r="AR387" s="20" t="s">
        <v>97</v>
      </c>
      <c r="AS387" s="20" t="s">
        <v>107</v>
      </c>
      <c r="AT387" s="20"/>
      <c r="AU387" s="24">
        <v>0.9</v>
      </c>
      <c r="AV387" s="24">
        <f t="shared" si="82"/>
        <v>0.72000000000000008</v>
      </c>
      <c r="AW387" s="24">
        <f t="shared" si="83"/>
        <v>0.54</v>
      </c>
      <c r="AX387" s="25">
        <v>1E-4</v>
      </c>
      <c r="AY387" s="24">
        <v>0</v>
      </c>
      <c r="AZ387" s="24">
        <f t="shared" si="84"/>
        <v>0.81</v>
      </c>
      <c r="BA387" s="24">
        <f t="shared" si="85"/>
        <v>0.64800000000000013</v>
      </c>
      <c r="BB387" s="24">
        <f t="shared" si="86"/>
        <v>0.48599999999999999</v>
      </c>
      <c r="BC387" s="25">
        <v>1E-4</v>
      </c>
      <c r="BD387" s="24">
        <v>0</v>
      </c>
      <c r="BE387" s="34">
        <v>20</v>
      </c>
      <c r="BF387" s="34">
        <f t="shared" si="65"/>
        <v>16</v>
      </c>
      <c r="BG387" s="34">
        <f t="shared" si="66"/>
        <v>12</v>
      </c>
      <c r="BH387" s="26">
        <v>1</v>
      </c>
      <c r="BI387" s="26">
        <v>0</v>
      </c>
      <c r="BJ387" s="27">
        <v>0.72044263249854401</v>
      </c>
      <c r="BK387" s="19"/>
      <c r="BL387" s="27" t="s">
        <v>4552</v>
      </c>
      <c r="BM387" s="27" t="s">
        <v>4553</v>
      </c>
      <c r="BN387" s="26"/>
      <c r="BO387" s="34"/>
      <c r="BP387" s="34"/>
      <c r="BQ387" s="34"/>
      <c r="BR387" s="34"/>
      <c r="BS387" s="34"/>
      <c r="BT387" s="34"/>
      <c r="BU387" s="34"/>
      <c r="BV387" s="34"/>
      <c r="BW387" s="34"/>
      <c r="BX387" s="34"/>
      <c r="BY387" s="34"/>
      <c r="BZ387" s="34"/>
      <c r="CA387" s="20"/>
      <c r="CB387" s="20"/>
      <c r="CC387" s="46">
        <v>46006</v>
      </c>
      <c r="CD387" s="61" t="s">
        <v>4554</v>
      </c>
    </row>
    <row r="388" spans="1:82" s="64" customFormat="1" ht="66.75" customHeight="1" x14ac:dyDescent="0.25">
      <c r="A388" s="121">
        <v>384</v>
      </c>
      <c r="B388" s="141" t="s">
        <v>4555</v>
      </c>
      <c r="C388" s="6" t="s">
        <v>4556</v>
      </c>
      <c r="D388" s="6" t="s">
        <v>4557</v>
      </c>
      <c r="E388" s="75" t="s">
        <v>174</v>
      </c>
      <c r="F388" s="4" t="s">
        <v>1628</v>
      </c>
      <c r="G388" s="5" t="s">
        <v>84</v>
      </c>
      <c r="H388" s="6" t="s">
        <v>114</v>
      </c>
      <c r="I388" s="6" t="s">
        <v>3863</v>
      </c>
      <c r="J388" s="6"/>
      <c r="K388" s="6"/>
      <c r="L388" s="6"/>
      <c r="M388" s="6" t="s">
        <v>88</v>
      </c>
      <c r="N388" s="6" t="s">
        <v>89</v>
      </c>
      <c r="O388" s="6" t="s">
        <v>4505</v>
      </c>
      <c r="P388" s="6" t="s">
        <v>4505</v>
      </c>
      <c r="Q388" s="6"/>
      <c r="R388" s="82" t="s">
        <v>91</v>
      </c>
      <c r="S388" s="5" t="s">
        <v>92</v>
      </c>
      <c r="T388" s="5" t="s">
        <v>93</v>
      </c>
      <c r="U388" s="91">
        <v>100</v>
      </c>
      <c r="V388" s="5" t="s">
        <v>94</v>
      </c>
      <c r="W388" s="5" t="s">
        <v>95</v>
      </c>
      <c r="X388" s="5">
        <v>2022</v>
      </c>
      <c r="Y388" s="5" t="s">
        <v>117</v>
      </c>
      <c r="Z388" s="5" t="s">
        <v>97</v>
      </c>
      <c r="AA388" s="5" t="s">
        <v>98</v>
      </c>
      <c r="AB388" s="6" t="s">
        <v>99</v>
      </c>
      <c r="AC388" s="79" t="s">
        <v>4558</v>
      </c>
      <c r="AD388" s="79" t="s">
        <v>4494</v>
      </c>
      <c r="AE388" s="6" t="s">
        <v>4559</v>
      </c>
      <c r="AF388" s="6" t="s">
        <v>3868</v>
      </c>
      <c r="AG388" s="49" t="s">
        <v>1042</v>
      </c>
      <c r="AH388" s="49" t="s">
        <v>1042</v>
      </c>
      <c r="AI388" s="6" t="s">
        <v>4560</v>
      </c>
      <c r="AJ388" s="6" t="s">
        <v>4509</v>
      </c>
      <c r="AK388" s="33" t="s">
        <v>97</v>
      </c>
      <c r="AL388" s="33" t="s">
        <v>97</v>
      </c>
      <c r="AM388" s="82" t="s">
        <v>4561</v>
      </c>
      <c r="AN388" s="5"/>
      <c r="AO388" s="5" t="s">
        <v>4562</v>
      </c>
      <c r="AP388" s="5" t="s">
        <v>4512</v>
      </c>
      <c r="AQ388" s="49" t="s">
        <v>3897</v>
      </c>
      <c r="AR388" s="20" t="s">
        <v>97</v>
      </c>
      <c r="AS388" s="20" t="s">
        <v>107</v>
      </c>
      <c r="AT388" s="20"/>
      <c r="AU388" s="24">
        <v>0.8</v>
      </c>
      <c r="AV388" s="24">
        <f t="shared" si="82"/>
        <v>0.64000000000000012</v>
      </c>
      <c r="AW388" s="24">
        <f t="shared" si="83"/>
        <v>0.48</v>
      </c>
      <c r="AX388" s="25">
        <v>1E-4</v>
      </c>
      <c r="AY388" s="24">
        <v>0</v>
      </c>
      <c r="AZ388" s="24">
        <f t="shared" si="84"/>
        <v>0.72000000000000008</v>
      </c>
      <c r="BA388" s="24">
        <f t="shared" si="85"/>
        <v>0.57600000000000007</v>
      </c>
      <c r="BB388" s="24">
        <f t="shared" si="86"/>
        <v>0.43200000000000005</v>
      </c>
      <c r="BC388" s="25">
        <v>1E-4</v>
      </c>
      <c r="BD388" s="24">
        <v>0</v>
      </c>
      <c r="BE388" s="34">
        <v>15</v>
      </c>
      <c r="BF388" s="34">
        <f t="shared" ref="BF388:BF451" si="87">+BE388*80%</f>
        <v>12</v>
      </c>
      <c r="BG388" s="34">
        <f t="shared" ref="BG388:BG451" si="88">+BE388*60%</f>
        <v>9</v>
      </c>
      <c r="BH388" s="26">
        <v>1</v>
      </c>
      <c r="BI388" s="26">
        <v>0</v>
      </c>
      <c r="BJ388" s="27">
        <v>0.64646464646464652</v>
      </c>
      <c r="BK388" s="19"/>
      <c r="BL388" s="27" t="s">
        <v>4563</v>
      </c>
      <c r="BM388" s="27" t="s">
        <v>4564</v>
      </c>
      <c r="BN388" s="26"/>
      <c r="BO388" s="34"/>
      <c r="BP388" s="34"/>
      <c r="BQ388" s="34"/>
      <c r="BR388" s="34"/>
      <c r="BS388" s="34"/>
      <c r="BT388" s="34"/>
      <c r="BU388" s="34"/>
      <c r="BV388" s="34"/>
      <c r="BW388" s="34"/>
      <c r="BX388" s="34"/>
      <c r="BY388" s="34"/>
      <c r="BZ388" s="34"/>
      <c r="CA388" s="20"/>
      <c r="CB388" s="20"/>
      <c r="CC388" s="29">
        <v>46003</v>
      </c>
      <c r="CD388" s="42" t="s">
        <v>4565</v>
      </c>
    </row>
    <row r="389" spans="1:82" s="64" customFormat="1" ht="66.75" customHeight="1" x14ac:dyDescent="0.25">
      <c r="A389" s="87">
        <v>385</v>
      </c>
      <c r="B389" s="141" t="s">
        <v>4566</v>
      </c>
      <c r="C389" s="6" t="s">
        <v>4567</v>
      </c>
      <c r="D389" s="6" t="s">
        <v>4568</v>
      </c>
      <c r="E389" s="75" t="s">
        <v>113</v>
      </c>
      <c r="F389" s="4" t="s">
        <v>1628</v>
      </c>
      <c r="G389" s="5" t="s">
        <v>84</v>
      </c>
      <c r="H389" s="6" t="s">
        <v>114</v>
      </c>
      <c r="I389" s="6" t="s">
        <v>3863</v>
      </c>
      <c r="J389" s="6"/>
      <c r="K389" s="6"/>
      <c r="L389" s="6"/>
      <c r="M389" s="6" t="s">
        <v>88</v>
      </c>
      <c r="N389" s="6" t="s">
        <v>89</v>
      </c>
      <c r="O389" s="6" t="s">
        <v>579</v>
      </c>
      <c r="P389" s="6" t="s">
        <v>3903</v>
      </c>
      <c r="Q389" s="6"/>
      <c r="R389" s="82" t="s">
        <v>91</v>
      </c>
      <c r="S389" s="5" t="s">
        <v>92</v>
      </c>
      <c r="T389" s="5" t="s">
        <v>93</v>
      </c>
      <c r="U389" s="91">
        <v>100</v>
      </c>
      <c r="V389" s="5" t="s">
        <v>94</v>
      </c>
      <c r="W389" s="5" t="s">
        <v>95</v>
      </c>
      <c r="X389" s="5">
        <v>2023</v>
      </c>
      <c r="Y389" s="5" t="s">
        <v>117</v>
      </c>
      <c r="Z389" s="5" t="s">
        <v>97</v>
      </c>
      <c r="AA389" s="5" t="s">
        <v>98</v>
      </c>
      <c r="AB389" s="6" t="s">
        <v>99</v>
      </c>
      <c r="AC389" s="79" t="s">
        <v>4569</v>
      </c>
      <c r="AD389" s="79" t="s">
        <v>3866</v>
      </c>
      <c r="AE389" s="49" t="s">
        <v>4570</v>
      </c>
      <c r="AF389" s="49" t="s">
        <v>3868</v>
      </c>
      <c r="AG389" s="49" t="s">
        <v>1042</v>
      </c>
      <c r="AH389" s="49" t="s">
        <v>1042</v>
      </c>
      <c r="AI389" s="49" t="s">
        <v>4571</v>
      </c>
      <c r="AJ389" s="49" t="s">
        <v>3870</v>
      </c>
      <c r="AK389" s="33" t="s">
        <v>97</v>
      </c>
      <c r="AL389" s="33" t="s">
        <v>3882</v>
      </c>
      <c r="AM389" s="82" t="s">
        <v>3883</v>
      </c>
      <c r="AN389" s="5"/>
      <c r="AO389" s="5" t="s">
        <v>4572</v>
      </c>
      <c r="AP389" s="5" t="s">
        <v>3896</v>
      </c>
      <c r="AQ389" s="49" t="s">
        <v>3897</v>
      </c>
      <c r="AR389" s="20" t="s">
        <v>97</v>
      </c>
      <c r="AS389" s="20" t="s">
        <v>107</v>
      </c>
      <c r="AT389" s="20"/>
      <c r="AU389" s="24">
        <v>0.9</v>
      </c>
      <c r="AV389" s="24">
        <f t="shared" si="82"/>
        <v>0.72000000000000008</v>
      </c>
      <c r="AW389" s="24">
        <f t="shared" si="83"/>
        <v>0.54</v>
      </c>
      <c r="AX389" s="25">
        <v>1E-4</v>
      </c>
      <c r="AY389" s="24">
        <v>0</v>
      </c>
      <c r="AZ389" s="24">
        <f t="shared" si="84"/>
        <v>0.81</v>
      </c>
      <c r="BA389" s="24">
        <f t="shared" si="85"/>
        <v>0.64800000000000013</v>
      </c>
      <c r="BB389" s="24">
        <f t="shared" si="86"/>
        <v>0.48599999999999999</v>
      </c>
      <c r="BC389" s="25">
        <v>1E-4</v>
      </c>
      <c r="BD389" s="24">
        <v>0</v>
      </c>
      <c r="BE389" s="26">
        <v>0</v>
      </c>
      <c r="BF389" s="34">
        <f t="shared" si="87"/>
        <v>0</v>
      </c>
      <c r="BG389" s="34">
        <f t="shared" si="88"/>
        <v>0</v>
      </c>
      <c r="BH389" s="26">
        <v>0</v>
      </c>
      <c r="BI389" s="26">
        <v>0</v>
      </c>
      <c r="BJ389" s="27">
        <v>0.6860803727431567</v>
      </c>
      <c r="BK389" s="19"/>
      <c r="BL389" s="27" t="s">
        <v>4573</v>
      </c>
      <c r="BM389" s="27" t="s">
        <v>4574</v>
      </c>
      <c r="BN389" s="26"/>
      <c r="BO389" s="34"/>
      <c r="BP389" s="34"/>
      <c r="BQ389" s="34"/>
      <c r="BR389" s="34"/>
      <c r="BS389" s="34"/>
      <c r="BT389" s="34"/>
      <c r="BU389" s="34"/>
      <c r="BV389" s="34"/>
      <c r="BW389" s="34"/>
      <c r="BX389" s="34"/>
      <c r="BY389" s="34"/>
      <c r="BZ389" s="34"/>
      <c r="CA389" s="20"/>
      <c r="CB389" s="20"/>
      <c r="CC389" s="29">
        <v>46003</v>
      </c>
      <c r="CD389" s="61" t="s">
        <v>4575</v>
      </c>
    </row>
    <row r="390" spans="1:82" s="18" customFormat="1" ht="66.75" customHeight="1" x14ac:dyDescent="0.25">
      <c r="A390" s="87">
        <v>386</v>
      </c>
      <c r="B390" s="141" t="s">
        <v>4576</v>
      </c>
      <c r="C390" s="6" t="s">
        <v>4577</v>
      </c>
      <c r="D390" s="6" t="s">
        <v>4578</v>
      </c>
      <c r="E390" s="75" t="s">
        <v>113</v>
      </c>
      <c r="F390" s="4" t="s">
        <v>1628</v>
      </c>
      <c r="G390" s="5" t="s">
        <v>84</v>
      </c>
      <c r="H390" s="6" t="s">
        <v>114</v>
      </c>
      <c r="I390" s="6" t="s">
        <v>3863</v>
      </c>
      <c r="J390" s="6" t="s">
        <v>115</v>
      </c>
      <c r="K390" s="6"/>
      <c r="L390" s="6"/>
      <c r="M390" s="6" t="s">
        <v>88</v>
      </c>
      <c r="N390" s="6" t="s">
        <v>89</v>
      </c>
      <c r="O390" s="6" t="s">
        <v>116</v>
      </c>
      <c r="P390" s="6" t="s">
        <v>3903</v>
      </c>
      <c r="Q390" s="6"/>
      <c r="R390" s="82" t="s">
        <v>91</v>
      </c>
      <c r="S390" s="5" t="s">
        <v>92</v>
      </c>
      <c r="T390" s="5" t="s">
        <v>93</v>
      </c>
      <c r="U390" s="91">
        <v>100</v>
      </c>
      <c r="V390" s="5" t="s">
        <v>94</v>
      </c>
      <c r="W390" s="5" t="s">
        <v>95</v>
      </c>
      <c r="X390" s="5">
        <v>2023</v>
      </c>
      <c r="Y390" s="5" t="s">
        <v>117</v>
      </c>
      <c r="Z390" s="5" t="s">
        <v>97</v>
      </c>
      <c r="AA390" s="5" t="s">
        <v>98</v>
      </c>
      <c r="AB390" s="6" t="s">
        <v>99</v>
      </c>
      <c r="AC390" s="79" t="s">
        <v>4579</v>
      </c>
      <c r="AD390" s="79" t="s">
        <v>4494</v>
      </c>
      <c r="AE390" s="49" t="s">
        <v>1952</v>
      </c>
      <c r="AF390" s="49" t="s">
        <v>3868</v>
      </c>
      <c r="AG390" s="49" t="s">
        <v>1042</v>
      </c>
      <c r="AH390" s="49" t="s">
        <v>1042</v>
      </c>
      <c r="AI390" s="49" t="s">
        <v>4580</v>
      </c>
      <c r="AJ390" s="49" t="s">
        <v>4509</v>
      </c>
      <c r="AK390" s="33" t="s">
        <v>97</v>
      </c>
      <c r="AL390" s="33" t="s">
        <v>3882</v>
      </c>
      <c r="AM390" s="82" t="s">
        <v>3883</v>
      </c>
      <c r="AN390" s="5"/>
      <c r="AO390" s="5" t="s">
        <v>4581</v>
      </c>
      <c r="AP390" s="5" t="s">
        <v>4499</v>
      </c>
      <c r="AQ390" s="49" t="s">
        <v>4582</v>
      </c>
      <c r="AR390" s="20" t="s">
        <v>97</v>
      </c>
      <c r="AS390" s="20" t="s">
        <v>107</v>
      </c>
      <c r="AT390" s="20"/>
      <c r="AU390" s="24">
        <v>0.9</v>
      </c>
      <c r="AV390" s="24">
        <f t="shared" si="82"/>
        <v>0.72000000000000008</v>
      </c>
      <c r="AW390" s="24">
        <f t="shared" si="83"/>
        <v>0.54</v>
      </c>
      <c r="AX390" s="25">
        <v>1E-4</v>
      </c>
      <c r="AY390" s="24">
        <v>0</v>
      </c>
      <c r="AZ390" s="24">
        <f t="shared" si="84"/>
        <v>0.81</v>
      </c>
      <c r="BA390" s="24">
        <f t="shared" si="85"/>
        <v>0.64800000000000013</v>
      </c>
      <c r="BB390" s="24">
        <f t="shared" si="86"/>
        <v>0.48599999999999999</v>
      </c>
      <c r="BC390" s="25">
        <v>1E-4</v>
      </c>
      <c r="BD390" s="24">
        <v>0</v>
      </c>
      <c r="BE390" s="26">
        <v>0</v>
      </c>
      <c r="BF390" s="34">
        <f t="shared" si="87"/>
        <v>0</v>
      </c>
      <c r="BG390" s="34">
        <f t="shared" si="88"/>
        <v>0</v>
      </c>
      <c r="BH390" s="26">
        <v>0</v>
      </c>
      <c r="BI390" s="26">
        <v>0</v>
      </c>
      <c r="BJ390" s="27">
        <v>0.62620772946859904</v>
      </c>
      <c r="BK390" s="19"/>
      <c r="BL390" s="27" t="s">
        <v>4583</v>
      </c>
      <c r="BM390" s="27" t="s">
        <v>4584</v>
      </c>
      <c r="BN390" s="26"/>
      <c r="BO390" s="34"/>
      <c r="BP390" s="34"/>
      <c r="BQ390" s="34"/>
      <c r="BR390" s="34"/>
      <c r="BS390" s="34"/>
      <c r="BT390" s="34"/>
      <c r="BU390" s="34"/>
      <c r="BV390" s="34"/>
      <c r="BW390" s="34"/>
      <c r="BX390" s="34"/>
      <c r="BY390" s="34"/>
      <c r="BZ390" s="34"/>
      <c r="CA390" s="20"/>
      <c r="CB390" s="20"/>
      <c r="CC390" s="29">
        <v>46003</v>
      </c>
      <c r="CD390" s="61" t="s">
        <v>4585</v>
      </c>
    </row>
    <row r="391" spans="1:82" s="18" customFormat="1" ht="66.75" customHeight="1" x14ac:dyDescent="0.25">
      <c r="A391" s="121">
        <v>387</v>
      </c>
      <c r="B391" s="141" t="s">
        <v>4586</v>
      </c>
      <c r="C391" s="6" t="s">
        <v>4587</v>
      </c>
      <c r="D391" s="6" t="s">
        <v>4588</v>
      </c>
      <c r="E391" s="75" t="s">
        <v>113</v>
      </c>
      <c r="F391" s="4" t="s">
        <v>1628</v>
      </c>
      <c r="G391" s="5" t="s">
        <v>84</v>
      </c>
      <c r="H391" s="6" t="s">
        <v>775</v>
      </c>
      <c r="I391" s="6" t="s">
        <v>2247</v>
      </c>
      <c r="J391" s="6"/>
      <c r="K391" s="6"/>
      <c r="L391" s="6"/>
      <c r="M391" s="6" t="s">
        <v>88</v>
      </c>
      <c r="N391" s="6" t="s">
        <v>245</v>
      </c>
      <c r="O391" s="6" t="s">
        <v>246</v>
      </c>
      <c r="P391" s="6" t="s">
        <v>4589</v>
      </c>
      <c r="Q391" s="6"/>
      <c r="R391" s="6" t="s">
        <v>175</v>
      </c>
      <c r="S391" s="5" t="s">
        <v>92</v>
      </c>
      <c r="T391" s="6" t="s">
        <v>93</v>
      </c>
      <c r="U391" s="91">
        <v>100</v>
      </c>
      <c r="V391" s="5" t="s">
        <v>94</v>
      </c>
      <c r="W391" s="6" t="s">
        <v>95</v>
      </c>
      <c r="X391" s="5">
        <v>2025</v>
      </c>
      <c r="Y391" s="5" t="s">
        <v>117</v>
      </c>
      <c r="Z391" s="6" t="s">
        <v>97</v>
      </c>
      <c r="AA391" s="6" t="s">
        <v>98</v>
      </c>
      <c r="AB391" s="6" t="s">
        <v>99</v>
      </c>
      <c r="AC391" s="79" t="s">
        <v>4590</v>
      </c>
      <c r="AD391" s="79" t="s">
        <v>4591</v>
      </c>
      <c r="AE391" s="49" t="s">
        <v>4592</v>
      </c>
      <c r="AF391" s="49" t="s">
        <v>4593</v>
      </c>
      <c r="AG391" s="49" t="s">
        <v>1042</v>
      </c>
      <c r="AH391" s="49" t="s">
        <v>1042</v>
      </c>
      <c r="AI391" s="49" t="s">
        <v>4594</v>
      </c>
      <c r="AJ391" s="49" t="s">
        <v>4593</v>
      </c>
      <c r="AK391" s="49" t="s">
        <v>97</v>
      </c>
      <c r="AL391" s="6" t="s">
        <v>1635</v>
      </c>
      <c r="AM391" s="6"/>
      <c r="AN391" s="6" t="s">
        <v>4595</v>
      </c>
      <c r="AO391" s="6" t="s">
        <v>4122</v>
      </c>
      <c r="AP391" s="6"/>
      <c r="AQ391" s="75" t="s">
        <v>4405</v>
      </c>
      <c r="AR391" s="20" t="s">
        <v>97</v>
      </c>
      <c r="AS391" s="20" t="s">
        <v>107</v>
      </c>
      <c r="AT391" s="21"/>
      <c r="AU391" s="59">
        <v>0.9</v>
      </c>
      <c r="AV391" s="24">
        <f t="shared" si="82"/>
        <v>0.72000000000000008</v>
      </c>
      <c r="AW391" s="24">
        <f t="shared" si="83"/>
        <v>0.54</v>
      </c>
      <c r="AX391" s="25">
        <v>1E-4</v>
      </c>
      <c r="AY391" s="24">
        <v>0</v>
      </c>
      <c r="AZ391" s="24">
        <f t="shared" si="84"/>
        <v>0.81</v>
      </c>
      <c r="BA391" s="24">
        <f t="shared" si="85"/>
        <v>0.64800000000000013</v>
      </c>
      <c r="BB391" s="24">
        <f t="shared" si="86"/>
        <v>0.48599999999999999</v>
      </c>
      <c r="BC391" s="25">
        <v>1E-4</v>
      </c>
      <c r="BD391" s="24">
        <v>0</v>
      </c>
      <c r="BE391" s="26">
        <v>0</v>
      </c>
      <c r="BF391" s="34">
        <f t="shared" si="87"/>
        <v>0</v>
      </c>
      <c r="BG391" s="34">
        <f t="shared" si="88"/>
        <v>0</v>
      </c>
      <c r="BH391" s="26">
        <v>0</v>
      </c>
      <c r="BI391" s="26">
        <v>0</v>
      </c>
      <c r="BJ391" s="21"/>
      <c r="BK391" s="21"/>
      <c r="BL391" s="27"/>
      <c r="BM391" s="27" t="s">
        <v>1176</v>
      </c>
      <c r="BN391" s="26"/>
      <c r="BO391" s="34"/>
      <c r="BP391" s="34"/>
      <c r="BQ391" s="34"/>
      <c r="BR391" s="34"/>
      <c r="BS391" s="34"/>
      <c r="BT391" s="34"/>
      <c r="BU391" s="34"/>
      <c r="BV391" s="34"/>
      <c r="BW391" s="34"/>
      <c r="BX391" s="34"/>
      <c r="BY391" s="34"/>
      <c r="BZ391" s="34"/>
      <c r="CA391" s="20"/>
      <c r="CB391" s="21"/>
      <c r="CC391" s="29">
        <v>46003</v>
      </c>
      <c r="CD391" s="35" t="s">
        <v>4596</v>
      </c>
    </row>
    <row r="392" spans="1:82" s="18" customFormat="1" ht="191.25" x14ac:dyDescent="0.25">
      <c r="A392" s="87">
        <v>388</v>
      </c>
      <c r="B392" s="141" t="s">
        <v>4597</v>
      </c>
      <c r="C392" s="6" t="s">
        <v>4598</v>
      </c>
      <c r="D392" s="6" t="s">
        <v>4599</v>
      </c>
      <c r="E392" s="75" t="s">
        <v>113</v>
      </c>
      <c r="F392" s="4" t="s">
        <v>1628</v>
      </c>
      <c r="G392" s="5" t="s">
        <v>84</v>
      </c>
      <c r="H392" s="6" t="s">
        <v>775</v>
      </c>
      <c r="I392" s="6" t="s">
        <v>2247</v>
      </c>
      <c r="J392" s="6"/>
      <c r="K392" s="6"/>
      <c r="L392" s="6"/>
      <c r="M392" s="6" t="s">
        <v>88</v>
      </c>
      <c r="N392" s="6" t="s">
        <v>245</v>
      </c>
      <c r="O392" s="6" t="s">
        <v>246</v>
      </c>
      <c r="P392" s="6" t="s">
        <v>4600</v>
      </c>
      <c r="Q392" s="6"/>
      <c r="R392" s="6" t="s">
        <v>175</v>
      </c>
      <c r="S392" s="5" t="s">
        <v>92</v>
      </c>
      <c r="T392" s="6" t="s">
        <v>93</v>
      </c>
      <c r="U392" s="91">
        <v>100</v>
      </c>
      <c r="V392" s="5" t="s">
        <v>94</v>
      </c>
      <c r="W392" s="6" t="s">
        <v>95</v>
      </c>
      <c r="X392" s="5">
        <v>2025</v>
      </c>
      <c r="Y392" s="5" t="s">
        <v>117</v>
      </c>
      <c r="Z392" s="6" t="s">
        <v>97</v>
      </c>
      <c r="AA392" s="6" t="s">
        <v>98</v>
      </c>
      <c r="AB392" s="6" t="s">
        <v>99</v>
      </c>
      <c r="AC392" s="79" t="s">
        <v>4601</v>
      </c>
      <c r="AD392" s="79" t="s">
        <v>4591</v>
      </c>
      <c r="AE392" s="49" t="s">
        <v>4602</v>
      </c>
      <c r="AF392" s="49" t="s">
        <v>4591</v>
      </c>
      <c r="AG392" s="49" t="s">
        <v>1042</v>
      </c>
      <c r="AH392" s="49" t="s">
        <v>1042</v>
      </c>
      <c r="AI392" s="49" t="s">
        <v>4603</v>
      </c>
      <c r="AJ392" s="49" t="s">
        <v>4593</v>
      </c>
      <c r="AK392" s="49" t="s">
        <v>97</v>
      </c>
      <c r="AL392" s="6" t="s">
        <v>1635</v>
      </c>
      <c r="AM392" s="6"/>
      <c r="AN392" s="6" t="s">
        <v>4604</v>
      </c>
      <c r="AO392" s="6" t="s">
        <v>4605</v>
      </c>
      <c r="AP392" s="6" t="s">
        <v>4606</v>
      </c>
      <c r="AQ392" s="75" t="s">
        <v>4405</v>
      </c>
      <c r="AR392" s="20" t="s">
        <v>97</v>
      </c>
      <c r="AS392" s="20" t="s">
        <v>107</v>
      </c>
      <c r="AT392" s="21"/>
      <c r="AU392" s="59">
        <v>0.9</v>
      </c>
      <c r="AV392" s="24">
        <f t="shared" si="82"/>
        <v>0.72000000000000008</v>
      </c>
      <c r="AW392" s="24">
        <f t="shared" si="83"/>
        <v>0.54</v>
      </c>
      <c r="AX392" s="25">
        <v>1E-4</v>
      </c>
      <c r="AY392" s="24">
        <v>0</v>
      </c>
      <c r="AZ392" s="24">
        <f t="shared" si="84"/>
        <v>0.81</v>
      </c>
      <c r="BA392" s="24">
        <f t="shared" si="85"/>
        <v>0.64800000000000013</v>
      </c>
      <c r="BB392" s="24">
        <f t="shared" si="86"/>
        <v>0.48599999999999999</v>
      </c>
      <c r="BC392" s="25">
        <v>1E-4</v>
      </c>
      <c r="BD392" s="24">
        <v>0</v>
      </c>
      <c r="BE392" s="26">
        <v>0</v>
      </c>
      <c r="BF392" s="34">
        <f t="shared" si="87"/>
        <v>0</v>
      </c>
      <c r="BG392" s="34">
        <f t="shared" si="88"/>
        <v>0</v>
      </c>
      <c r="BH392" s="26">
        <v>0</v>
      </c>
      <c r="BI392" s="26">
        <v>0</v>
      </c>
      <c r="BJ392" s="21"/>
      <c r="BK392" s="21"/>
      <c r="BL392" s="27"/>
      <c r="BM392" s="27" t="s">
        <v>4607</v>
      </c>
      <c r="BN392" s="26"/>
      <c r="BO392" s="34"/>
      <c r="BP392" s="34"/>
      <c r="BQ392" s="34"/>
      <c r="BR392" s="34"/>
      <c r="BS392" s="34"/>
      <c r="BT392" s="34"/>
      <c r="BU392" s="34"/>
      <c r="BV392" s="34"/>
      <c r="BW392" s="34"/>
      <c r="BX392" s="34"/>
      <c r="BY392" s="34"/>
      <c r="BZ392" s="34"/>
      <c r="CA392" s="20"/>
      <c r="CB392" s="21"/>
      <c r="CC392" s="29">
        <v>46003</v>
      </c>
      <c r="CD392" s="35" t="s">
        <v>3936</v>
      </c>
    </row>
    <row r="393" spans="1:82" s="18" customFormat="1" ht="66.75" customHeight="1" x14ac:dyDescent="0.25">
      <c r="A393" s="87">
        <v>389</v>
      </c>
      <c r="B393" s="141" t="s">
        <v>4608</v>
      </c>
      <c r="C393" s="6" t="s">
        <v>4609</v>
      </c>
      <c r="D393" s="6" t="s">
        <v>4610</v>
      </c>
      <c r="E393" s="75" t="s">
        <v>113</v>
      </c>
      <c r="F393" s="4" t="s">
        <v>1628</v>
      </c>
      <c r="G393" s="5" t="s">
        <v>84</v>
      </c>
      <c r="H393" s="6" t="s">
        <v>775</v>
      </c>
      <c r="I393" s="6" t="s">
        <v>2247</v>
      </c>
      <c r="J393" s="6"/>
      <c r="K393" s="6"/>
      <c r="L393" s="6"/>
      <c r="M393" s="6" t="s">
        <v>88</v>
      </c>
      <c r="N393" s="6" t="s">
        <v>245</v>
      </c>
      <c r="O393" s="6" t="s">
        <v>246</v>
      </c>
      <c r="P393" s="6" t="s">
        <v>4611</v>
      </c>
      <c r="Q393" s="6"/>
      <c r="R393" s="6" t="s">
        <v>175</v>
      </c>
      <c r="S393" s="5" t="s">
        <v>92</v>
      </c>
      <c r="T393" s="6" t="s">
        <v>93</v>
      </c>
      <c r="U393" s="91">
        <v>100</v>
      </c>
      <c r="V393" s="5" t="s">
        <v>94</v>
      </c>
      <c r="W393" s="6" t="s">
        <v>95</v>
      </c>
      <c r="X393" s="5">
        <v>2025</v>
      </c>
      <c r="Y393" s="5" t="s">
        <v>117</v>
      </c>
      <c r="Z393" s="6" t="s">
        <v>97</v>
      </c>
      <c r="AA393" s="5" t="s">
        <v>973</v>
      </c>
      <c r="AB393" s="6" t="s">
        <v>99</v>
      </c>
      <c r="AC393" s="79" t="s">
        <v>4612</v>
      </c>
      <c r="AD393" s="79" t="s">
        <v>4613</v>
      </c>
      <c r="AE393" s="49" t="s">
        <v>4614</v>
      </c>
      <c r="AF393" s="49" t="s">
        <v>4613</v>
      </c>
      <c r="AG393" s="49" t="s">
        <v>1042</v>
      </c>
      <c r="AH393" s="49" t="s">
        <v>1042</v>
      </c>
      <c r="AI393" s="49" t="s">
        <v>4615</v>
      </c>
      <c r="AJ393" s="49" t="s">
        <v>4616</v>
      </c>
      <c r="AK393" s="49" t="s">
        <v>97</v>
      </c>
      <c r="AL393" s="49" t="s">
        <v>4617</v>
      </c>
      <c r="AM393" s="6"/>
      <c r="AN393" s="6" t="s">
        <v>4618</v>
      </c>
      <c r="AO393" s="6" t="s">
        <v>4619</v>
      </c>
      <c r="AP393" s="6" t="s">
        <v>4620</v>
      </c>
      <c r="AQ393" s="75" t="s">
        <v>4405</v>
      </c>
      <c r="AR393" s="20" t="s">
        <v>97</v>
      </c>
      <c r="AS393" s="20" t="s">
        <v>107</v>
      </c>
      <c r="AT393" s="21"/>
      <c r="AU393" s="59">
        <v>0.9</v>
      </c>
      <c r="AV393" s="24">
        <f t="shared" si="82"/>
        <v>0.72000000000000008</v>
      </c>
      <c r="AW393" s="24">
        <f t="shared" si="83"/>
        <v>0.54</v>
      </c>
      <c r="AX393" s="25">
        <v>1E-4</v>
      </c>
      <c r="AY393" s="24">
        <v>0</v>
      </c>
      <c r="AZ393" s="24">
        <f t="shared" si="84"/>
        <v>0.81</v>
      </c>
      <c r="BA393" s="24">
        <f t="shared" si="85"/>
        <v>0.64800000000000013</v>
      </c>
      <c r="BB393" s="24">
        <f t="shared" si="86"/>
        <v>0.48599999999999999</v>
      </c>
      <c r="BC393" s="25">
        <v>1E-4</v>
      </c>
      <c r="BD393" s="24">
        <v>0</v>
      </c>
      <c r="BE393" s="26">
        <v>0</v>
      </c>
      <c r="BF393" s="34">
        <f t="shared" si="87"/>
        <v>0</v>
      </c>
      <c r="BG393" s="34">
        <f t="shared" si="88"/>
        <v>0</v>
      </c>
      <c r="BH393" s="26">
        <v>0</v>
      </c>
      <c r="BI393" s="26">
        <v>0</v>
      </c>
      <c r="BJ393" s="21"/>
      <c r="BK393" s="21"/>
      <c r="BL393" s="27"/>
      <c r="BM393" s="27" t="s">
        <v>4621</v>
      </c>
      <c r="BN393" s="26"/>
      <c r="BO393" s="34"/>
      <c r="BP393" s="34"/>
      <c r="BQ393" s="34"/>
      <c r="BR393" s="34"/>
      <c r="BS393" s="34"/>
      <c r="BT393" s="34"/>
      <c r="BU393" s="34"/>
      <c r="BV393" s="34"/>
      <c r="BW393" s="34"/>
      <c r="BX393" s="34"/>
      <c r="BY393" s="34"/>
      <c r="BZ393" s="34"/>
      <c r="CA393" s="20"/>
      <c r="CB393" s="21"/>
      <c r="CC393" s="29">
        <v>46003</v>
      </c>
      <c r="CD393" s="35" t="s">
        <v>3936</v>
      </c>
    </row>
    <row r="394" spans="1:82" s="18" customFormat="1" ht="66.75" customHeight="1" x14ac:dyDescent="0.25">
      <c r="A394" s="121">
        <v>390</v>
      </c>
      <c r="B394" s="141" t="s">
        <v>4622</v>
      </c>
      <c r="C394" s="6" t="s">
        <v>4623</v>
      </c>
      <c r="D394" s="6" t="s">
        <v>4624</v>
      </c>
      <c r="E394" s="75" t="s">
        <v>113</v>
      </c>
      <c r="F394" s="4" t="s">
        <v>1628</v>
      </c>
      <c r="G394" s="5" t="s">
        <v>84</v>
      </c>
      <c r="H394" s="6" t="s">
        <v>775</v>
      </c>
      <c r="I394" s="6" t="s">
        <v>2247</v>
      </c>
      <c r="J394" s="6"/>
      <c r="K394" s="6"/>
      <c r="L394" s="6"/>
      <c r="M394" s="6" t="s">
        <v>88</v>
      </c>
      <c r="N394" s="6" t="s">
        <v>89</v>
      </c>
      <c r="O394" s="6" t="s">
        <v>116</v>
      </c>
      <c r="P394" s="6" t="s">
        <v>115</v>
      </c>
      <c r="Q394" s="6"/>
      <c r="R394" s="82" t="s">
        <v>91</v>
      </c>
      <c r="S394" s="5" t="s">
        <v>92</v>
      </c>
      <c r="T394" s="6" t="s">
        <v>93</v>
      </c>
      <c r="U394" s="91">
        <v>100</v>
      </c>
      <c r="V394" s="5" t="s">
        <v>94</v>
      </c>
      <c r="W394" s="6" t="s">
        <v>95</v>
      </c>
      <c r="X394" s="5">
        <v>2025</v>
      </c>
      <c r="Y394" s="5" t="s">
        <v>117</v>
      </c>
      <c r="Z394" s="6" t="s">
        <v>97</v>
      </c>
      <c r="AA394" s="6" t="s">
        <v>98</v>
      </c>
      <c r="AB394" s="6" t="s">
        <v>99</v>
      </c>
      <c r="AC394" s="79" t="s">
        <v>4625</v>
      </c>
      <c r="AD394" s="79" t="s">
        <v>4626</v>
      </c>
      <c r="AE394" s="49" t="s">
        <v>4627</v>
      </c>
      <c r="AF394" s="49" t="s">
        <v>4401</v>
      </c>
      <c r="AG394" s="49" t="s">
        <v>218</v>
      </c>
      <c r="AH394" s="49" t="s">
        <v>218</v>
      </c>
      <c r="AI394" s="49" t="s">
        <v>4340</v>
      </c>
      <c r="AJ394" s="49" t="s">
        <v>4628</v>
      </c>
      <c r="AK394" s="49" t="s">
        <v>97</v>
      </c>
      <c r="AL394" s="49" t="s">
        <v>97</v>
      </c>
      <c r="AM394" s="6"/>
      <c r="AN394" s="6" t="s">
        <v>4629</v>
      </c>
      <c r="AO394" s="6" t="s">
        <v>4122</v>
      </c>
      <c r="AP394" s="6"/>
      <c r="AQ394" s="75" t="s">
        <v>4405</v>
      </c>
      <c r="AR394" s="20" t="s">
        <v>97</v>
      </c>
      <c r="AS394" s="20" t="s">
        <v>107</v>
      </c>
      <c r="AT394" s="21"/>
      <c r="AU394" s="24">
        <v>0.4</v>
      </c>
      <c r="AV394" s="24">
        <f t="shared" si="82"/>
        <v>0.32000000000000006</v>
      </c>
      <c r="AW394" s="24">
        <f t="shared" si="83"/>
        <v>0.24</v>
      </c>
      <c r="AX394" s="25">
        <v>1E-4</v>
      </c>
      <c r="AY394" s="24">
        <v>0</v>
      </c>
      <c r="AZ394" s="24">
        <f t="shared" si="84"/>
        <v>0.36000000000000004</v>
      </c>
      <c r="BA394" s="24">
        <f t="shared" si="85"/>
        <v>0.28800000000000003</v>
      </c>
      <c r="BB394" s="24">
        <f t="shared" si="86"/>
        <v>0.21600000000000003</v>
      </c>
      <c r="BC394" s="25">
        <v>1E-4</v>
      </c>
      <c r="BD394" s="24">
        <v>0</v>
      </c>
      <c r="BE394" s="26">
        <v>0</v>
      </c>
      <c r="BF394" s="34">
        <f t="shared" si="87"/>
        <v>0</v>
      </c>
      <c r="BG394" s="34">
        <f t="shared" si="88"/>
        <v>0</v>
      </c>
      <c r="BH394" s="26">
        <v>0</v>
      </c>
      <c r="BI394" s="26">
        <v>0</v>
      </c>
      <c r="BJ394" s="21"/>
      <c r="BK394" s="21"/>
      <c r="BL394" s="27"/>
      <c r="BM394" s="27" t="s">
        <v>561</v>
      </c>
      <c r="BN394" s="26"/>
      <c r="BO394" s="34"/>
      <c r="BP394" s="34"/>
      <c r="BQ394" s="34"/>
      <c r="BR394" s="34"/>
      <c r="BS394" s="34"/>
      <c r="BT394" s="34"/>
      <c r="BU394" s="34"/>
      <c r="BV394" s="34"/>
      <c r="BW394" s="34"/>
      <c r="BX394" s="34"/>
      <c r="BY394" s="34"/>
      <c r="BZ394" s="34"/>
      <c r="CA394" s="20"/>
      <c r="CB394" s="21"/>
      <c r="CC394" s="29">
        <v>46003</v>
      </c>
      <c r="CD394" s="35" t="s">
        <v>3936</v>
      </c>
    </row>
    <row r="395" spans="1:82" s="18" customFormat="1" ht="66.75" customHeight="1" x14ac:dyDescent="0.25">
      <c r="A395" s="87">
        <v>391</v>
      </c>
      <c r="B395" s="141" t="s">
        <v>4630</v>
      </c>
      <c r="C395" s="6" t="s">
        <v>4631</v>
      </c>
      <c r="D395" s="6" t="s">
        <v>4632</v>
      </c>
      <c r="E395" s="75" t="s">
        <v>113</v>
      </c>
      <c r="F395" s="4" t="s">
        <v>1628</v>
      </c>
      <c r="G395" s="5" t="s">
        <v>84</v>
      </c>
      <c r="H395" s="6" t="s">
        <v>775</v>
      </c>
      <c r="I395" s="6" t="s">
        <v>2247</v>
      </c>
      <c r="J395" s="6"/>
      <c r="K395" s="6"/>
      <c r="L395" s="6"/>
      <c r="M395" s="6" t="s">
        <v>88</v>
      </c>
      <c r="N395" s="6" t="s">
        <v>89</v>
      </c>
      <c r="O395" s="6" t="s">
        <v>116</v>
      </c>
      <c r="P395" s="6" t="s">
        <v>115</v>
      </c>
      <c r="Q395" s="6"/>
      <c r="R395" s="82" t="s">
        <v>91</v>
      </c>
      <c r="S395" s="5" t="s">
        <v>92</v>
      </c>
      <c r="T395" s="6" t="s">
        <v>93</v>
      </c>
      <c r="U395" s="91">
        <v>100</v>
      </c>
      <c r="V395" s="5" t="s">
        <v>94</v>
      </c>
      <c r="W395" s="6" t="s">
        <v>95</v>
      </c>
      <c r="X395" s="5">
        <v>2025</v>
      </c>
      <c r="Y395" s="5" t="s">
        <v>117</v>
      </c>
      <c r="Z395" s="6" t="s">
        <v>97</v>
      </c>
      <c r="AA395" s="6" t="s">
        <v>98</v>
      </c>
      <c r="AB395" s="6" t="s">
        <v>99</v>
      </c>
      <c r="AC395" s="79" t="s">
        <v>4633</v>
      </c>
      <c r="AD395" s="79" t="s">
        <v>4634</v>
      </c>
      <c r="AE395" s="49" t="s">
        <v>4627</v>
      </c>
      <c r="AF395" s="49" t="s">
        <v>4424</v>
      </c>
      <c r="AG395" s="49" t="s">
        <v>218</v>
      </c>
      <c r="AH395" s="49" t="s">
        <v>218</v>
      </c>
      <c r="AI395" s="49" t="s">
        <v>4340</v>
      </c>
      <c r="AJ395" s="49" t="s">
        <v>4635</v>
      </c>
      <c r="AK395" s="49" t="s">
        <v>97</v>
      </c>
      <c r="AL395" s="49" t="s">
        <v>97</v>
      </c>
      <c r="AM395" s="6"/>
      <c r="AN395" s="6" t="s">
        <v>4629</v>
      </c>
      <c r="AO395" s="6" t="s">
        <v>4122</v>
      </c>
      <c r="AP395" s="6"/>
      <c r="AQ395" s="75" t="s">
        <v>4405</v>
      </c>
      <c r="AR395" s="20" t="s">
        <v>97</v>
      </c>
      <c r="AS395" s="20" t="s">
        <v>107</v>
      </c>
      <c r="AT395" s="21"/>
      <c r="AU395" s="24">
        <v>0.4</v>
      </c>
      <c r="AV395" s="24">
        <f t="shared" si="82"/>
        <v>0.32000000000000006</v>
      </c>
      <c r="AW395" s="24">
        <f t="shared" si="83"/>
        <v>0.24</v>
      </c>
      <c r="AX395" s="25">
        <v>1E-4</v>
      </c>
      <c r="AY395" s="24">
        <v>0</v>
      </c>
      <c r="AZ395" s="24">
        <f t="shared" si="84"/>
        <v>0.36000000000000004</v>
      </c>
      <c r="BA395" s="24">
        <f t="shared" si="85"/>
        <v>0.28800000000000003</v>
      </c>
      <c r="BB395" s="24">
        <f t="shared" si="86"/>
        <v>0.21600000000000003</v>
      </c>
      <c r="BC395" s="25">
        <v>1E-4</v>
      </c>
      <c r="BD395" s="24">
        <v>0</v>
      </c>
      <c r="BE395" s="26">
        <v>0</v>
      </c>
      <c r="BF395" s="34">
        <f t="shared" si="87"/>
        <v>0</v>
      </c>
      <c r="BG395" s="34">
        <f t="shared" si="88"/>
        <v>0</v>
      </c>
      <c r="BH395" s="26">
        <v>0</v>
      </c>
      <c r="BI395" s="26">
        <v>0</v>
      </c>
      <c r="BJ395" s="21"/>
      <c r="BK395" s="21"/>
      <c r="BL395" s="27"/>
      <c r="BM395" s="27" t="s">
        <v>3885</v>
      </c>
      <c r="BN395" s="26"/>
      <c r="BO395" s="34"/>
      <c r="BP395" s="34"/>
      <c r="BQ395" s="34"/>
      <c r="BR395" s="34"/>
      <c r="BS395" s="34"/>
      <c r="BT395" s="34"/>
      <c r="BU395" s="34"/>
      <c r="BV395" s="34"/>
      <c r="BW395" s="34"/>
      <c r="BX395" s="34"/>
      <c r="BY395" s="34"/>
      <c r="BZ395" s="34"/>
      <c r="CA395" s="20"/>
      <c r="CB395" s="21"/>
      <c r="CC395" s="29">
        <v>46003</v>
      </c>
      <c r="CD395" s="35" t="s">
        <v>3936</v>
      </c>
    </row>
    <row r="396" spans="1:82" s="64" customFormat="1" ht="66.75" customHeight="1" x14ac:dyDescent="0.25">
      <c r="A396" s="87">
        <v>392</v>
      </c>
      <c r="B396" s="141" t="s">
        <v>4636</v>
      </c>
      <c r="C396" s="6" t="s">
        <v>4637</v>
      </c>
      <c r="D396" s="6" t="s">
        <v>4638</v>
      </c>
      <c r="E396" s="75" t="s">
        <v>113</v>
      </c>
      <c r="F396" s="4" t="s">
        <v>1628</v>
      </c>
      <c r="G396" s="5" t="s">
        <v>84</v>
      </c>
      <c r="H396" s="6" t="s">
        <v>775</v>
      </c>
      <c r="I396" s="6" t="s">
        <v>2247</v>
      </c>
      <c r="J396" s="6"/>
      <c r="K396" s="6"/>
      <c r="L396" s="6"/>
      <c r="M396" s="6" t="s">
        <v>88</v>
      </c>
      <c r="N396" s="6" t="s">
        <v>89</v>
      </c>
      <c r="O396" s="6" t="s">
        <v>116</v>
      </c>
      <c r="P396" s="6" t="s">
        <v>115</v>
      </c>
      <c r="Q396" s="6"/>
      <c r="R396" s="82" t="s">
        <v>91</v>
      </c>
      <c r="S396" s="5" t="s">
        <v>92</v>
      </c>
      <c r="T396" s="6" t="s">
        <v>93</v>
      </c>
      <c r="U396" s="91">
        <v>100</v>
      </c>
      <c r="V396" s="5" t="s">
        <v>94</v>
      </c>
      <c r="W396" s="6" t="s">
        <v>95</v>
      </c>
      <c r="X396" s="5">
        <v>2025</v>
      </c>
      <c r="Y396" s="5" t="s">
        <v>117</v>
      </c>
      <c r="Z396" s="6" t="s">
        <v>97</v>
      </c>
      <c r="AA396" s="6" t="s">
        <v>98</v>
      </c>
      <c r="AB396" s="6" t="s">
        <v>99</v>
      </c>
      <c r="AC396" s="79" t="s">
        <v>4639</v>
      </c>
      <c r="AD396" s="79" t="s">
        <v>4640</v>
      </c>
      <c r="AE396" s="49" t="s">
        <v>4627</v>
      </c>
      <c r="AF396" s="49" t="s">
        <v>4450</v>
      </c>
      <c r="AG396" s="49" t="s">
        <v>218</v>
      </c>
      <c r="AH396" s="49" t="s">
        <v>218</v>
      </c>
      <c r="AI396" s="49" t="s">
        <v>4340</v>
      </c>
      <c r="AJ396" s="49" t="s">
        <v>4641</v>
      </c>
      <c r="AK396" s="49" t="s">
        <v>97</v>
      </c>
      <c r="AL396" s="49" t="s">
        <v>97</v>
      </c>
      <c r="AM396" s="6"/>
      <c r="AN396" s="6" t="s">
        <v>4629</v>
      </c>
      <c r="AO396" s="6" t="s">
        <v>4122</v>
      </c>
      <c r="AP396" s="6"/>
      <c r="AQ396" s="49" t="s">
        <v>4642</v>
      </c>
      <c r="AR396" s="20" t="s">
        <v>97</v>
      </c>
      <c r="AS396" s="20" t="s">
        <v>107</v>
      </c>
      <c r="AT396" s="21"/>
      <c r="AU396" s="24">
        <v>0.4</v>
      </c>
      <c r="AV396" s="24">
        <f t="shared" si="82"/>
        <v>0.32000000000000006</v>
      </c>
      <c r="AW396" s="24">
        <f t="shared" si="83"/>
        <v>0.24</v>
      </c>
      <c r="AX396" s="25">
        <v>1E-4</v>
      </c>
      <c r="AY396" s="24">
        <v>0</v>
      </c>
      <c r="AZ396" s="24">
        <f t="shared" si="84"/>
        <v>0.36000000000000004</v>
      </c>
      <c r="BA396" s="24">
        <f t="shared" si="85"/>
        <v>0.28800000000000003</v>
      </c>
      <c r="BB396" s="24">
        <f t="shared" si="86"/>
        <v>0.21600000000000003</v>
      </c>
      <c r="BC396" s="25">
        <v>1E-4</v>
      </c>
      <c r="BD396" s="24">
        <v>0</v>
      </c>
      <c r="BE396" s="26">
        <v>0</v>
      </c>
      <c r="BF396" s="34">
        <f t="shared" si="87"/>
        <v>0</v>
      </c>
      <c r="BG396" s="34">
        <f t="shared" si="88"/>
        <v>0</v>
      </c>
      <c r="BH396" s="26">
        <v>0</v>
      </c>
      <c r="BI396" s="26">
        <v>0</v>
      </c>
      <c r="BJ396" s="21"/>
      <c r="BK396" s="21"/>
      <c r="BL396" s="27"/>
      <c r="BM396" s="27" t="s">
        <v>4643</v>
      </c>
      <c r="BN396" s="26"/>
      <c r="BO396" s="34"/>
      <c r="BP396" s="34"/>
      <c r="BQ396" s="34"/>
      <c r="BR396" s="34"/>
      <c r="BS396" s="34"/>
      <c r="BT396" s="34"/>
      <c r="BU396" s="34"/>
      <c r="BV396" s="34"/>
      <c r="BW396" s="34"/>
      <c r="BX396" s="34"/>
      <c r="BY396" s="34"/>
      <c r="BZ396" s="34"/>
      <c r="CA396" s="20"/>
      <c r="CB396" s="21"/>
      <c r="CC396" s="29">
        <v>46003</v>
      </c>
      <c r="CD396" s="35" t="s">
        <v>3936</v>
      </c>
    </row>
    <row r="397" spans="1:82" s="18" customFormat="1" ht="66.75" customHeight="1" x14ac:dyDescent="0.25">
      <c r="A397" s="121">
        <v>393</v>
      </c>
      <c r="B397" s="142" t="s">
        <v>4644</v>
      </c>
      <c r="C397" s="11" t="s">
        <v>4645</v>
      </c>
      <c r="D397" s="2" t="s">
        <v>4646</v>
      </c>
      <c r="E397" s="75" t="s">
        <v>113</v>
      </c>
      <c r="F397" s="12" t="s">
        <v>1628</v>
      </c>
      <c r="G397" s="7" t="s">
        <v>84</v>
      </c>
      <c r="H397" s="2" t="s">
        <v>775</v>
      </c>
      <c r="I397" s="2" t="s">
        <v>2247</v>
      </c>
      <c r="J397" s="2"/>
      <c r="K397" s="2"/>
      <c r="L397" s="2"/>
      <c r="M397" s="2" t="s">
        <v>88</v>
      </c>
      <c r="N397" s="2" t="s">
        <v>89</v>
      </c>
      <c r="O397" s="2" t="s">
        <v>246</v>
      </c>
      <c r="P397" s="2" t="s">
        <v>4370</v>
      </c>
      <c r="Q397" s="2"/>
      <c r="R397" s="2" t="s">
        <v>4370</v>
      </c>
      <c r="S397" s="5" t="s">
        <v>92</v>
      </c>
      <c r="T397" s="11" t="s">
        <v>2587</v>
      </c>
      <c r="U397" s="181">
        <v>1000</v>
      </c>
      <c r="V397" s="7" t="s">
        <v>94</v>
      </c>
      <c r="W397" s="11" t="s">
        <v>95</v>
      </c>
      <c r="X397" s="7">
        <v>2025</v>
      </c>
      <c r="Y397" s="5" t="s">
        <v>117</v>
      </c>
      <c r="Z397" s="2" t="s">
        <v>97</v>
      </c>
      <c r="AA397" s="2" t="s">
        <v>98</v>
      </c>
      <c r="AB397" s="2" t="s">
        <v>99</v>
      </c>
      <c r="AC397" s="31" t="s">
        <v>4647</v>
      </c>
      <c r="AD397" s="31" t="s">
        <v>4118</v>
      </c>
      <c r="AE397" s="19" t="s">
        <v>4648</v>
      </c>
      <c r="AF397" s="19" t="s">
        <v>121</v>
      </c>
      <c r="AG397" s="21" t="s">
        <v>4649</v>
      </c>
      <c r="AH397" s="19" t="s">
        <v>178</v>
      </c>
      <c r="AI397" s="19" t="s">
        <v>4650</v>
      </c>
      <c r="AJ397" s="19" t="s">
        <v>4651</v>
      </c>
      <c r="AK397" s="19" t="s">
        <v>97</v>
      </c>
      <c r="AL397" s="19" t="s">
        <v>97</v>
      </c>
      <c r="AM397" s="11" t="s">
        <v>97</v>
      </c>
      <c r="AN397" s="11" t="s">
        <v>4652</v>
      </c>
      <c r="AO397" s="2" t="s">
        <v>4653</v>
      </c>
      <c r="AP397" s="11"/>
      <c r="AQ397" s="19" t="s">
        <v>4648</v>
      </c>
      <c r="AR397" s="20" t="s">
        <v>97</v>
      </c>
      <c r="AS397" s="20" t="s">
        <v>107</v>
      </c>
      <c r="AT397" s="21"/>
      <c r="AU397" s="8" t="s">
        <v>4654</v>
      </c>
      <c r="AV397" s="24"/>
      <c r="AW397" s="24"/>
      <c r="AX397" s="24"/>
      <c r="AY397" s="24"/>
      <c r="AZ397" s="8" t="s">
        <v>4654</v>
      </c>
      <c r="BA397" s="24"/>
      <c r="BB397" s="24"/>
      <c r="BC397" s="24"/>
      <c r="BD397" s="24"/>
      <c r="BE397" s="26">
        <v>0</v>
      </c>
      <c r="BF397" s="34">
        <f t="shared" si="87"/>
        <v>0</v>
      </c>
      <c r="BG397" s="34">
        <f t="shared" si="88"/>
        <v>0</v>
      </c>
      <c r="BH397" s="26">
        <v>0</v>
      </c>
      <c r="BI397" s="26">
        <v>0</v>
      </c>
      <c r="BJ397" s="21"/>
      <c r="BK397" s="21"/>
      <c r="BL397" s="27"/>
      <c r="BM397" s="27" t="s">
        <v>4655</v>
      </c>
      <c r="BN397" s="26"/>
      <c r="BO397" s="34"/>
      <c r="BP397" s="34"/>
      <c r="BQ397" s="34"/>
      <c r="BR397" s="34"/>
      <c r="BS397" s="34"/>
      <c r="BT397" s="34"/>
      <c r="BU397" s="34"/>
      <c r="BV397" s="34"/>
      <c r="BW397" s="34"/>
      <c r="BX397" s="34"/>
      <c r="BY397" s="34"/>
      <c r="BZ397" s="34"/>
      <c r="CA397" s="20"/>
      <c r="CB397" s="33"/>
      <c r="CC397" s="46">
        <v>46044</v>
      </c>
      <c r="CD397" s="36" t="s">
        <v>7309</v>
      </c>
    </row>
    <row r="398" spans="1:82" s="64" customFormat="1" ht="66.75" customHeight="1" x14ac:dyDescent="0.25">
      <c r="A398" s="87">
        <v>394</v>
      </c>
      <c r="B398" s="142" t="s">
        <v>4656</v>
      </c>
      <c r="C398" s="11" t="s">
        <v>4657</v>
      </c>
      <c r="D398" s="2" t="s">
        <v>4658</v>
      </c>
      <c r="E398" s="75" t="s">
        <v>113</v>
      </c>
      <c r="F398" s="12" t="s">
        <v>1628</v>
      </c>
      <c r="G398" s="7" t="s">
        <v>84</v>
      </c>
      <c r="H398" s="2" t="s">
        <v>775</v>
      </c>
      <c r="I398" s="2" t="s">
        <v>2247</v>
      </c>
      <c r="J398" s="2"/>
      <c r="K398" s="2"/>
      <c r="L398" s="2"/>
      <c r="M398" s="2" t="s">
        <v>88</v>
      </c>
      <c r="N398" s="2" t="s">
        <v>89</v>
      </c>
      <c r="O398" s="2" t="s">
        <v>246</v>
      </c>
      <c r="P398" s="2" t="s">
        <v>4370</v>
      </c>
      <c r="Q398" s="2"/>
      <c r="R398" s="2" t="s">
        <v>4370</v>
      </c>
      <c r="S398" s="5" t="s">
        <v>92</v>
      </c>
      <c r="T398" s="11" t="s">
        <v>2587</v>
      </c>
      <c r="U398" s="181">
        <v>1000</v>
      </c>
      <c r="V398" s="7" t="s">
        <v>94</v>
      </c>
      <c r="W398" s="11" t="s">
        <v>95</v>
      </c>
      <c r="X398" s="7">
        <v>2025</v>
      </c>
      <c r="Y398" s="5" t="s">
        <v>117</v>
      </c>
      <c r="Z398" s="2" t="s">
        <v>97</v>
      </c>
      <c r="AA398" s="2" t="s">
        <v>98</v>
      </c>
      <c r="AB398" s="2" t="s">
        <v>99</v>
      </c>
      <c r="AC398" s="31" t="s">
        <v>4659</v>
      </c>
      <c r="AD398" s="31" t="s">
        <v>4118</v>
      </c>
      <c r="AE398" s="19" t="s">
        <v>4660</v>
      </c>
      <c r="AF398" s="19" t="s">
        <v>121</v>
      </c>
      <c r="AG398" s="65" t="s">
        <v>218</v>
      </c>
      <c r="AH398" s="19" t="s">
        <v>178</v>
      </c>
      <c r="AI398" s="19" t="s">
        <v>4661</v>
      </c>
      <c r="AJ398" s="19" t="s">
        <v>4651</v>
      </c>
      <c r="AK398" s="19" t="s">
        <v>97</v>
      </c>
      <c r="AL398" s="19" t="s">
        <v>97</v>
      </c>
      <c r="AM398" s="11" t="s">
        <v>97</v>
      </c>
      <c r="AN398" s="11" t="s">
        <v>4662</v>
      </c>
      <c r="AO398" s="2" t="s">
        <v>4663</v>
      </c>
      <c r="AP398" s="11"/>
      <c r="AQ398" s="19" t="s">
        <v>4664</v>
      </c>
      <c r="AR398" s="20" t="s">
        <v>97</v>
      </c>
      <c r="AS398" s="20" t="s">
        <v>107</v>
      </c>
      <c r="AT398" s="21"/>
      <c r="AU398" s="8" t="s">
        <v>4665</v>
      </c>
      <c r="AV398" s="24"/>
      <c r="AW398" s="24"/>
      <c r="AX398" s="25"/>
      <c r="AY398" s="24"/>
      <c r="AZ398" s="8" t="s">
        <v>4665</v>
      </c>
      <c r="BA398" s="24"/>
      <c r="BB398" s="24"/>
      <c r="BC398" s="25"/>
      <c r="BD398" s="24"/>
      <c r="BE398" s="26">
        <v>0</v>
      </c>
      <c r="BF398" s="34">
        <f t="shared" si="87"/>
        <v>0</v>
      </c>
      <c r="BG398" s="34">
        <f t="shared" si="88"/>
        <v>0</v>
      </c>
      <c r="BH398" s="26">
        <v>0</v>
      </c>
      <c r="BI398" s="26">
        <v>0</v>
      </c>
      <c r="BJ398" s="21"/>
      <c r="BK398" s="21"/>
      <c r="BL398" s="27"/>
      <c r="BM398" s="27" t="s">
        <v>4666</v>
      </c>
      <c r="BN398" s="26"/>
      <c r="BO398" s="34"/>
      <c r="BP398" s="34"/>
      <c r="BQ398" s="34"/>
      <c r="BR398" s="34"/>
      <c r="BS398" s="34"/>
      <c r="BT398" s="34"/>
      <c r="BU398" s="34"/>
      <c r="BV398" s="34"/>
      <c r="BW398" s="34"/>
      <c r="BX398" s="34"/>
      <c r="BY398" s="34"/>
      <c r="BZ398" s="34"/>
      <c r="CA398" s="20"/>
      <c r="CB398" s="33"/>
      <c r="CC398" s="46">
        <v>46044</v>
      </c>
      <c r="CD398" s="36" t="s">
        <v>7310</v>
      </c>
    </row>
    <row r="399" spans="1:82" s="18" customFormat="1" ht="66.75" customHeight="1" x14ac:dyDescent="0.25">
      <c r="A399" s="87">
        <v>395</v>
      </c>
      <c r="B399" s="142" t="s">
        <v>4667</v>
      </c>
      <c r="C399" s="11" t="s">
        <v>4668</v>
      </c>
      <c r="D399" s="2" t="s">
        <v>4669</v>
      </c>
      <c r="E399" s="75" t="s">
        <v>113</v>
      </c>
      <c r="F399" s="12" t="s">
        <v>1628</v>
      </c>
      <c r="G399" s="7" t="s">
        <v>84</v>
      </c>
      <c r="H399" s="2" t="s">
        <v>775</v>
      </c>
      <c r="I399" s="2" t="s">
        <v>2247</v>
      </c>
      <c r="J399" s="2"/>
      <c r="K399" s="2"/>
      <c r="L399" s="2"/>
      <c r="M399" s="2" t="s">
        <v>88</v>
      </c>
      <c r="N399" s="2" t="s">
        <v>89</v>
      </c>
      <c r="O399" s="2" t="s">
        <v>246</v>
      </c>
      <c r="P399" s="2" t="s">
        <v>4370</v>
      </c>
      <c r="Q399" s="2"/>
      <c r="R399" s="2" t="s">
        <v>4370</v>
      </c>
      <c r="S399" s="5" t="s">
        <v>92</v>
      </c>
      <c r="T399" s="11" t="s">
        <v>2587</v>
      </c>
      <c r="U399" s="181">
        <v>1000</v>
      </c>
      <c r="V399" s="7" t="s">
        <v>94</v>
      </c>
      <c r="W399" s="11" t="s">
        <v>95</v>
      </c>
      <c r="X399" s="7">
        <v>2025</v>
      </c>
      <c r="Y399" s="5" t="s">
        <v>117</v>
      </c>
      <c r="Z399" s="2" t="s">
        <v>97</v>
      </c>
      <c r="AA399" s="2" t="s">
        <v>98</v>
      </c>
      <c r="AB399" s="2" t="s">
        <v>99</v>
      </c>
      <c r="AC399" s="31" t="s">
        <v>4670</v>
      </c>
      <c r="AD399" s="31" t="s">
        <v>4118</v>
      </c>
      <c r="AE399" s="19" t="s">
        <v>4671</v>
      </c>
      <c r="AF399" s="19" t="s">
        <v>121</v>
      </c>
      <c r="AG399" s="37" t="s">
        <v>218</v>
      </c>
      <c r="AH399" s="19" t="s">
        <v>178</v>
      </c>
      <c r="AI399" s="19" t="s">
        <v>4672</v>
      </c>
      <c r="AJ399" s="19" t="s">
        <v>4651</v>
      </c>
      <c r="AK399" s="19" t="s">
        <v>97</v>
      </c>
      <c r="AL399" s="19" t="s">
        <v>97</v>
      </c>
      <c r="AM399" s="11" t="s">
        <v>97</v>
      </c>
      <c r="AN399" s="11" t="s">
        <v>4673</v>
      </c>
      <c r="AO399" s="2" t="s">
        <v>4674</v>
      </c>
      <c r="AP399" s="11"/>
      <c r="AQ399" s="19" t="s">
        <v>4675</v>
      </c>
      <c r="AR399" s="20" t="s">
        <v>97</v>
      </c>
      <c r="AS399" s="20" t="s">
        <v>107</v>
      </c>
      <c r="AT399" s="21"/>
      <c r="AU399" s="8" t="s">
        <v>4665</v>
      </c>
      <c r="AV399" s="24"/>
      <c r="AW399" s="24"/>
      <c r="AX399" s="25"/>
      <c r="AY399" s="24"/>
      <c r="AZ399" s="8" t="s">
        <v>4665</v>
      </c>
      <c r="BA399" s="24"/>
      <c r="BB399" s="24"/>
      <c r="BC399" s="25"/>
      <c r="BD399" s="24"/>
      <c r="BE399" s="26">
        <v>0</v>
      </c>
      <c r="BF399" s="34">
        <f t="shared" si="87"/>
        <v>0</v>
      </c>
      <c r="BG399" s="34">
        <f t="shared" si="88"/>
        <v>0</v>
      </c>
      <c r="BH399" s="26">
        <v>0</v>
      </c>
      <c r="BI399" s="26">
        <v>0</v>
      </c>
      <c r="BJ399" s="21"/>
      <c r="BK399" s="21"/>
      <c r="BL399" s="27"/>
      <c r="BM399" s="27" t="s">
        <v>4676</v>
      </c>
      <c r="BN399" s="26"/>
      <c r="BO399" s="34"/>
      <c r="BP399" s="34"/>
      <c r="BQ399" s="34"/>
      <c r="BR399" s="34"/>
      <c r="BS399" s="34"/>
      <c r="BT399" s="34"/>
      <c r="BU399" s="34"/>
      <c r="BV399" s="34"/>
      <c r="BW399" s="34"/>
      <c r="BX399" s="34"/>
      <c r="BY399" s="34"/>
      <c r="BZ399" s="34"/>
      <c r="CA399" s="20"/>
      <c r="CB399" s="33"/>
      <c r="CC399" s="46">
        <v>46044</v>
      </c>
      <c r="CD399" s="36" t="s">
        <v>7311</v>
      </c>
    </row>
    <row r="400" spans="1:82" s="18" customFormat="1" ht="66.75" customHeight="1" x14ac:dyDescent="0.25">
      <c r="A400" s="121">
        <v>396</v>
      </c>
      <c r="B400" s="142" t="s">
        <v>4677</v>
      </c>
      <c r="C400" s="2" t="s">
        <v>4678</v>
      </c>
      <c r="D400" s="2" t="s">
        <v>4679</v>
      </c>
      <c r="E400" s="75" t="s">
        <v>113</v>
      </c>
      <c r="F400" s="12" t="s">
        <v>1628</v>
      </c>
      <c r="G400" s="7" t="s">
        <v>84</v>
      </c>
      <c r="H400" s="2" t="s">
        <v>775</v>
      </c>
      <c r="I400" s="2" t="s">
        <v>4013</v>
      </c>
      <c r="J400" s="2"/>
      <c r="K400" s="2"/>
      <c r="L400" s="2"/>
      <c r="M400" s="2" t="s">
        <v>3924</v>
      </c>
      <c r="N400" s="2" t="s">
        <v>245</v>
      </c>
      <c r="O400" s="2" t="s">
        <v>246</v>
      </c>
      <c r="P400" s="2" t="s">
        <v>4680</v>
      </c>
      <c r="Q400" s="2"/>
      <c r="R400" s="2" t="s">
        <v>4681</v>
      </c>
      <c r="S400" s="5" t="s">
        <v>92</v>
      </c>
      <c r="T400" s="2" t="s">
        <v>93</v>
      </c>
      <c r="U400" s="181">
        <v>100</v>
      </c>
      <c r="V400" s="7" t="s">
        <v>94</v>
      </c>
      <c r="W400" s="2" t="s">
        <v>95</v>
      </c>
      <c r="X400" s="7">
        <v>2025</v>
      </c>
      <c r="Y400" s="5" t="s">
        <v>117</v>
      </c>
      <c r="Z400" s="2" t="s">
        <v>97</v>
      </c>
      <c r="AA400" s="2" t="s">
        <v>98</v>
      </c>
      <c r="AB400" s="2" t="s">
        <v>99</v>
      </c>
      <c r="AC400" s="31" t="s">
        <v>4682</v>
      </c>
      <c r="AD400" s="31" t="s">
        <v>4683</v>
      </c>
      <c r="AE400" s="21" t="s">
        <v>4684</v>
      </c>
      <c r="AF400" s="21" t="s">
        <v>4685</v>
      </c>
      <c r="AG400" s="21" t="s">
        <v>4686</v>
      </c>
      <c r="AH400" s="21" t="s">
        <v>4686</v>
      </c>
      <c r="AI400" s="21" t="s">
        <v>4687</v>
      </c>
      <c r="AJ400" s="21" t="s">
        <v>4688</v>
      </c>
      <c r="AK400" s="2" t="s">
        <v>1635</v>
      </c>
      <c r="AL400" s="2" t="s">
        <v>1635</v>
      </c>
      <c r="AM400" s="2" t="s">
        <v>4689</v>
      </c>
      <c r="AN400" s="2" t="s">
        <v>4690</v>
      </c>
      <c r="AO400" s="7" t="s">
        <v>4691</v>
      </c>
      <c r="AP400" s="7" t="s">
        <v>4692</v>
      </c>
      <c r="AQ400" s="6" t="s">
        <v>3990</v>
      </c>
      <c r="AR400" s="20" t="s">
        <v>97</v>
      </c>
      <c r="AS400" s="20" t="s">
        <v>107</v>
      </c>
      <c r="AT400" s="21"/>
      <c r="AU400" s="27">
        <v>1.7000000000000001E-2</v>
      </c>
      <c r="AV400" s="24">
        <v>1.3600000000000001E-2</v>
      </c>
      <c r="AW400" s="24">
        <v>1.0200000000000001E-2</v>
      </c>
      <c r="AX400" s="25">
        <v>1E-4</v>
      </c>
      <c r="AY400" s="24">
        <v>0</v>
      </c>
      <c r="AZ400" s="24">
        <f>+AU400*90%</f>
        <v>1.5300000000000001E-2</v>
      </c>
      <c r="BA400" s="24">
        <f>AZ400*80%</f>
        <v>1.2240000000000001E-2</v>
      </c>
      <c r="BB400" s="24">
        <f>AZ400*60%</f>
        <v>9.1800000000000007E-3</v>
      </c>
      <c r="BC400" s="25">
        <v>1E-4</v>
      </c>
      <c r="BD400" s="24">
        <v>0</v>
      </c>
      <c r="BE400" s="26">
        <v>0</v>
      </c>
      <c r="BF400" s="34">
        <f t="shared" si="87"/>
        <v>0</v>
      </c>
      <c r="BG400" s="34">
        <f t="shared" si="88"/>
        <v>0</v>
      </c>
      <c r="BH400" s="26">
        <v>0</v>
      </c>
      <c r="BI400" s="26">
        <v>0</v>
      </c>
      <c r="BJ400" s="21"/>
      <c r="BK400" s="21"/>
      <c r="BL400" s="27"/>
      <c r="BM400" s="27" t="s">
        <v>4693</v>
      </c>
      <c r="BN400" s="26"/>
      <c r="BO400" s="34"/>
      <c r="BP400" s="34">
        <v>1</v>
      </c>
      <c r="BQ400" s="34"/>
      <c r="BR400" s="34"/>
      <c r="BS400" s="34"/>
      <c r="BT400" s="34"/>
      <c r="BU400" s="34"/>
      <c r="BV400" s="34"/>
      <c r="BW400" s="34"/>
      <c r="BX400" s="34"/>
      <c r="BY400" s="34"/>
      <c r="BZ400" s="34"/>
      <c r="CA400" s="20"/>
      <c r="CB400" s="33"/>
      <c r="CC400" s="46">
        <v>45996</v>
      </c>
      <c r="CD400" s="11" t="s">
        <v>4694</v>
      </c>
    </row>
    <row r="401" spans="1:82" s="18" customFormat="1" ht="66.75" customHeight="1" x14ac:dyDescent="0.25">
      <c r="A401" s="87">
        <v>397</v>
      </c>
      <c r="B401" s="141" t="s">
        <v>4695</v>
      </c>
      <c r="C401" s="6" t="s">
        <v>4696</v>
      </c>
      <c r="D401" s="6" t="s">
        <v>4697</v>
      </c>
      <c r="E401" s="75" t="s">
        <v>113</v>
      </c>
      <c r="F401" s="4" t="s">
        <v>1628</v>
      </c>
      <c r="G401" s="5" t="s">
        <v>84</v>
      </c>
      <c r="H401" s="6" t="s">
        <v>775</v>
      </c>
      <c r="I401" s="6" t="s">
        <v>4013</v>
      </c>
      <c r="J401" s="6"/>
      <c r="K401" s="6"/>
      <c r="L401" s="6"/>
      <c r="M401" s="6" t="s">
        <v>3924</v>
      </c>
      <c r="N401" s="6" t="s">
        <v>245</v>
      </c>
      <c r="O401" s="6" t="s">
        <v>246</v>
      </c>
      <c r="P401" s="6" t="s">
        <v>4698</v>
      </c>
      <c r="Q401" s="6"/>
      <c r="R401" s="6" t="s">
        <v>175</v>
      </c>
      <c r="S401" s="5" t="s">
        <v>92</v>
      </c>
      <c r="T401" s="6" t="s">
        <v>93</v>
      </c>
      <c r="U401" s="91">
        <v>100</v>
      </c>
      <c r="V401" s="5" t="s">
        <v>94</v>
      </c>
      <c r="W401" s="6" t="s">
        <v>95</v>
      </c>
      <c r="X401" s="5">
        <v>2025</v>
      </c>
      <c r="Y401" s="5" t="s">
        <v>117</v>
      </c>
      <c r="Z401" s="6" t="s">
        <v>97</v>
      </c>
      <c r="AA401" s="6" t="s">
        <v>98</v>
      </c>
      <c r="AB401" s="6" t="s">
        <v>99</v>
      </c>
      <c r="AC401" s="79" t="s">
        <v>4699</v>
      </c>
      <c r="AD401" s="79" t="s">
        <v>4700</v>
      </c>
      <c r="AE401" s="49" t="s">
        <v>4701</v>
      </c>
      <c r="AF401" s="49" t="s">
        <v>4685</v>
      </c>
      <c r="AG401" s="49" t="s">
        <v>1042</v>
      </c>
      <c r="AH401" s="49" t="s">
        <v>1042</v>
      </c>
      <c r="AI401" s="49" t="s">
        <v>4702</v>
      </c>
      <c r="AJ401" s="49" t="s">
        <v>4688</v>
      </c>
      <c r="AK401" s="49" t="s">
        <v>1635</v>
      </c>
      <c r="AL401" s="49" t="s">
        <v>1635</v>
      </c>
      <c r="AM401" s="6"/>
      <c r="AN401" s="6" t="s">
        <v>4629</v>
      </c>
      <c r="AO401" s="6" t="s">
        <v>4703</v>
      </c>
      <c r="AP401" s="5" t="s">
        <v>4704</v>
      </c>
      <c r="AQ401" s="6" t="s">
        <v>3990</v>
      </c>
      <c r="AR401" s="20" t="s">
        <v>97</v>
      </c>
      <c r="AS401" s="20" t="s">
        <v>107</v>
      </c>
      <c r="AT401" s="21"/>
      <c r="AU401" s="24">
        <v>0.9</v>
      </c>
      <c r="AV401" s="24">
        <f>+AU401*80%</f>
        <v>0.72000000000000008</v>
      </c>
      <c r="AW401" s="24">
        <f>+AU401*60%</f>
        <v>0.54</v>
      </c>
      <c r="AX401" s="25">
        <v>1E-4</v>
      </c>
      <c r="AY401" s="24">
        <v>0</v>
      </c>
      <c r="AZ401" s="24">
        <f>+AU401*90%</f>
        <v>0.81</v>
      </c>
      <c r="BA401" s="24">
        <f>AZ401*80%</f>
        <v>0.64800000000000013</v>
      </c>
      <c r="BB401" s="24">
        <f>AZ401*60%</f>
        <v>0.48599999999999999</v>
      </c>
      <c r="BC401" s="25">
        <v>1E-4</v>
      </c>
      <c r="BD401" s="24">
        <v>0</v>
      </c>
      <c r="BE401" s="26">
        <v>0</v>
      </c>
      <c r="BF401" s="34">
        <f t="shared" si="87"/>
        <v>0</v>
      </c>
      <c r="BG401" s="34">
        <f t="shared" si="88"/>
        <v>0</v>
      </c>
      <c r="BH401" s="26">
        <v>0</v>
      </c>
      <c r="BI401" s="26">
        <v>0</v>
      </c>
      <c r="BJ401" s="21"/>
      <c r="BK401" s="66"/>
      <c r="BL401" s="27"/>
      <c r="BM401" s="27" t="s">
        <v>1176</v>
      </c>
      <c r="BN401" s="26"/>
      <c r="BO401" s="34"/>
      <c r="BP401" s="34">
        <v>1</v>
      </c>
      <c r="BQ401" s="34"/>
      <c r="BR401" s="34"/>
      <c r="BS401" s="34"/>
      <c r="BT401" s="34"/>
      <c r="BU401" s="34"/>
      <c r="BV401" s="34"/>
      <c r="BW401" s="34"/>
      <c r="BX401" s="34"/>
      <c r="BY401" s="34"/>
      <c r="BZ401" s="34"/>
      <c r="CA401" s="20"/>
      <c r="CB401" s="21"/>
      <c r="CC401" s="29">
        <v>46003</v>
      </c>
      <c r="CD401" s="35" t="s">
        <v>4705</v>
      </c>
    </row>
    <row r="402" spans="1:82" s="18" customFormat="1" ht="66.75" customHeight="1" x14ac:dyDescent="0.25">
      <c r="A402" s="87">
        <v>398</v>
      </c>
      <c r="B402" s="141" t="s">
        <v>4706</v>
      </c>
      <c r="C402" s="6" t="s">
        <v>4707</v>
      </c>
      <c r="D402" s="6" t="s">
        <v>4708</v>
      </c>
      <c r="E402" s="75" t="s">
        <v>113</v>
      </c>
      <c r="F402" s="4" t="s">
        <v>1628</v>
      </c>
      <c r="G402" s="5" t="s">
        <v>84</v>
      </c>
      <c r="H402" s="6" t="s">
        <v>775</v>
      </c>
      <c r="I402" s="6" t="s">
        <v>4013</v>
      </c>
      <c r="J402" s="6"/>
      <c r="K402" s="6"/>
      <c r="L402" s="6"/>
      <c r="M402" s="6" t="s">
        <v>3924</v>
      </c>
      <c r="N402" s="6" t="s">
        <v>245</v>
      </c>
      <c r="O402" s="6" t="s">
        <v>246</v>
      </c>
      <c r="P402" s="6" t="s">
        <v>4680</v>
      </c>
      <c r="Q402" s="6"/>
      <c r="R402" s="6" t="s">
        <v>4681</v>
      </c>
      <c r="S402" s="5" t="s">
        <v>92</v>
      </c>
      <c r="T402" s="6" t="s">
        <v>93</v>
      </c>
      <c r="U402" s="91">
        <v>100</v>
      </c>
      <c r="V402" s="5" t="s">
        <v>94</v>
      </c>
      <c r="W402" s="6" t="s">
        <v>95</v>
      </c>
      <c r="X402" s="5">
        <v>2025</v>
      </c>
      <c r="Y402" s="5" t="s">
        <v>117</v>
      </c>
      <c r="Z402" s="6" t="s">
        <v>97</v>
      </c>
      <c r="AA402" s="6" t="s">
        <v>98</v>
      </c>
      <c r="AB402" s="6" t="s">
        <v>99</v>
      </c>
      <c r="AC402" s="79" t="s">
        <v>4709</v>
      </c>
      <c r="AD402" s="79" t="s">
        <v>4710</v>
      </c>
      <c r="AE402" s="49" t="s">
        <v>4711</v>
      </c>
      <c r="AF402" s="49" t="s">
        <v>4712</v>
      </c>
      <c r="AG402" s="49" t="s">
        <v>178</v>
      </c>
      <c r="AH402" s="49" t="s">
        <v>178</v>
      </c>
      <c r="AI402" s="49" t="s">
        <v>4711</v>
      </c>
      <c r="AJ402" s="49" t="s">
        <v>4712</v>
      </c>
      <c r="AK402" s="49" t="s">
        <v>1635</v>
      </c>
      <c r="AL402" s="49" t="s">
        <v>97</v>
      </c>
      <c r="AM402" s="6"/>
      <c r="AN402" s="6" t="s">
        <v>4629</v>
      </c>
      <c r="AO402" s="5" t="s">
        <v>4713</v>
      </c>
      <c r="AP402" s="5" t="s">
        <v>4714</v>
      </c>
      <c r="AQ402" s="6" t="s">
        <v>3964</v>
      </c>
      <c r="AR402" s="20" t="s">
        <v>97</v>
      </c>
      <c r="AS402" s="20" t="s">
        <v>107</v>
      </c>
      <c r="AT402" s="21"/>
      <c r="AU402" s="27">
        <v>1.7000000000000001E-2</v>
      </c>
      <c r="AV402" s="24">
        <v>1.3600000000000001E-2</v>
      </c>
      <c r="AW402" s="24">
        <v>1.0200000000000001E-2</v>
      </c>
      <c r="AX402" s="25">
        <v>1E-4</v>
      </c>
      <c r="AY402" s="24">
        <v>0</v>
      </c>
      <c r="AZ402" s="24">
        <f>+AU402*90%</f>
        <v>1.5300000000000001E-2</v>
      </c>
      <c r="BA402" s="24">
        <f>AZ402*80%</f>
        <v>1.2240000000000001E-2</v>
      </c>
      <c r="BB402" s="24">
        <f>AZ402*60%</f>
        <v>9.1800000000000007E-3</v>
      </c>
      <c r="BC402" s="25">
        <v>1E-4</v>
      </c>
      <c r="BD402" s="24">
        <v>0</v>
      </c>
      <c r="BE402" s="26">
        <v>0</v>
      </c>
      <c r="BF402" s="34">
        <f t="shared" si="87"/>
        <v>0</v>
      </c>
      <c r="BG402" s="34">
        <f t="shared" si="88"/>
        <v>0</v>
      </c>
      <c r="BH402" s="26">
        <v>0</v>
      </c>
      <c r="BI402" s="26">
        <v>0</v>
      </c>
      <c r="BJ402" s="21"/>
      <c r="BK402" s="63"/>
      <c r="BL402" s="27"/>
      <c r="BM402" s="27" t="s">
        <v>1176</v>
      </c>
      <c r="BN402" s="26"/>
      <c r="BO402" s="34"/>
      <c r="BP402" s="34">
        <v>1</v>
      </c>
      <c r="BQ402" s="34"/>
      <c r="BR402" s="34"/>
      <c r="BS402" s="34"/>
      <c r="BT402" s="34"/>
      <c r="BU402" s="34"/>
      <c r="BV402" s="34"/>
      <c r="BW402" s="34"/>
      <c r="BX402" s="34"/>
      <c r="BY402" s="34"/>
      <c r="BZ402" s="34"/>
      <c r="CA402" s="20"/>
      <c r="CB402" s="21"/>
      <c r="CC402" s="29">
        <v>46003</v>
      </c>
      <c r="CD402" s="35" t="s">
        <v>4715</v>
      </c>
    </row>
    <row r="403" spans="1:82" s="18" customFormat="1" ht="66.75" customHeight="1" x14ac:dyDescent="0.25">
      <c r="A403" s="121">
        <v>399</v>
      </c>
      <c r="B403" s="142" t="s">
        <v>4716</v>
      </c>
      <c r="C403" s="2" t="s">
        <v>4717</v>
      </c>
      <c r="D403" s="2" t="s">
        <v>4718</v>
      </c>
      <c r="E403" s="75" t="s">
        <v>113</v>
      </c>
      <c r="F403" s="12" t="s">
        <v>1628</v>
      </c>
      <c r="G403" s="7" t="s">
        <v>84</v>
      </c>
      <c r="H403" s="2" t="s">
        <v>775</v>
      </c>
      <c r="I403" s="2" t="s">
        <v>4013</v>
      </c>
      <c r="J403" s="2"/>
      <c r="K403" s="2"/>
      <c r="L403" s="2"/>
      <c r="M403" s="2" t="s">
        <v>3924</v>
      </c>
      <c r="N403" s="2" t="s">
        <v>245</v>
      </c>
      <c r="O403" s="2" t="s">
        <v>246</v>
      </c>
      <c r="P403" s="2" t="s">
        <v>4719</v>
      </c>
      <c r="Q403" s="2"/>
      <c r="R403" s="2" t="s">
        <v>4681</v>
      </c>
      <c r="S403" s="5" t="s">
        <v>92</v>
      </c>
      <c r="T403" s="2" t="s">
        <v>2587</v>
      </c>
      <c r="U403" s="181">
        <v>1000</v>
      </c>
      <c r="V403" s="7" t="s">
        <v>94</v>
      </c>
      <c r="W403" s="2" t="s">
        <v>95</v>
      </c>
      <c r="X403" s="7">
        <v>2025</v>
      </c>
      <c r="Y403" s="5" t="s">
        <v>117</v>
      </c>
      <c r="Z403" s="2" t="s">
        <v>95</v>
      </c>
      <c r="AA403" s="2" t="s">
        <v>98</v>
      </c>
      <c r="AB403" s="2" t="s">
        <v>99</v>
      </c>
      <c r="AC403" s="31" t="s">
        <v>4720</v>
      </c>
      <c r="AD403" s="31" t="s">
        <v>4721</v>
      </c>
      <c r="AE403" s="21" t="s">
        <v>4685</v>
      </c>
      <c r="AF403" s="21" t="s">
        <v>3582</v>
      </c>
      <c r="AG403" s="21" t="s">
        <v>178</v>
      </c>
      <c r="AH403" s="21" t="s">
        <v>178</v>
      </c>
      <c r="AI403" s="21" t="s">
        <v>4688</v>
      </c>
      <c r="AJ403" s="21" t="s">
        <v>4722</v>
      </c>
      <c r="AK403" s="21" t="s">
        <v>1635</v>
      </c>
      <c r="AL403" s="21" t="s">
        <v>97</v>
      </c>
      <c r="AM403" s="2"/>
      <c r="AN403" s="2" t="s">
        <v>4629</v>
      </c>
      <c r="AO403" s="2" t="s">
        <v>4723</v>
      </c>
      <c r="AP403" s="2" t="s">
        <v>3740</v>
      </c>
      <c r="AQ403" s="14" t="s">
        <v>4724</v>
      </c>
      <c r="AR403" s="20" t="s">
        <v>97</v>
      </c>
      <c r="AS403" s="20" t="s">
        <v>107</v>
      </c>
      <c r="AT403" s="21"/>
      <c r="AU403" s="7" t="s">
        <v>4725</v>
      </c>
      <c r="AV403" s="20"/>
      <c r="AW403" s="20"/>
      <c r="AX403" s="20"/>
      <c r="AY403" s="20"/>
      <c r="AZ403" s="2" t="s">
        <v>4725</v>
      </c>
      <c r="BA403" s="20"/>
      <c r="BB403" s="20"/>
      <c r="BC403" s="20"/>
      <c r="BD403" s="20"/>
      <c r="BE403" s="26">
        <v>0</v>
      </c>
      <c r="BF403" s="34">
        <f t="shared" si="87"/>
        <v>0</v>
      </c>
      <c r="BG403" s="34">
        <f t="shared" si="88"/>
        <v>0</v>
      </c>
      <c r="BH403" s="26">
        <v>0</v>
      </c>
      <c r="BI403" s="26">
        <v>0</v>
      </c>
      <c r="BJ403" s="21"/>
      <c r="BK403" s="21"/>
      <c r="BL403" s="27"/>
      <c r="BM403" s="27" t="s">
        <v>4726</v>
      </c>
      <c r="BN403" s="26"/>
      <c r="BO403" s="34"/>
      <c r="BP403" s="34">
        <v>1</v>
      </c>
      <c r="BQ403" s="34"/>
      <c r="BR403" s="34"/>
      <c r="BS403" s="34"/>
      <c r="BT403" s="34"/>
      <c r="BU403" s="34"/>
      <c r="BV403" s="34"/>
      <c r="BW403" s="34"/>
      <c r="BX403" s="34"/>
      <c r="BY403" s="34"/>
      <c r="BZ403" s="34"/>
      <c r="CA403" s="20"/>
      <c r="CB403" s="33"/>
      <c r="CC403" s="46">
        <v>45996</v>
      </c>
      <c r="CD403" s="11" t="s">
        <v>4727</v>
      </c>
    </row>
    <row r="404" spans="1:82" s="18" customFormat="1" ht="75" customHeight="1" x14ac:dyDescent="0.25">
      <c r="A404" s="87">
        <v>400</v>
      </c>
      <c r="B404" s="142" t="s">
        <v>4728</v>
      </c>
      <c r="C404" s="2" t="s">
        <v>4729</v>
      </c>
      <c r="D404" s="2" t="s">
        <v>4730</v>
      </c>
      <c r="E404" s="75" t="s">
        <v>113</v>
      </c>
      <c r="F404" s="12" t="s">
        <v>1628</v>
      </c>
      <c r="G404" s="7" t="s">
        <v>84</v>
      </c>
      <c r="H404" s="2" t="s">
        <v>775</v>
      </c>
      <c r="I404" s="2" t="s">
        <v>4013</v>
      </c>
      <c r="J404" s="2"/>
      <c r="K404" s="2"/>
      <c r="L404" s="2"/>
      <c r="M404" s="2" t="s">
        <v>3924</v>
      </c>
      <c r="N404" s="2" t="s">
        <v>245</v>
      </c>
      <c r="O404" s="2" t="s">
        <v>246</v>
      </c>
      <c r="P404" s="2" t="s">
        <v>3684</v>
      </c>
      <c r="Q404" s="2"/>
      <c r="R404" s="11" t="s">
        <v>3684</v>
      </c>
      <c r="S404" s="5" t="s">
        <v>92</v>
      </c>
      <c r="T404" s="2" t="s">
        <v>2587</v>
      </c>
      <c r="U404" s="181">
        <v>100000</v>
      </c>
      <c r="V404" s="7" t="s">
        <v>94</v>
      </c>
      <c r="W404" s="2" t="s">
        <v>95</v>
      </c>
      <c r="X404" s="7">
        <v>2025</v>
      </c>
      <c r="Y404" s="5" t="s">
        <v>117</v>
      </c>
      <c r="Z404" s="2" t="s">
        <v>95</v>
      </c>
      <c r="AA404" s="2" t="s">
        <v>98</v>
      </c>
      <c r="AB404" s="2" t="s">
        <v>99</v>
      </c>
      <c r="AC404" s="31" t="s">
        <v>4731</v>
      </c>
      <c r="AD404" s="31" t="s">
        <v>4721</v>
      </c>
      <c r="AE404" s="21" t="s">
        <v>4732</v>
      </c>
      <c r="AF404" s="21" t="s">
        <v>3582</v>
      </c>
      <c r="AG404" s="21" t="s">
        <v>178</v>
      </c>
      <c r="AH404" s="21" t="s">
        <v>178</v>
      </c>
      <c r="AI404" s="21" t="s">
        <v>4733</v>
      </c>
      <c r="AJ404" s="21" t="s">
        <v>4722</v>
      </c>
      <c r="AK404" s="21" t="s">
        <v>1635</v>
      </c>
      <c r="AL404" s="21" t="s">
        <v>97</v>
      </c>
      <c r="AM404" s="2"/>
      <c r="AN404" s="2" t="s">
        <v>4629</v>
      </c>
      <c r="AO404" s="2" t="s">
        <v>4734</v>
      </c>
      <c r="AP404" s="2" t="s">
        <v>3740</v>
      </c>
      <c r="AQ404" s="14" t="s">
        <v>3741</v>
      </c>
      <c r="AR404" s="20" t="s">
        <v>97</v>
      </c>
      <c r="AS404" s="20" t="s">
        <v>107</v>
      </c>
      <c r="AT404" s="21"/>
      <c r="AU404" s="9" t="s">
        <v>4735</v>
      </c>
      <c r="AV404" s="24"/>
      <c r="AW404" s="24"/>
      <c r="AX404" s="25"/>
      <c r="AY404" s="24"/>
      <c r="AZ404" s="221" t="s">
        <v>4735</v>
      </c>
      <c r="BA404" s="24"/>
      <c r="BB404" s="24"/>
      <c r="BC404" s="25"/>
      <c r="BD404" s="24"/>
      <c r="BE404" s="26">
        <v>0</v>
      </c>
      <c r="BF404" s="34">
        <f t="shared" si="87"/>
        <v>0</v>
      </c>
      <c r="BG404" s="34">
        <f t="shared" si="88"/>
        <v>0</v>
      </c>
      <c r="BH404" s="26">
        <v>0</v>
      </c>
      <c r="BI404" s="26">
        <v>0</v>
      </c>
      <c r="BJ404" s="21"/>
      <c r="BK404" s="21"/>
      <c r="BL404" s="27"/>
      <c r="BM404" s="27" t="s">
        <v>2598</v>
      </c>
      <c r="BN404" s="26"/>
      <c r="BO404" s="34"/>
      <c r="BP404" s="34"/>
      <c r="BQ404" s="34"/>
      <c r="BR404" s="34"/>
      <c r="BS404" s="34"/>
      <c r="BT404" s="34"/>
      <c r="BU404" s="34"/>
      <c r="BV404" s="34"/>
      <c r="BW404" s="34"/>
      <c r="BX404" s="34"/>
      <c r="BY404" s="34"/>
      <c r="BZ404" s="34"/>
      <c r="CA404" s="20"/>
      <c r="CB404" s="33"/>
      <c r="CC404" s="46">
        <v>45996</v>
      </c>
      <c r="CD404" s="11" t="s">
        <v>4727</v>
      </c>
    </row>
    <row r="405" spans="1:82" s="18" customFormat="1" ht="66.75" customHeight="1" x14ac:dyDescent="0.25">
      <c r="A405" s="87">
        <v>401</v>
      </c>
      <c r="B405" s="142" t="s">
        <v>4736</v>
      </c>
      <c r="C405" s="2" t="s">
        <v>4737</v>
      </c>
      <c r="D405" s="2" t="s">
        <v>4738</v>
      </c>
      <c r="E405" s="75" t="s">
        <v>113</v>
      </c>
      <c r="F405" s="12" t="s">
        <v>1628</v>
      </c>
      <c r="G405" s="7" t="s">
        <v>84</v>
      </c>
      <c r="H405" s="2" t="s">
        <v>775</v>
      </c>
      <c r="I405" s="2" t="s">
        <v>4013</v>
      </c>
      <c r="J405" s="2"/>
      <c r="K405" s="2"/>
      <c r="L405" s="2"/>
      <c r="M405" s="2" t="s">
        <v>3924</v>
      </c>
      <c r="N405" s="2" t="s">
        <v>245</v>
      </c>
      <c r="O405" s="2" t="s">
        <v>246</v>
      </c>
      <c r="P405" s="2" t="s">
        <v>3684</v>
      </c>
      <c r="Q405" s="2"/>
      <c r="R405" s="11" t="s">
        <v>3684</v>
      </c>
      <c r="S405" s="5" t="s">
        <v>92</v>
      </c>
      <c r="T405" s="2" t="s">
        <v>2587</v>
      </c>
      <c r="U405" s="181">
        <v>100000</v>
      </c>
      <c r="V405" s="7" t="s">
        <v>94</v>
      </c>
      <c r="W405" s="2" t="s">
        <v>95</v>
      </c>
      <c r="X405" s="7">
        <v>2025</v>
      </c>
      <c r="Y405" s="5" t="s">
        <v>117</v>
      </c>
      <c r="Z405" s="2" t="s">
        <v>95</v>
      </c>
      <c r="AA405" s="2" t="s">
        <v>98</v>
      </c>
      <c r="AB405" s="2" t="s">
        <v>99</v>
      </c>
      <c r="AC405" s="31" t="s">
        <v>4739</v>
      </c>
      <c r="AD405" s="31" t="s">
        <v>4721</v>
      </c>
      <c r="AE405" s="21" t="s">
        <v>4740</v>
      </c>
      <c r="AF405" s="21" t="s">
        <v>3582</v>
      </c>
      <c r="AG405" s="21" t="s">
        <v>178</v>
      </c>
      <c r="AH405" s="21" t="s">
        <v>178</v>
      </c>
      <c r="AI405" s="21" t="s">
        <v>4733</v>
      </c>
      <c r="AJ405" s="21" t="s">
        <v>4722</v>
      </c>
      <c r="AK405" s="21" t="s">
        <v>1635</v>
      </c>
      <c r="AL405" s="21" t="s">
        <v>97</v>
      </c>
      <c r="AM405" s="2"/>
      <c r="AN405" s="2" t="s">
        <v>4629</v>
      </c>
      <c r="AO405" s="2" t="s">
        <v>4741</v>
      </c>
      <c r="AP405" s="2" t="s">
        <v>3740</v>
      </c>
      <c r="AQ405" s="14" t="s">
        <v>3741</v>
      </c>
      <c r="AR405" s="20" t="s">
        <v>97</v>
      </c>
      <c r="AS405" s="20" t="s">
        <v>107</v>
      </c>
      <c r="AT405" s="21"/>
      <c r="AU405" s="24" t="s">
        <v>496</v>
      </c>
      <c r="AV405" s="24"/>
      <c r="AW405" s="24"/>
      <c r="AX405" s="25"/>
      <c r="AY405" s="24"/>
      <c r="AZ405" s="24" t="s">
        <v>496</v>
      </c>
      <c r="BA405" s="24"/>
      <c r="BB405" s="24"/>
      <c r="BC405" s="25"/>
      <c r="BD405" s="24"/>
      <c r="BE405" s="26">
        <v>0</v>
      </c>
      <c r="BF405" s="34">
        <f t="shared" si="87"/>
        <v>0</v>
      </c>
      <c r="BG405" s="34">
        <f t="shared" si="88"/>
        <v>0</v>
      </c>
      <c r="BH405" s="26">
        <v>0</v>
      </c>
      <c r="BI405" s="26">
        <v>0</v>
      </c>
      <c r="BJ405" s="21"/>
      <c r="BK405" s="21"/>
      <c r="BL405" s="27"/>
      <c r="BM405" s="27" t="s">
        <v>1084</v>
      </c>
      <c r="BN405" s="26"/>
      <c r="BO405" s="34"/>
      <c r="BP405" s="34"/>
      <c r="BQ405" s="34"/>
      <c r="BR405" s="34"/>
      <c r="BS405" s="34"/>
      <c r="BT405" s="34"/>
      <c r="BU405" s="34"/>
      <c r="BV405" s="34"/>
      <c r="BW405" s="34"/>
      <c r="BX405" s="34"/>
      <c r="BY405" s="34"/>
      <c r="BZ405" s="34"/>
      <c r="CA405" s="20"/>
      <c r="CB405" s="33"/>
      <c r="CC405" s="46">
        <v>45996</v>
      </c>
      <c r="CD405" s="11" t="s">
        <v>4742</v>
      </c>
    </row>
    <row r="406" spans="1:82" s="18" customFormat="1" ht="66.75" customHeight="1" x14ac:dyDescent="0.25">
      <c r="A406" s="121">
        <v>402</v>
      </c>
      <c r="B406" s="142" t="s">
        <v>4743</v>
      </c>
      <c r="C406" s="2" t="s">
        <v>4744</v>
      </c>
      <c r="D406" s="2" t="s">
        <v>4745</v>
      </c>
      <c r="E406" s="75" t="s">
        <v>113</v>
      </c>
      <c r="F406" s="12" t="s">
        <v>1628</v>
      </c>
      <c r="G406" s="7" t="s">
        <v>84</v>
      </c>
      <c r="H406" s="2" t="s">
        <v>775</v>
      </c>
      <c r="I406" s="2" t="s">
        <v>4013</v>
      </c>
      <c r="J406" s="2"/>
      <c r="K406" s="2"/>
      <c r="L406" s="2"/>
      <c r="M406" s="2" t="s">
        <v>3924</v>
      </c>
      <c r="N406" s="2" t="s">
        <v>245</v>
      </c>
      <c r="O406" s="2" t="s">
        <v>246</v>
      </c>
      <c r="P406" s="2" t="s">
        <v>3684</v>
      </c>
      <c r="Q406" s="2"/>
      <c r="R406" s="11" t="s">
        <v>3684</v>
      </c>
      <c r="S406" s="5" t="s">
        <v>92</v>
      </c>
      <c r="T406" s="2" t="s">
        <v>2587</v>
      </c>
      <c r="U406" s="181">
        <v>100000</v>
      </c>
      <c r="V406" s="7" t="s">
        <v>94</v>
      </c>
      <c r="W406" s="2" t="s">
        <v>95</v>
      </c>
      <c r="X406" s="7">
        <v>2025</v>
      </c>
      <c r="Y406" s="5" t="s">
        <v>117</v>
      </c>
      <c r="Z406" s="2" t="s">
        <v>95</v>
      </c>
      <c r="AA406" s="2" t="s">
        <v>98</v>
      </c>
      <c r="AB406" s="2" t="s">
        <v>99</v>
      </c>
      <c r="AC406" s="31" t="s">
        <v>4746</v>
      </c>
      <c r="AD406" s="31" t="s">
        <v>4721</v>
      </c>
      <c r="AE406" s="21" t="s">
        <v>4747</v>
      </c>
      <c r="AF406" s="21" t="s">
        <v>3582</v>
      </c>
      <c r="AG406" s="21" t="s">
        <v>178</v>
      </c>
      <c r="AH406" s="21" t="s">
        <v>178</v>
      </c>
      <c r="AI406" s="21" t="s">
        <v>4733</v>
      </c>
      <c r="AJ406" s="21" t="s">
        <v>4722</v>
      </c>
      <c r="AK406" s="21" t="s">
        <v>1635</v>
      </c>
      <c r="AL406" s="21" t="s">
        <v>97</v>
      </c>
      <c r="AM406" s="2"/>
      <c r="AN406" s="2" t="s">
        <v>4629</v>
      </c>
      <c r="AO406" s="2" t="s">
        <v>3818</v>
      </c>
      <c r="AP406" s="2" t="s">
        <v>3740</v>
      </c>
      <c r="AQ406" s="14" t="s">
        <v>3741</v>
      </c>
      <c r="AR406" s="20" t="s">
        <v>97</v>
      </c>
      <c r="AS406" s="20" t="s">
        <v>107</v>
      </c>
      <c r="AT406" s="21"/>
      <c r="AU406" s="8" t="s">
        <v>4748</v>
      </c>
      <c r="AV406" s="8"/>
      <c r="AW406" s="8"/>
      <c r="AX406" s="9"/>
      <c r="AY406" s="8"/>
      <c r="AZ406" s="8" t="s">
        <v>4748</v>
      </c>
      <c r="BA406" s="24"/>
      <c r="BB406" s="24"/>
      <c r="BC406" s="25"/>
      <c r="BD406" s="24"/>
      <c r="BE406" s="26">
        <v>0</v>
      </c>
      <c r="BF406" s="34">
        <f t="shared" si="87"/>
        <v>0</v>
      </c>
      <c r="BG406" s="34">
        <f t="shared" si="88"/>
        <v>0</v>
      </c>
      <c r="BH406" s="26">
        <v>0</v>
      </c>
      <c r="BI406" s="26">
        <v>0</v>
      </c>
      <c r="BJ406" s="21"/>
      <c r="BK406" s="21"/>
      <c r="BL406" s="27"/>
      <c r="BM406" s="27" t="s">
        <v>4749</v>
      </c>
      <c r="BN406" s="26"/>
      <c r="BO406" s="34"/>
      <c r="BP406" s="34"/>
      <c r="BQ406" s="34"/>
      <c r="BR406" s="34"/>
      <c r="BS406" s="34"/>
      <c r="BT406" s="34"/>
      <c r="BU406" s="34"/>
      <c r="BV406" s="34"/>
      <c r="BW406" s="34"/>
      <c r="BX406" s="34"/>
      <c r="BY406" s="34"/>
      <c r="BZ406" s="34"/>
      <c r="CA406" s="20"/>
      <c r="CB406" s="33"/>
      <c r="CC406" s="46">
        <v>45996</v>
      </c>
      <c r="CD406" s="11" t="s">
        <v>4727</v>
      </c>
    </row>
    <row r="407" spans="1:82" s="18" customFormat="1" ht="66.75" customHeight="1" x14ac:dyDescent="0.25">
      <c r="A407" s="87">
        <v>403</v>
      </c>
      <c r="B407" s="142" t="s">
        <v>4750</v>
      </c>
      <c r="C407" s="2" t="s">
        <v>4751</v>
      </c>
      <c r="D407" s="2" t="s">
        <v>4752</v>
      </c>
      <c r="E407" s="75" t="s">
        <v>113</v>
      </c>
      <c r="F407" s="12" t="s">
        <v>1628</v>
      </c>
      <c r="G407" s="7" t="s">
        <v>84</v>
      </c>
      <c r="H407" s="2" t="s">
        <v>775</v>
      </c>
      <c r="I407" s="2" t="s">
        <v>4013</v>
      </c>
      <c r="J407" s="2"/>
      <c r="K407" s="2"/>
      <c r="L407" s="2"/>
      <c r="M407" s="2" t="s">
        <v>3924</v>
      </c>
      <c r="N407" s="2" t="s">
        <v>245</v>
      </c>
      <c r="O407" s="2" t="s">
        <v>246</v>
      </c>
      <c r="P407" s="2" t="s">
        <v>3684</v>
      </c>
      <c r="Q407" s="2"/>
      <c r="R407" s="11" t="s">
        <v>3684</v>
      </c>
      <c r="S407" s="5" t="s">
        <v>92</v>
      </c>
      <c r="T407" s="2" t="s">
        <v>2587</v>
      </c>
      <c r="U407" s="181">
        <v>100000</v>
      </c>
      <c r="V407" s="7" t="s">
        <v>94</v>
      </c>
      <c r="W407" s="2" t="s">
        <v>95</v>
      </c>
      <c r="X407" s="7">
        <v>2025</v>
      </c>
      <c r="Y407" s="5" t="s">
        <v>117</v>
      </c>
      <c r="Z407" s="2" t="s">
        <v>95</v>
      </c>
      <c r="AA407" s="2" t="s">
        <v>98</v>
      </c>
      <c r="AB407" s="2" t="s">
        <v>99</v>
      </c>
      <c r="AC407" s="31" t="s">
        <v>4753</v>
      </c>
      <c r="AD407" s="31" t="s">
        <v>4721</v>
      </c>
      <c r="AE407" s="21" t="s">
        <v>4754</v>
      </c>
      <c r="AF407" s="21" t="s">
        <v>3582</v>
      </c>
      <c r="AG407" s="21" t="s">
        <v>178</v>
      </c>
      <c r="AH407" s="21" t="s">
        <v>178</v>
      </c>
      <c r="AI407" s="21" t="s">
        <v>4733</v>
      </c>
      <c r="AJ407" s="21" t="s">
        <v>4722</v>
      </c>
      <c r="AK407" s="21" t="s">
        <v>1635</v>
      </c>
      <c r="AL407" s="21" t="s">
        <v>97</v>
      </c>
      <c r="AM407" s="2"/>
      <c r="AN407" s="2" t="s">
        <v>4629</v>
      </c>
      <c r="AO407" s="2" t="s">
        <v>4755</v>
      </c>
      <c r="AP407" s="2" t="s">
        <v>3740</v>
      </c>
      <c r="AQ407" s="14" t="s">
        <v>3741</v>
      </c>
      <c r="AR407" s="20" t="s">
        <v>97</v>
      </c>
      <c r="AS407" s="20" t="s">
        <v>107</v>
      </c>
      <c r="AT407" s="21"/>
      <c r="AU407" s="8" t="s">
        <v>4756</v>
      </c>
      <c r="AV407" s="8"/>
      <c r="AW407" s="8"/>
      <c r="AX407" s="9"/>
      <c r="AY407" s="8"/>
      <c r="AZ407" s="8" t="s">
        <v>4756</v>
      </c>
      <c r="BA407" s="24"/>
      <c r="BB407" s="24"/>
      <c r="BC407" s="25"/>
      <c r="BD407" s="24"/>
      <c r="BE407" s="26">
        <v>0</v>
      </c>
      <c r="BF407" s="34">
        <f t="shared" si="87"/>
        <v>0</v>
      </c>
      <c r="BG407" s="34">
        <f t="shared" si="88"/>
        <v>0</v>
      </c>
      <c r="BH407" s="26">
        <v>0</v>
      </c>
      <c r="BI407" s="26">
        <v>0</v>
      </c>
      <c r="BJ407" s="21"/>
      <c r="BK407" s="21"/>
      <c r="BL407" s="27"/>
      <c r="BM407" s="27" t="s">
        <v>4757</v>
      </c>
      <c r="BN407" s="26"/>
      <c r="BO407" s="34"/>
      <c r="BP407" s="34"/>
      <c r="BQ407" s="34"/>
      <c r="BR407" s="34"/>
      <c r="BS407" s="34"/>
      <c r="BT407" s="34"/>
      <c r="BU407" s="34"/>
      <c r="BV407" s="34"/>
      <c r="BW407" s="34"/>
      <c r="BX407" s="34"/>
      <c r="BY407" s="34"/>
      <c r="BZ407" s="34"/>
      <c r="CA407" s="20"/>
      <c r="CB407" s="33"/>
      <c r="CC407" s="46">
        <v>45996</v>
      </c>
      <c r="CD407" s="11" t="s">
        <v>4727</v>
      </c>
    </row>
    <row r="408" spans="1:82" s="18" customFormat="1" ht="66.75" customHeight="1" x14ac:dyDescent="0.25">
      <c r="A408" s="87">
        <v>404</v>
      </c>
      <c r="B408" s="141" t="s">
        <v>4758</v>
      </c>
      <c r="C408" s="6" t="s">
        <v>4759</v>
      </c>
      <c r="D408" s="6" t="s">
        <v>4760</v>
      </c>
      <c r="E408" s="75" t="s">
        <v>113</v>
      </c>
      <c r="F408" s="4" t="s">
        <v>1628</v>
      </c>
      <c r="G408" s="5" t="s">
        <v>84</v>
      </c>
      <c r="H408" s="6" t="s">
        <v>775</v>
      </c>
      <c r="I408" s="6" t="s">
        <v>3649</v>
      </c>
      <c r="J408" s="6"/>
      <c r="K408" s="6"/>
      <c r="L408" s="6"/>
      <c r="M408" s="6" t="s">
        <v>3924</v>
      </c>
      <c r="N408" s="6" t="s">
        <v>245</v>
      </c>
      <c r="O408" s="6" t="s">
        <v>4761</v>
      </c>
      <c r="P408" s="6" t="s">
        <v>4762</v>
      </c>
      <c r="Q408" s="6"/>
      <c r="R408" s="82" t="s">
        <v>175</v>
      </c>
      <c r="S408" s="5" t="s">
        <v>92</v>
      </c>
      <c r="T408" s="6" t="s">
        <v>93</v>
      </c>
      <c r="U408" s="91">
        <v>100</v>
      </c>
      <c r="V408" s="5" t="s">
        <v>94</v>
      </c>
      <c r="W408" s="6" t="s">
        <v>95</v>
      </c>
      <c r="X408" s="5">
        <v>2025</v>
      </c>
      <c r="Y408" s="5" t="s">
        <v>117</v>
      </c>
      <c r="Z408" s="6" t="s">
        <v>97</v>
      </c>
      <c r="AA408" s="6" t="s">
        <v>98</v>
      </c>
      <c r="AB408" s="6" t="s">
        <v>99</v>
      </c>
      <c r="AC408" s="79" t="s">
        <v>4763</v>
      </c>
      <c r="AD408" s="79" t="s">
        <v>4764</v>
      </c>
      <c r="AE408" s="49" t="s">
        <v>4765</v>
      </c>
      <c r="AF408" s="49" t="s">
        <v>4765</v>
      </c>
      <c r="AG408" s="49" t="s">
        <v>4766</v>
      </c>
      <c r="AH408" s="49" t="s">
        <v>4766</v>
      </c>
      <c r="AI408" s="49" t="s">
        <v>4767</v>
      </c>
      <c r="AJ408" s="49" t="s">
        <v>4767</v>
      </c>
      <c r="AK408" s="49" t="s">
        <v>97</v>
      </c>
      <c r="AL408" s="49" t="s">
        <v>4768</v>
      </c>
      <c r="AM408" s="6" t="s">
        <v>4769</v>
      </c>
      <c r="AN408" s="6" t="s">
        <v>4770</v>
      </c>
      <c r="AO408" s="6" t="s">
        <v>4771</v>
      </c>
      <c r="AP408" s="6" t="s">
        <v>4772</v>
      </c>
      <c r="AQ408" s="6" t="s">
        <v>3754</v>
      </c>
      <c r="AR408" s="20" t="s">
        <v>97</v>
      </c>
      <c r="AS408" s="20" t="s">
        <v>107</v>
      </c>
      <c r="AT408" s="21"/>
      <c r="AU408" s="24">
        <v>0.9</v>
      </c>
      <c r="AV408" s="24">
        <f>+AU408*80%</f>
        <v>0.72000000000000008</v>
      </c>
      <c r="AW408" s="24">
        <f>+AU408*60%</f>
        <v>0.54</v>
      </c>
      <c r="AX408" s="25">
        <v>1E-4</v>
      </c>
      <c r="AY408" s="24">
        <v>0</v>
      </c>
      <c r="AZ408" s="24">
        <f>+AU408*90%</f>
        <v>0.81</v>
      </c>
      <c r="BA408" s="24">
        <f>AZ408*80%</f>
        <v>0.64800000000000013</v>
      </c>
      <c r="BB408" s="24">
        <f>AZ408*60%</f>
        <v>0.48599999999999999</v>
      </c>
      <c r="BC408" s="25">
        <v>1E-4</v>
      </c>
      <c r="BD408" s="24">
        <v>0</v>
      </c>
      <c r="BE408" s="26">
        <v>0</v>
      </c>
      <c r="BF408" s="34">
        <f t="shared" si="87"/>
        <v>0</v>
      </c>
      <c r="BG408" s="34">
        <f t="shared" si="88"/>
        <v>0</v>
      </c>
      <c r="BH408" s="26">
        <v>0</v>
      </c>
      <c r="BI408" s="26">
        <v>0</v>
      </c>
      <c r="BJ408" s="21"/>
      <c r="BK408" s="56"/>
      <c r="BL408" s="27"/>
      <c r="BM408" s="27" t="s">
        <v>4773</v>
      </c>
      <c r="BN408" s="26"/>
      <c r="BO408" s="34"/>
      <c r="BP408" s="34">
        <v>1</v>
      </c>
      <c r="BQ408" s="34"/>
      <c r="BR408" s="34"/>
      <c r="BS408" s="34"/>
      <c r="BT408" s="34"/>
      <c r="BU408" s="34"/>
      <c r="BV408" s="34"/>
      <c r="BW408" s="34"/>
      <c r="BX408" s="34"/>
      <c r="BY408" s="34"/>
      <c r="BZ408" s="34"/>
      <c r="CA408" s="20"/>
      <c r="CB408" s="21"/>
      <c r="CC408" s="35">
        <v>46003</v>
      </c>
      <c r="CD408" s="35" t="s">
        <v>4774</v>
      </c>
    </row>
    <row r="409" spans="1:82" s="18" customFormat="1" ht="66.75" customHeight="1" x14ac:dyDescent="0.25">
      <c r="A409" s="121">
        <v>405</v>
      </c>
      <c r="B409" s="141" t="s">
        <v>4775</v>
      </c>
      <c r="C409" s="6" t="s">
        <v>4776</v>
      </c>
      <c r="D409" s="6" t="s">
        <v>4777</v>
      </c>
      <c r="E409" s="75" t="s">
        <v>113</v>
      </c>
      <c r="F409" s="4" t="s">
        <v>1628</v>
      </c>
      <c r="G409" s="5" t="s">
        <v>84</v>
      </c>
      <c r="H409" s="6" t="s">
        <v>775</v>
      </c>
      <c r="I409" s="6" t="s">
        <v>4013</v>
      </c>
      <c r="J409" s="6"/>
      <c r="K409" s="6"/>
      <c r="L409" s="6"/>
      <c r="M409" s="6" t="s">
        <v>3924</v>
      </c>
      <c r="N409" s="6" t="s">
        <v>245</v>
      </c>
      <c r="O409" s="6" t="s">
        <v>246</v>
      </c>
      <c r="P409" s="6" t="s">
        <v>4778</v>
      </c>
      <c r="Q409" s="6"/>
      <c r="R409" s="6" t="s">
        <v>175</v>
      </c>
      <c r="S409" s="5" t="s">
        <v>92</v>
      </c>
      <c r="T409" s="6" t="s">
        <v>93</v>
      </c>
      <c r="U409" s="91">
        <v>100</v>
      </c>
      <c r="V409" s="5" t="s">
        <v>94</v>
      </c>
      <c r="W409" s="6" t="s">
        <v>95</v>
      </c>
      <c r="X409" s="5">
        <v>2025</v>
      </c>
      <c r="Y409" s="5" t="s">
        <v>117</v>
      </c>
      <c r="Z409" s="6" t="s">
        <v>97</v>
      </c>
      <c r="AA409" s="6" t="s">
        <v>98</v>
      </c>
      <c r="AB409" s="6" t="s">
        <v>99</v>
      </c>
      <c r="AC409" s="79" t="s">
        <v>4779</v>
      </c>
      <c r="AD409" s="79" t="s">
        <v>4780</v>
      </c>
      <c r="AE409" s="49" t="s">
        <v>3999</v>
      </c>
      <c r="AF409" s="49" t="s">
        <v>4000</v>
      </c>
      <c r="AG409" s="49" t="s">
        <v>1042</v>
      </c>
      <c r="AH409" s="49" t="s">
        <v>4781</v>
      </c>
      <c r="AI409" s="49" t="s">
        <v>4001</v>
      </c>
      <c r="AJ409" s="49" t="s">
        <v>4001</v>
      </c>
      <c r="AK409" s="49" t="s">
        <v>97</v>
      </c>
      <c r="AL409" s="49" t="s">
        <v>4782</v>
      </c>
      <c r="AM409" s="6"/>
      <c r="AN409" s="6" t="s">
        <v>4783</v>
      </c>
      <c r="AO409" s="6" t="s">
        <v>4703</v>
      </c>
      <c r="AP409" s="5" t="s">
        <v>4784</v>
      </c>
      <c r="AQ409" s="6" t="s">
        <v>4006</v>
      </c>
      <c r="AR409" s="20" t="s">
        <v>97</v>
      </c>
      <c r="AS409" s="20" t="s">
        <v>107</v>
      </c>
      <c r="AT409" s="21"/>
      <c r="AU409" s="24">
        <v>0.9</v>
      </c>
      <c r="AV409" s="24">
        <f>+AU409*80%</f>
        <v>0.72000000000000008</v>
      </c>
      <c r="AW409" s="24">
        <f>+AU409*60%</f>
        <v>0.54</v>
      </c>
      <c r="AX409" s="25">
        <v>1E-4</v>
      </c>
      <c r="AY409" s="24">
        <v>0</v>
      </c>
      <c r="AZ409" s="24">
        <f>+AU409*90%</f>
        <v>0.81</v>
      </c>
      <c r="BA409" s="24">
        <f>AZ409*80%</f>
        <v>0.64800000000000013</v>
      </c>
      <c r="BB409" s="24">
        <f>AZ409*60%</f>
        <v>0.48599999999999999</v>
      </c>
      <c r="BC409" s="25">
        <v>1E-4</v>
      </c>
      <c r="BD409" s="24">
        <v>0</v>
      </c>
      <c r="BE409" s="26">
        <v>0</v>
      </c>
      <c r="BF409" s="34">
        <f t="shared" si="87"/>
        <v>0</v>
      </c>
      <c r="BG409" s="34">
        <f t="shared" si="88"/>
        <v>0</v>
      </c>
      <c r="BH409" s="26">
        <v>0</v>
      </c>
      <c r="BI409" s="26">
        <v>0</v>
      </c>
      <c r="BJ409" s="21"/>
      <c r="BK409" s="56"/>
      <c r="BL409" s="27"/>
      <c r="BM409" s="27" t="s">
        <v>1176</v>
      </c>
      <c r="BN409" s="26"/>
      <c r="BO409" s="34"/>
      <c r="BP409" s="34"/>
      <c r="BQ409" s="34"/>
      <c r="BR409" s="34"/>
      <c r="BS409" s="34"/>
      <c r="BT409" s="34"/>
      <c r="BU409" s="34"/>
      <c r="BV409" s="34"/>
      <c r="BW409" s="34"/>
      <c r="BX409" s="34"/>
      <c r="BY409" s="34"/>
      <c r="BZ409" s="34"/>
      <c r="CA409" s="20"/>
      <c r="CB409" s="21"/>
      <c r="CC409" s="29">
        <v>46003</v>
      </c>
      <c r="CD409" s="35" t="s">
        <v>4705</v>
      </c>
    </row>
    <row r="410" spans="1:82" s="18" customFormat="1" ht="66.75" customHeight="1" x14ac:dyDescent="0.25">
      <c r="A410" s="87">
        <v>406</v>
      </c>
      <c r="B410" s="141" t="s">
        <v>4785</v>
      </c>
      <c r="C410" s="6" t="s">
        <v>4786</v>
      </c>
      <c r="D410" s="6" t="s">
        <v>4787</v>
      </c>
      <c r="E410" s="75" t="s">
        <v>113</v>
      </c>
      <c r="F410" s="4" t="s">
        <v>1628</v>
      </c>
      <c r="G410" s="5" t="s">
        <v>84</v>
      </c>
      <c r="H410" s="6" t="s">
        <v>775</v>
      </c>
      <c r="I410" s="6" t="s">
        <v>4013</v>
      </c>
      <c r="J410" s="6" t="s">
        <v>115</v>
      </c>
      <c r="K410" s="6"/>
      <c r="L410" s="6"/>
      <c r="M410" s="6" t="s">
        <v>3924</v>
      </c>
      <c r="N410" s="6" t="s">
        <v>245</v>
      </c>
      <c r="O410" s="6" t="s">
        <v>246</v>
      </c>
      <c r="P410" s="6" t="s">
        <v>3996</v>
      </c>
      <c r="Q410" s="6"/>
      <c r="R410" s="6" t="s">
        <v>175</v>
      </c>
      <c r="S410" s="5" t="s">
        <v>92</v>
      </c>
      <c r="T410" s="6" t="s">
        <v>93</v>
      </c>
      <c r="U410" s="91">
        <v>100</v>
      </c>
      <c r="V410" s="5" t="s">
        <v>94</v>
      </c>
      <c r="W410" s="6" t="s">
        <v>95</v>
      </c>
      <c r="X410" s="5">
        <v>2025</v>
      </c>
      <c r="Y410" s="5" t="s">
        <v>117</v>
      </c>
      <c r="Z410" s="6" t="s">
        <v>97</v>
      </c>
      <c r="AA410" s="6" t="s">
        <v>98</v>
      </c>
      <c r="AB410" s="6" t="s">
        <v>99</v>
      </c>
      <c r="AC410" s="79" t="s">
        <v>4788</v>
      </c>
      <c r="AD410" s="79" t="s">
        <v>4780</v>
      </c>
      <c r="AE410" s="49" t="s">
        <v>4789</v>
      </c>
      <c r="AF410" s="49" t="s">
        <v>4000</v>
      </c>
      <c r="AG410" s="49" t="s">
        <v>1042</v>
      </c>
      <c r="AH410" s="49" t="s">
        <v>4781</v>
      </c>
      <c r="AI410" s="49" t="s">
        <v>4001</v>
      </c>
      <c r="AJ410" s="49" t="s">
        <v>4001</v>
      </c>
      <c r="AK410" s="49" t="s">
        <v>97</v>
      </c>
      <c r="AL410" s="49" t="s">
        <v>4790</v>
      </c>
      <c r="AM410" s="6"/>
      <c r="AN410" s="6" t="s">
        <v>4791</v>
      </c>
      <c r="AO410" s="6" t="s">
        <v>4703</v>
      </c>
      <c r="AP410" s="5" t="s">
        <v>4784</v>
      </c>
      <c r="AQ410" s="6" t="s">
        <v>4006</v>
      </c>
      <c r="AR410" s="20" t="s">
        <v>97</v>
      </c>
      <c r="AS410" s="20" t="s">
        <v>107</v>
      </c>
      <c r="AT410" s="21"/>
      <c r="AU410" s="24">
        <v>0.9</v>
      </c>
      <c r="AV410" s="24">
        <f>+AU410*80%</f>
        <v>0.72000000000000008</v>
      </c>
      <c r="AW410" s="24">
        <f>+AU410*60%</f>
        <v>0.54</v>
      </c>
      <c r="AX410" s="25">
        <v>1E-4</v>
      </c>
      <c r="AY410" s="24">
        <v>0</v>
      </c>
      <c r="AZ410" s="24">
        <f>+AU410*90%</f>
        <v>0.81</v>
      </c>
      <c r="BA410" s="24">
        <f>AZ410*80%</f>
        <v>0.64800000000000013</v>
      </c>
      <c r="BB410" s="24">
        <f>AZ410*60%</f>
        <v>0.48599999999999999</v>
      </c>
      <c r="BC410" s="25">
        <v>1E-4</v>
      </c>
      <c r="BD410" s="24">
        <v>0</v>
      </c>
      <c r="BE410" s="26">
        <v>0</v>
      </c>
      <c r="BF410" s="34">
        <f t="shared" si="87"/>
        <v>0</v>
      </c>
      <c r="BG410" s="34">
        <f t="shared" si="88"/>
        <v>0</v>
      </c>
      <c r="BH410" s="26">
        <v>0</v>
      </c>
      <c r="BI410" s="26">
        <v>0</v>
      </c>
      <c r="BJ410" s="21"/>
      <c r="BK410" s="56"/>
      <c r="BL410" s="27"/>
      <c r="BM410" s="27" t="s">
        <v>1176</v>
      </c>
      <c r="BN410" s="26"/>
      <c r="BO410" s="34"/>
      <c r="BP410" s="34"/>
      <c r="BQ410" s="34"/>
      <c r="BR410" s="34"/>
      <c r="BS410" s="34"/>
      <c r="BT410" s="34"/>
      <c r="BU410" s="34"/>
      <c r="BV410" s="34"/>
      <c r="BW410" s="34"/>
      <c r="BX410" s="34"/>
      <c r="BY410" s="34"/>
      <c r="BZ410" s="34"/>
      <c r="CA410" s="20"/>
      <c r="CB410" s="21"/>
      <c r="CC410" s="29">
        <v>46003</v>
      </c>
      <c r="CD410" s="35" t="s">
        <v>4705</v>
      </c>
    </row>
    <row r="411" spans="1:82" s="18" customFormat="1" ht="66.75" customHeight="1" x14ac:dyDescent="0.25">
      <c r="A411" s="87">
        <v>407</v>
      </c>
      <c r="B411" s="141" t="s">
        <v>4792</v>
      </c>
      <c r="C411" s="6" t="s">
        <v>4793</v>
      </c>
      <c r="D411" s="6" t="s">
        <v>4794</v>
      </c>
      <c r="E411" s="75" t="s">
        <v>113</v>
      </c>
      <c r="F411" s="4" t="s">
        <v>1628</v>
      </c>
      <c r="G411" s="5" t="s">
        <v>84</v>
      </c>
      <c r="H411" s="6" t="s">
        <v>775</v>
      </c>
      <c r="I411" s="6" t="s">
        <v>4013</v>
      </c>
      <c r="J411" s="6" t="s">
        <v>115</v>
      </c>
      <c r="K411" s="6"/>
      <c r="L411" s="6"/>
      <c r="M411" s="6" t="s">
        <v>3924</v>
      </c>
      <c r="N411" s="6" t="s">
        <v>245</v>
      </c>
      <c r="O411" s="6" t="s">
        <v>246</v>
      </c>
      <c r="P411" s="6" t="s">
        <v>3996</v>
      </c>
      <c r="Q411" s="6"/>
      <c r="R411" s="6" t="s">
        <v>175</v>
      </c>
      <c r="S411" s="5" t="s">
        <v>92</v>
      </c>
      <c r="T411" s="6" t="s">
        <v>93</v>
      </c>
      <c r="U411" s="91">
        <v>100</v>
      </c>
      <c r="V411" s="5" t="s">
        <v>94</v>
      </c>
      <c r="W411" s="6" t="s">
        <v>95</v>
      </c>
      <c r="X411" s="5">
        <v>2025</v>
      </c>
      <c r="Y411" s="5" t="s">
        <v>117</v>
      </c>
      <c r="Z411" s="6" t="s">
        <v>97</v>
      </c>
      <c r="AA411" s="6" t="s">
        <v>98</v>
      </c>
      <c r="AB411" s="6" t="s">
        <v>99</v>
      </c>
      <c r="AC411" s="79" t="s">
        <v>4795</v>
      </c>
      <c r="AD411" s="79" t="s">
        <v>4796</v>
      </c>
      <c r="AE411" s="49" t="s">
        <v>4789</v>
      </c>
      <c r="AF411" s="49" t="s">
        <v>4000</v>
      </c>
      <c r="AG411" s="49" t="s">
        <v>1042</v>
      </c>
      <c r="AH411" s="49" t="s">
        <v>3567</v>
      </c>
      <c r="AI411" s="49" t="s">
        <v>4001</v>
      </c>
      <c r="AJ411" s="49" t="s">
        <v>4001</v>
      </c>
      <c r="AK411" s="49" t="s">
        <v>97</v>
      </c>
      <c r="AL411" s="49" t="s">
        <v>4790</v>
      </c>
      <c r="AM411" s="6"/>
      <c r="AN411" s="6" t="s">
        <v>4791</v>
      </c>
      <c r="AO411" s="6" t="s">
        <v>4703</v>
      </c>
      <c r="AP411" s="5" t="s">
        <v>4784</v>
      </c>
      <c r="AQ411" s="6" t="s">
        <v>4006</v>
      </c>
      <c r="AR411" s="20" t="s">
        <v>97</v>
      </c>
      <c r="AS411" s="20" t="s">
        <v>107</v>
      </c>
      <c r="AT411" s="21"/>
      <c r="AU411" s="24">
        <v>0.9</v>
      </c>
      <c r="AV411" s="24">
        <f>+AU411*80%</f>
        <v>0.72000000000000008</v>
      </c>
      <c r="AW411" s="24">
        <f>+AU411*60%</f>
        <v>0.54</v>
      </c>
      <c r="AX411" s="25">
        <v>1E-4</v>
      </c>
      <c r="AY411" s="24">
        <v>0</v>
      </c>
      <c r="AZ411" s="24">
        <f>+AU411*90%</f>
        <v>0.81</v>
      </c>
      <c r="BA411" s="24">
        <f>AZ411*80%</f>
        <v>0.64800000000000013</v>
      </c>
      <c r="BB411" s="24">
        <f>AZ411*60%</f>
        <v>0.48599999999999999</v>
      </c>
      <c r="BC411" s="25">
        <v>1E-4</v>
      </c>
      <c r="BD411" s="24">
        <v>0</v>
      </c>
      <c r="BE411" s="26">
        <v>0</v>
      </c>
      <c r="BF411" s="34">
        <f t="shared" si="87"/>
        <v>0</v>
      </c>
      <c r="BG411" s="34">
        <f t="shared" si="88"/>
        <v>0</v>
      </c>
      <c r="BH411" s="26">
        <v>0</v>
      </c>
      <c r="BI411" s="26">
        <v>0</v>
      </c>
      <c r="BJ411" s="21"/>
      <c r="BK411" s="56"/>
      <c r="BL411" s="27"/>
      <c r="BM411" s="27" t="s">
        <v>1176</v>
      </c>
      <c r="BN411" s="26"/>
      <c r="BO411" s="34"/>
      <c r="BP411" s="34"/>
      <c r="BQ411" s="34"/>
      <c r="BR411" s="34"/>
      <c r="BS411" s="34"/>
      <c r="BT411" s="34"/>
      <c r="BU411" s="34"/>
      <c r="BV411" s="34"/>
      <c r="BW411" s="34"/>
      <c r="BX411" s="34"/>
      <c r="BY411" s="34"/>
      <c r="BZ411" s="34"/>
      <c r="CA411" s="20"/>
      <c r="CB411" s="21"/>
      <c r="CC411" s="29">
        <v>46003</v>
      </c>
      <c r="CD411" s="35" t="s">
        <v>4705</v>
      </c>
    </row>
    <row r="412" spans="1:82" s="18" customFormat="1" ht="66.75" customHeight="1" x14ac:dyDescent="0.25">
      <c r="A412" s="121">
        <v>408</v>
      </c>
      <c r="B412" s="142" t="s">
        <v>4797</v>
      </c>
      <c r="C412" s="2" t="s">
        <v>4798</v>
      </c>
      <c r="D412" s="2" t="s">
        <v>4799</v>
      </c>
      <c r="E412" s="75" t="s">
        <v>113</v>
      </c>
      <c r="F412" s="12" t="s">
        <v>1628</v>
      </c>
      <c r="G412" s="7" t="s">
        <v>84</v>
      </c>
      <c r="H412" s="2" t="s">
        <v>775</v>
      </c>
      <c r="I412" s="2" t="s">
        <v>4013</v>
      </c>
      <c r="J412" s="2"/>
      <c r="K412" s="2"/>
      <c r="L412" s="2"/>
      <c r="M412" s="2" t="s">
        <v>3924</v>
      </c>
      <c r="N412" s="2" t="s">
        <v>245</v>
      </c>
      <c r="O412" s="2" t="s">
        <v>246</v>
      </c>
      <c r="P412" s="2" t="s">
        <v>3684</v>
      </c>
      <c r="Q412" s="2"/>
      <c r="R412" s="11" t="s">
        <v>3684</v>
      </c>
      <c r="S412" s="5" t="s">
        <v>92</v>
      </c>
      <c r="T412" s="2" t="s">
        <v>2587</v>
      </c>
      <c r="U412" s="181">
        <v>100000</v>
      </c>
      <c r="V412" s="7" t="s">
        <v>94</v>
      </c>
      <c r="W412" s="2" t="s">
        <v>95</v>
      </c>
      <c r="X412" s="7">
        <v>2025</v>
      </c>
      <c r="Y412" s="5" t="s">
        <v>117</v>
      </c>
      <c r="Z412" s="2" t="s">
        <v>95</v>
      </c>
      <c r="AA412" s="2" t="s">
        <v>98</v>
      </c>
      <c r="AB412" s="2" t="s">
        <v>99</v>
      </c>
      <c r="AC412" s="31" t="s">
        <v>4800</v>
      </c>
      <c r="AD412" s="31" t="s">
        <v>4721</v>
      </c>
      <c r="AE412" s="21" t="s">
        <v>4801</v>
      </c>
      <c r="AF412" s="21" t="s">
        <v>3582</v>
      </c>
      <c r="AG412" s="21" t="s">
        <v>178</v>
      </c>
      <c r="AH412" s="21" t="s">
        <v>178</v>
      </c>
      <c r="AI412" s="21" t="s">
        <v>4733</v>
      </c>
      <c r="AJ412" s="21" t="s">
        <v>4722</v>
      </c>
      <c r="AK412" s="21" t="s">
        <v>1635</v>
      </c>
      <c r="AL412" s="21" t="s">
        <v>97</v>
      </c>
      <c r="AM412" s="2"/>
      <c r="AN412" s="2" t="s">
        <v>4629</v>
      </c>
      <c r="AO412" s="2" t="s">
        <v>4802</v>
      </c>
      <c r="AP412" s="2" t="s">
        <v>3740</v>
      </c>
      <c r="AQ412" s="14" t="s">
        <v>3741</v>
      </c>
      <c r="AR412" s="20" t="s">
        <v>97</v>
      </c>
      <c r="AS412" s="20" t="s">
        <v>107</v>
      </c>
      <c r="AT412" s="21"/>
      <c r="AU412" s="7" t="s">
        <v>4803</v>
      </c>
      <c r="AV412" s="7"/>
      <c r="AW412" s="7"/>
      <c r="AX412" s="7"/>
      <c r="AY412" s="7"/>
      <c r="AZ412" s="7" t="s">
        <v>4803</v>
      </c>
      <c r="BA412" s="7"/>
      <c r="BB412" s="20"/>
      <c r="BC412" s="20"/>
      <c r="BD412" s="20"/>
      <c r="BE412" s="26">
        <v>0</v>
      </c>
      <c r="BF412" s="34">
        <f t="shared" si="87"/>
        <v>0</v>
      </c>
      <c r="BG412" s="34">
        <f t="shared" si="88"/>
        <v>0</v>
      </c>
      <c r="BH412" s="26">
        <v>0</v>
      </c>
      <c r="BI412" s="26">
        <v>0</v>
      </c>
      <c r="BJ412" s="21"/>
      <c r="BK412" s="21"/>
      <c r="BL412" s="27"/>
      <c r="BM412" s="27" t="s">
        <v>4804</v>
      </c>
      <c r="BN412" s="26"/>
      <c r="BO412" s="34"/>
      <c r="BP412" s="34">
        <v>1</v>
      </c>
      <c r="BQ412" s="34"/>
      <c r="BR412" s="34"/>
      <c r="BS412" s="34"/>
      <c r="BT412" s="34"/>
      <c r="BU412" s="34"/>
      <c r="BV412" s="34"/>
      <c r="BW412" s="34"/>
      <c r="BX412" s="34"/>
      <c r="BY412" s="34"/>
      <c r="BZ412" s="34"/>
      <c r="CA412" s="20"/>
      <c r="CB412" s="33"/>
      <c r="CC412" s="46">
        <v>45996</v>
      </c>
      <c r="CD412" s="11" t="s">
        <v>4727</v>
      </c>
    </row>
    <row r="413" spans="1:82" s="18" customFormat="1" ht="66.75" customHeight="1" x14ac:dyDescent="0.25">
      <c r="A413" s="87">
        <v>409</v>
      </c>
      <c r="B413" s="142" t="s">
        <v>4805</v>
      </c>
      <c r="C413" s="2" t="s">
        <v>4806</v>
      </c>
      <c r="D413" s="2" t="s">
        <v>4807</v>
      </c>
      <c r="E413" s="75" t="s">
        <v>113</v>
      </c>
      <c r="F413" s="12" t="s">
        <v>1628</v>
      </c>
      <c r="G413" s="7" t="s">
        <v>84</v>
      </c>
      <c r="H413" s="2" t="s">
        <v>775</v>
      </c>
      <c r="I413" s="2" t="s">
        <v>4013</v>
      </c>
      <c r="J413" s="2"/>
      <c r="K413" s="2"/>
      <c r="L413" s="2"/>
      <c r="M413" s="2" t="s">
        <v>3924</v>
      </c>
      <c r="N413" s="2" t="s">
        <v>245</v>
      </c>
      <c r="O413" s="2" t="s">
        <v>246</v>
      </c>
      <c r="P413" s="2" t="s">
        <v>3684</v>
      </c>
      <c r="Q413" s="2"/>
      <c r="R413" s="11" t="s">
        <v>3684</v>
      </c>
      <c r="S413" s="5" t="s">
        <v>92</v>
      </c>
      <c r="T413" s="2" t="s">
        <v>2587</v>
      </c>
      <c r="U413" s="181">
        <v>100000</v>
      </c>
      <c r="V413" s="7" t="s">
        <v>94</v>
      </c>
      <c r="W413" s="2" t="s">
        <v>95</v>
      </c>
      <c r="X413" s="7">
        <v>2025</v>
      </c>
      <c r="Y413" s="5" t="s">
        <v>117</v>
      </c>
      <c r="Z413" s="2" t="s">
        <v>95</v>
      </c>
      <c r="AA413" s="2" t="s">
        <v>98</v>
      </c>
      <c r="AB413" s="2" t="s">
        <v>99</v>
      </c>
      <c r="AC413" s="31" t="s">
        <v>4808</v>
      </c>
      <c r="AD413" s="31" t="s">
        <v>4721</v>
      </c>
      <c r="AE413" s="21" t="s">
        <v>4809</v>
      </c>
      <c r="AF413" s="21" t="s">
        <v>3582</v>
      </c>
      <c r="AG413" s="21" t="s">
        <v>178</v>
      </c>
      <c r="AH413" s="21" t="s">
        <v>178</v>
      </c>
      <c r="AI413" s="21" t="s">
        <v>4733</v>
      </c>
      <c r="AJ413" s="21" t="s">
        <v>4722</v>
      </c>
      <c r="AK413" s="21" t="s">
        <v>1635</v>
      </c>
      <c r="AL413" s="21" t="s">
        <v>97</v>
      </c>
      <c r="AM413" s="2"/>
      <c r="AN413" s="2" t="s">
        <v>4629</v>
      </c>
      <c r="AO413" s="2" t="s">
        <v>4810</v>
      </c>
      <c r="AP413" s="2" t="s">
        <v>3740</v>
      </c>
      <c r="AQ413" s="14" t="s">
        <v>3741</v>
      </c>
      <c r="AR413" s="20" t="s">
        <v>97</v>
      </c>
      <c r="AS413" s="20" t="s">
        <v>107</v>
      </c>
      <c r="AT413" s="21"/>
      <c r="AU413" s="7" t="s">
        <v>4811</v>
      </c>
      <c r="AV413" s="7"/>
      <c r="AW413" s="7"/>
      <c r="AX413" s="7"/>
      <c r="AY413" s="7"/>
      <c r="AZ413" s="7" t="s">
        <v>4811</v>
      </c>
      <c r="BA413" s="7"/>
      <c r="BB413" s="20"/>
      <c r="BC413" s="20"/>
      <c r="BD413" s="20"/>
      <c r="BE413" s="26">
        <v>0</v>
      </c>
      <c r="BF413" s="34">
        <f t="shared" si="87"/>
        <v>0</v>
      </c>
      <c r="BG413" s="34">
        <f t="shared" si="88"/>
        <v>0</v>
      </c>
      <c r="BH413" s="26">
        <v>0</v>
      </c>
      <c r="BI413" s="26">
        <v>0</v>
      </c>
      <c r="BJ413" s="21"/>
      <c r="BK413" s="21"/>
      <c r="BL413" s="27"/>
      <c r="BM413" s="27" t="s">
        <v>4812</v>
      </c>
      <c r="BN413" s="26"/>
      <c r="BO413" s="34"/>
      <c r="BP413" s="34">
        <v>1</v>
      </c>
      <c r="BQ413" s="34"/>
      <c r="BR413" s="34"/>
      <c r="BS413" s="34"/>
      <c r="BT413" s="34"/>
      <c r="BU413" s="34"/>
      <c r="BV413" s="34"/>
      <c r="BW413" s="34"/>
      <c r="BX413" s="34"/>
      <c r="BY413" s="34"/>
      <c r="BZ413" s="34"/>
      <c r="CA413" s="20"/>
      <c r="CB413" s="33"/>
      <c r="CC413" s="46">
        <v>45996</v>
      </c>
      <c r="CD413" s="11" t="s">
        <v>4727</v>
      </c>
    </row>
    <row r="414" spans="1:82" s="18" customFormat="1" ht="66.75" customHeight="1" x14ac:dyDescent="0.25">
      <c r="A414" s="87">
        <v>410</v>
      </c>
      <c r="B414" s="142" t="s">
        <v>4813</v>
      </c>
      <c r="C414" s="2" t="s">
        <v>4814</v>
      </c>
      <c r="D414" s="2" t="s">
        <v>4815</v>
      </c>
      <c r="E414" s="75" t="s">
        <v>113</v>
      </c>
      <c r="F414" s="12" t="s">
        <v>1628</v>
      </c>
      <c r="G414" s="7" t="s">
        <v>84</v>
      </c>
      <c r="H414" s="2" t="s">
        <v>775</v>
      </c>
      <c r="I414" s="2" t="s">
        <v>4013</v>
      </c>
      <c r="J414" s="2"/>
      <c r="K414" s="2"/>
      <c r="L414" s="2"/>
      <c r="M414" s="2" t="s">
        <v>3924</v>
      </c>
      <c r="N414" s="2" t="s">
        <v>245</v>
      </c>
      <c r="O414" s="2" t="s">
        <v>246</v>
      </c>
      <c r="P414" s="2" t="s">
        <v>3684</v>
      </c>
      <c r="Q414" s="2"/>
      <c r="R414" s="11" t="s">
        <v>3684</v>
      </c>
      <c r="S414" s="5" t="s">
        <v>92</v>
      </c>
      <c r="T414" s="2" t="s">
        <v>2587</v>
      </c>
      <c r="U414" s="181">
        <v>100000</v>
      </c>
      <c r="V414" s="7" t="s">
        <v>94</v>
      </c>
      <c r="W414" s="2" t="s">
        <v>95</v>
      </c>
      <c r="X414" s="7">
        <v>2025</v>
      </c>
      <c r="Y414" s="5" t="s">
        <v>117</v>
      </c>
      <c r="Z414" s="2" t="s">
        <v>95</v>
      </c>
      <c r="AA414" s="2" t="s">
        <v>98</v>
      </c>
      <c r="AB414" s="2" t="s">
        <v>99</v>
      </c>
      <c r="AC414" s="31" t="s">
        <v>4816</v>
      </c>
      <c r="AD414" s="31" t="s">
        <v>4721</v>
      </c>
      <c r="AE414" s="21" t="s">
        <v>4817</v>
      </c>
      <c r="AF414" s="21" t="s">
        <v>3582</v>
      </c>
      <c r="AG414" s="21" t="s">
        <v>178</v>
      </c>
      <c r="AH414" s="21" t="s">
        <v>178</v>
      </c>
      <c r="AI414" s="21" t="s">
        <v>4733</v>
      </c>
      <c r="AJ414" s="21" t="s">
        <v>4722</v>
      </c>
      <c r="AK414" s="21" t="s">
        <v>1635</v>
      </c>
      <c r="AL414" s="21" t="s">
        <v>97</v>
      </c>
      <c r="AM414" s="2"/>
      <c r="AN414" s="2" t="s">
        <v>4629</v>
      </c>
      <c r="AO414" s="2" t="s">
        <v>4818</v>
      </c>
      <c r="AP414" s="2" t="s">
        <v>3740</v>
      </c>
      <c r="AQ414" s="14" t="s">
        <v>3741</v>
      </c>
      <c r="AR414" s="20" t="s">
        <v>97</v>
      </c>
      <c r="AS414" s="20" t="s">
        <v>107</v>
      </c>
      <c r="AT414" s="21"/>
      <c r="AU414" s="20" t="s">
        <v>496</v>
      </c>
      <c r="AV414" s="20"/>
      <c r="AW414" s="20"/>
      <c r="AX414" s="20"/>
      <c r="AY414" s="20"/>
      <c r="AZ414" s="20" t="s">
        <v>496</v>
      </c>
      <c r="BA414" s="20"/>
      <c r="BB414" s="20"/>
      <c r="BC414" s="20"/>
      <c r="BD414" s="20"/>
      <c r="BE414" s="26">
        <v>0</v>
      </c>
      <c r="BF414" s="34">
        <f t="shared" si="87"/>
        <v>0</v>
      </c>
      <c r="BG414" s="34">
        <f t="shared" si="88"/>
        <v>0</v>
      </c>
      <c r="BH414" s="26">
        <v>0</v>
      </c>
      <c r="BI414" s="26">
        <v>0</v>
      </c>
      <c r="BJ414" s="21"/>
      <c r="BK414" s="21"/>
      <c r="BL414" s="27"/>
      <c r="BM414" s="27" t="s">
        <v>1176</v>
      </c>
      <c r="BN414" s="26"/>
      <c r="BO414" s="34"/>
      <c r="BP414" s="34">
        <v>1</v>
      </c>
      <c r="BQ414" s="34"/>
      <c r="BR414" s="34"/>
      <c r="BS414" s="34"/>
      <c r="BT414" s="34"/>
      <c r="BU414" s="34"/>
      <c r="BV414" s="34"/>
      <c r="BW414" s="34"/>
      <c r="BX414" s="34"/>
      <c r="BY414" s="34"/>
      <c r="BZ414" s="34"/>
      <c r="CA414" s="20"/>
      <c r="CB414" s="33"/>
      <c r="CC414" s="46">
        <v>45996</v>
      </c>
      <c r="CD414" s="11" t="s">
        <v>4819</v>
      </c>
    </row>
    <row r="415" spans="1:82" s="18" customFormat="1" ht="66.75" customHeight="1" x14ac:dyDescent="0.25">
      <c r="A415" s="121">
        <v>411</v>
      </c>
      <c r="B415" s="142" t="s">
        <v>4820</v>
      </c>
      <c r="C415" s="2" t="s">
        <v>4821</v>
      </c>
      <c r="D415" s="2" t="s">
        <v>4822</v>
      </c>
      <c r="E415" s="75" t="s">
        <v>113</v>
      </c>
      <c r="F415" s="12" t="s">
        <v>1628</v>
      </c>
      <c r="G415" s="7" t="s">
        <v>84</v>
      </c>
      <c r="H415" s="2" t="s">
        <v>775</v>
      </c>
      <c r="I415" s="2" t="s">
        <v>4013</v>
      </c>
      <c r="J415" s="2"/>
      <c r="K415" s="2"/>
      <c r="L415" s="2"/>
      <c r="M415" s="2" t="s">
        <v>3924</v>
      </c>
      <c r="N415" s="2" t="s">
        <v>245</v>
      </c>
      <c r="O415" s="2" t="s">
        <v>246</v>
      </c>
      <c r="P415" s="2" t="s">
        <v>3684</v>
      </c>
      <c r="Q415" s="2"/>
      <c r="R415" s="11" t="s">
        <v>3684</v>
      </c>
      <c r="S415" s="5" t="s">
        <v>92</v>
      </c>
      <c r="T415" s="2" t="s">
        <v>2587</v>
      </c>
      <c r="U415" s="181">
        <v>100000</v>
      </c>
      <c r="V415" s="7" t="s">
        <v>94</v>
      </c>
      <c r="W415" s="2" t="s">
        <v>95</v>
      </c>
      <c r="X415" s="7">
        <v>2025</v>
      </c>
      <c r="Y415" s="5" t="s">
        <v>117</v>
      </c>
      <c r="Z415" s="2" t="s">
        <v>95</v>
      </c>
      <c r="AA415" s="2" t="s">
        <v>98</v>
      </c>
      <c r="AB415" s="2" t="s">
        <v>99</v>
      </c>
      <c r="AC415" s="31" t="s">
        <v>4823</v>
      </c>
      <c r="AD415" s="31" t="s">
        <v>4721</v>
      </c>
      <c r="AE415" s="21" t="s">
        <v>4824</v>
      </c>
      <c r="AF415" s="21" t="s">
        <v>3582</v>
      </c>
      <c r="AG415" s="21" t="s">
        <v>178</v>
      </c>
      <c r="AH415" s="21" t="s">
        <v>178</v>
      </c>
      <c r="AI415" s="21" t="s">
        <v>4733</v>
      </c>
      <c r="AJ415" s="21" t="s">
        <v>4722</v>
      </c>
      <c r="AK415" s="21" t="s">
        <v>1635</v>
      </c>
      <c r="AL415" s="21" t="s">
        <v>97</v>
      </c>
      <c r="AM415" s="2"/>
      <c r="AN415" s="2" t="s">
        <v>4629</v>
      </c>
      <c r="AO415" s="2" t="s">
        <v>4825</v>
      </c>
      <c r="AP415" s="2" t="s">
        <v>3740</v>
      </c>
      <c r="AQ415" s="14" t="s">
        <v>3741</v>
      </c>
      <c r="AR415" s="20" t="s">
        <v>97</v>
      </c>
      <c r="AS415" s="20" t="s">
        <v>107</v>
      </c>
      <c r="AT415" s="21"/>
      <c r="AU415" s="20" t="s">
        <v>496</v>
      </c>
      <c r="AV415" s="20"/>
      <c r="AW415" s="20"/>
      <c r="AX415" s="20"/>
      <c r="AY415" s="20"/>
      <c r="AZ415" s="20" t="s">
        <v>496</v>
      </c>
      <c r="BA415" s="20"/>
      <c r="BB415" s="20"/>
      <c r="BC415" s="20"/>
      <c r="BD415" s="20"/>
      <c r="BE415" s="26">
        <v>0</v>
      </c>
      <c r="BF415" s="34">
        <f t="shared" si="87"/>
        <v>0</v>
      </c>
      <c r="BG415" s="34">
        <f t="shared" si="88"/>
        <v>0</v>
      </c>
      <c r="BH415" s="26">
        <v>0</v>
      </c>
      <c r="BI415" s="26">
        <v>0</v>
      </c>
      <c r="BJ415" s="21"/>
      <c r="BK415" s="21"/>
      <c r="BL415" s="27"/>
      <c r="BM415" s="27" t="s">
        <v>1084</v>
      </c>
      <c r="BN415" s="26"/>
      <c r="BO415" s="34"/>
      <c r="BP415" s="34">
        <v>1</v>
      </c>
      <c r="BQ415" s="34"/>
      <c r="BR415" s="34"/>
      <c r="BS415" s="34"/>
      <c r="BT415" s="34"/>
      <c r="BU415" s="34"/>
      <c r="BV415" s="34"/>
      <c r="BW415" s="34"/>
      <c r="BX415" s="34"/>
      <c r="BY415" s="34"/>
      <c r="BZ415" s="34"/>
      <c r="CA415" s="20"/>
      <c r="CB415" s="33"/>
      <c r="CC415" s="46">
        <v>45996</v>
      </c>
      <c r="CD415" s="11" t="s">
        <v>4742</v>
      </c>
    </row>
    <row r="416" spans="1:82" s="18" customFormat="1" ht="93" customHeight="1" x14ac:dyDescent="0.25">
      <c r="A416" s="87">
        <v>412</v>
      </c>
      <c r="B416" s="142" t="s">
        <v>4826</v>
      </c>
      <c r="C416" s="2" t="s">
        <v>4827</v>
      </c>
      <c r="D416" s="2" t="s">
        <v>4828</v>
      </c>
      <c r="E416" s="75" t="s">
        <v>113</v>
      </c>
      <c r="F416" s="12" t="s">
        <v>1628</v>
      </c>
      <c r="G416" s="7" t="s">
        <v>84</v>
      </c>
      <c r="H416" s="2" t="s">
        <v>775</v>
      </c>
      <c r="I416" s="2" t="s">
        <v>4013</v>
      </c>
      <c r="J416" s="2"/>
      <c r="K416" s="2"/>
      <c r="L416" s="2"/>
      <c r="M416" s="2" t="s">
        <v>3924</v>
      </c>
      <c r="N416" s="2" t="s">
        <v>245</v>
      </c>
      <c r="O416" s="2" t="s">
        <v>246</v>
      </c>
      <c r="P416" s="2" t="s">
        <v>3684</v>
      </c>
      <c r="Q416" s="2"/>
      <c r="R416" s="11" t="s">
        <v>3684</v>
      </c>
      <c r="S416" s="5" t="s">
        <v>92</v>
      </c>
      <c r="T416" s="2" t="s">
        <v>2587</v>
      </c>
      <c r="U416" s="181">
        <v>100000</v>
      </c>
      <c r="V416" s="7" t="s">
        <v>94</v>
      </c>
      <c r="W416" s="2" t="s">
        <v>95</v>
      </c>
      <c r="X416" s="7">
        <v>2025</v>
      </c>
      <c r="Y416" s="5" t="s">
        <v>117</v>
      </c>
      <c r="Z416" s="2" t="s">
        <v>95</v>
      </c>
      <c r="AA416" s="2" t="s">
        <v>98</v>
      </c>
      <c r="AB416" s="2" t="s">
        <v>99</v>
      </c>
      <c r="AC416" s="31" t="s">
        <v>4829</v>
      </c>
      <c r="AD416" s="31" t="s">
        <v>4721</v>
      </c>
      <c r="AE416" s="21" t="s">
        <v>4830</v>
      </c>
      <c r="AF416" s="21" t="s">
        <v>3582</v>
      </c>
      <c r="AG416" s="21" t="s">
        <v>178</v>
      </c>
      <c r="AH416" s="21" t="s">
        <v>178</v>
      </c>
      <c r="AI416" s="21" t="s">
        <v>4733</v>
      </c>
      <c r="AJ416" s="21" t="s">
        <v>4722</v>
      </c>
      <c r="AK416" s="21" t="s">
        <v>1635</v>
      </c>
      <c r="AL416" s="21" t="s">
        <v>97</v>
      </c>
      <c r="AM416" s="2"/>
      <c r="AN416" s="2" t="s">
        <v>4831</v>
      </c>
      <c r="AO416" s="2" t="s">
        <v>4832</v>
      </c>
      <c r="AP416" s="2" t="s">
        <v>3740</v>
      </c>
      <c r="AQ416" s="14" t="s">
        <v>3741</v>
      </c>
      <c r="AR416" s="20" t="s">
        <v>97</v>
      </c>
      <c r="AS416" s="20" t="s">
        <v>107</v>
      </c>
      <c r="AT416" s="21"/>
      <c r="AU416" s="7" t="s">
        <v>4833</v>
      </c>
      <c r="AV416" s="7"/>
      <c r="AW416" s="7"/>
      <c r="AX416" s="7"/>
      <c r="AY416" s="7"/>
      <c r="AZ416" s="7" t="s">
        <v>4833</v>
      </c>
      <c r="BA416" s="20"/>
      <c r="BB416" s="20"/>
      <c r="BC416" s="20"/>
      <c r="BD416" s="20"/>
      <c r="BE416" s="26">
        <v>0</v>
      </c>
      <c r="BF416" s="34">
        <f t="shared" si="87"/>
        <v>0</v>
      </c>
      <c r="BG416" s="34">
        <f t="shared" si="88"/>
        <v>0</v>
      </c>
      <c r="BH416" s="26">
        <v>0</v>
      </c>
      <c r="BI416" s="26">
        <v>0</v>
      </c>
      <c r="BJ416" s="21"/>
      <c r="BK416" s="21"/>
      <c r="BL416" s="27"/>
      <c r="BM416" s="27" t="s">
        <v>4834</v>
      </c>
      <c r="BN416" s="26"/>
      <c r="BO416" s="34"/>
      <c r="BP416" s="34">
        <v>1</v>
      </c>
      <c r="BQ416" s="34"/>
      <c r="BR416" s="34"/>
      <c r="BS416" s="34"/>
      <c r="BT416" s="34"/>
      <c r="BU416" s="34"/>
      <c r="BV416" s="34"/>
      <c r="BW416" s="34"/>
      <c r="BX416" s="34"/>
      <c r="BY416" s="34"/>
      <c r="BZ416" s="34"/>
      <c r="CA416" s="20"/>
      <c r="CB416" s="33"/>
      <c r="CC416" s="46">
        <v>45996</v>
      </c>
      <c r="CD416" s="11" t="s">
        <v>4727</v>
      </c>
    </row>
    <row r="417" spans="1:82" s="18" customFormat="1" ht="66.75" customHeight="1" x14ac:dyDescent="0.25">
      <c r="A417" s="87">
        <v>413</v>
      </c>
      <c r="B417" s="142" t="s">
        <v>4835</v>
      </c>
      <c r="C417" s="2" t="s">
        <v>4836</v>
      </c>
      <c r="D417" s="2" t="s">
        <v>4837</v>
      </c>
      <c r="E417" s="75" t="s">
        <v>113</v>
      </c>
      <c r="F417" s="12" t="s">
        <v>1628</v>
      </c>
      <c r="G417" s="7" t="s">
        <v>84</v>
      </c>
      <c r="H417" s="2" t="s">
        <v>775</v>
      </c>
      <c r="I417" s="2" t="s">
        <v>4013</v>
      </c>
      <c r="J417" s="2"/>
      <c r="K417" s="2"/>
      <c r="L417" s="2"/>
      <c r="M417" s="2" t="s">
        <v>3924</v>
      </c>
      <c r="N417" s="2" t="s">
        <v>245</v>
      </c>
      <c r="O417" s="2" t="s">
        <v>246</v>
      </c>
      <c r="P417" s="2" t="s">
        <v>4838</v>
      </c>
      <c r="Q417" s="2"/>
      <c r="R417" s="11" t="s">
        <v>2587</v>
      </c>
      <c r="S417" s="5" t="s">
        <v>92</v>
      </c>
      <c r="T417" s="2" t="s">
        <v>2587</v>
      </c>
      <c r="U417" s="181">
        <v>100000</v>
      </c>
      <c r="V417" s="7" t="s">
        <v>94</v>
      </c>
      <c r="W417" s="2" t="s">
        <v>95</v>
      </c>
      <c r="X417" s="7">
        <v>2025</v>
      </c>
      <c r="Y417" s="5" t="s">
        <v>117</v>
      </c>
      <c r="Z417" s="2" t="s">
        <v>97</v>
      </c>
      <c r="AA417" s="2" t="s">
        <v>98</v>
      </c>
      <c r="AB417" s="2" t="s">
        <v>99</v>
      </c>
      <c r="AC417" s="31" t="s">
        <v>4839</v>
      </c>
      <c r="AD417" s="31" t="s">
        <v>4721</v>
      </c>
      <c r="AE417" s="21" t="s">
        <v>4840</v>
      </c>
      <c r="AF417" s="21" t="s">
        <v>3582</v>
      </c>
      <c r="AG417" s="21" t="s">
        <v>4686</v>
      </c>
      <c r="AH417" s="21" t="s">
        <v>178</v>
      </c>
      <c r="AI417" s="21" t="s">
        <v>4841</v>
      </c>
      <c r="AJ417" s="21" t="s">
        <v>4722</v>
      </c>
      <c r="AK417" s="21" t="s">
        <v>1635</v>
      </c>
      <c r="AL417" s="21" t="s">
        <v>97</v>
      </c>
      <c r="AM417" s="2"/>
      <c r="AN417" s="2" t="s">
        <v>4629</v>
      </c>
      <c r="AO417" s="2" t="s">
        <v>4842</v>
      </c>
      <c r="AP417" s="2" t="s">
        <v>3740</v>
      </c>
      <c r="AQ417" s="14" t="s">
        <v>3741</v>
      </c>
      <c r="AR417" s="20" t="s">
        <v>97</v>
      </c>
      <c r="AS417" s="20" t="s">
        <v>107</v>
      </c>
      <c r="AT417" s="21"/>
      <c r="AU417" s="7" t="s">
        <v>4843</v>
      </c>
      <c r="AV417" s="7"/>
      <c r="AW417" s="7"/>
      <c r="AX417" s="7"/>
      <c r="AY417" s="7"/>
      <c r="AZ417" s="7" t="s">
        <v>4843</v>
      </c>
      <c r="BA417" s="20"/>
      <c r="BB417" s="20"/>
      <c r="BC417" s="20"/>
      <c r="BD417" s="20"/>
      <c r="BE417" s="26">
        <v>0</v>
      </c>
      <c r="BF417" s="34">
        <f t="shared" si="87"/>
        <v>0</v>
      </c>
      <c r="BG417" s="34">
        <f t="shared" si="88"/>
        <v>0</v>
      </c>
      <c r="BH417" s="26">
        <v>0</v>
      </c>
      <c r="BI417" s="26">
        <v>0</v>
      </c>
      <c r="BJ417" s="21"/>
      <c r="BK417" s="21"/>
      <c r="BL417" s="27"/>
      <c r="BM417" s="27" t="s">
        <v>1176</v>
      </c>
      <c r="BN417" s="26"/>
      <c r="BO417" s="34"/>
      <c r="BP417" s="34">
        <v>1</v>
      </c>
      <c r="BQ417" s="34"/>
      <c r="BR417" s="34"/>
      <c r="BS417" s="34"/>
      <c r="BT417" s="34"/>
      <c r="BU417" s="34"/>
      <c r="BV417" s="34"/>
      <c r="BW417" s="34"/>
      <c r="BX417" s="34"/>
      <c r="BY417" s="34"/>
      <c r="BZ417" s="34"/>
      <c r="CA417" s="20"/>
      <c r="CB417" s="33"/>
      <c r="CC417" s="46">
        <v>45996</v>
      </c>
      <c r="CD417" s="11" t="s">
        <v>4742</v>
      </c>
    </row>
    <row r="418" spans="1:82" s="18" customFormat="1" ht="66.75" customHeight="1" x14ac:dyDescent="0.25">
      <c r="A418" s="121">
        <v>414</v>
      </c>
      <c r="B418" s="141" t="s">
        <v>4844</v>
      </c>
      <c r="C418" s="6" t="s">
        <v>4845</v>
      </c>
      <c r="D418" s="6" t="s">
        <v>4846</v>
      </c>
      <c r="E418" s="75" t="s">
        <v>113</v>
      </c>
      <c r="F418" s="4" t="s">
        <v>1628</v>
      </c>
      <c r="G418" s="5" t="s">
        <v>84</v>
      </c>
      <c r="H418" s="6" t="s">
        <v>775</v>
      </c>
      <c r="I418" s="6" t="s">
        <v>4013</v>
      </c>
      <c r="J418" s="6"/>
      <c r="K418" s="6"/>
      <c r="L418" s="6"/>
      <c r="M418" s="6" t="s">
        <v>3924</v>
      </c>
      <c r="N418" s="6" t="s">
        <v>245</v>
      </c>
      <c r="O418" s="6" t="s">
        <v>246</v>
      </c>
      <c r="P418" s="6" t="s">
        <v>4847</v>
      </c>
      <c r="Q418" s="6"/>
      <c r="R418" s="6" t="s">
        <v>4681</v>
      </c>
      <c r="S418" s="5" t="s">
        <v>92</v>
      </c>
      <c r="T418" s="6" t="s">
        <v>93</v>
      </c>
      <c r="U418" s="91">
        <v>100</v>
      </c>
      <c r="V418" s="5" t="s">
        <v>94</v>
      </c>
      <c r="W418" s="6" t="s">
        <v>95</v>
      </c>
      <c r="X418" s="5">
        <v>2025</v>
      </c>
      <c r="Y418" s="5" t="s">
        <v>117</v>
      </c>
      <c r="Z418" s="6" t="s">
        <v>97</v>
      </c>
      <c r="AA418" s="6" t="s">
        <v>98</v>
      </c>
      <c r="AB418" s="6" t="s">
        <v>99</v>
      </c>
      <c r="AC418" s="79" t="s">
        <v>4848</v>
      </c>
      <c r="AD418" s="79" t="s">
        <v>4683</v>
      </c>
      <c r="AE418" s="49" t="s">
        <v>4685</v>
      </c>
      <c r="AF418" s="49" t="s">
        <v>4685</v>
      </c>
      <c r="AG418" s="49" t="s">
        <v>178</v>
      </c>
      <c r="AH418" s="49" t="s">
        <v>178</v>
      </c>
      <c r="AI418" s="49" t="s">
        <v>4688</v>
      </c>
      <c r="AJ418" s="49" t="s">
        <v>4688</v>
      </c>
      <c r="AK418" s="6" t="s">
        <v>1635</v>
      </c>
      <c r="AL418" s="6" t="s">
        <v>1635</v>
      </c>
      <c r="AM418" s="6"/>
      <c r="AN418" s="6" t="s">
        <v>4629</v>
      </c>
      <c r="AO418" s="6" t="s">
        <v>4703</v>
      </c>
      <c r="AP418" s="5" t="s">
        <v>4692</v>
      </c>
      <c r="AQ418" s="6" t="s">
        <v>3990</v>
      </c>
      <c r="AR418" s="20" t="s">
        <v>97</v>
      </c>
      <c r="AS418" s="20" t="s">
        <v>107</v>
      </c>
      <c r="AT418" s="21"/>
      <c r="AU418" s="59">
        <v>0.6</v>
      </c>
      <c r="AV418" s="24">
        <f>+AU418*80%</f>
        <v>0.48</v>
      </c>
      <c r="AW418" s="24">
        <f>+AU418*60%</f>
        <v>0.36</v>
      </c>
      <c r="AX418" s="25">
        <v>1E-4</v>
      </c>
      <c r="AY418" s="24">
        <v>0</v>
      </c>
      <c r="AZ418" s="24">
        <f>+AU418*90%</f>
        <v>0.54</v>
      </c>
      <c r="BA418" s="24">
        <f>AZ418*80%</f>
        <v>0.43200000000000005</v>
      </c>
      <c r="BB418" s="24">
        <f>AZ418*60%</f>
        <v>0.32400000000000001</v>
      </c>
      <c r="BC418" s="25">
        <v>1E-4</v>
      </c>
      <c r="BD418" s="24">
        <v>0</v>
      </c>
      <c r="BE418" s="26">
        <v>0</v>
      </c>
      <c r="BF418" s="34">
        <f t="shared" si="87"/>
        <v>0</v>
      </c>
      <c r="BG418" s="34">
        <f t="shared" si="88"/>
        <v>0</v>
      </c>
      <c r="BH418" s="26">
        <v>0</v>
      </c>
      <c r="BI418" s="26">
        <v>0</v>
      </c>
      <c r="BJ418" s="21"/>
      <c r="BK418" s="63"/>
      <c r="BL418" s="27"/>
      <c r="BM418" s="27" t="s">
        <v>1176</v>
      </c>
      <c r="BN418" s="26"/>
      <c r="BO418" s="34"/>
      <c r="BP418" s="34">
        <v>1</v>
      </c>
      <c r="BQ418" s="34"/>
      <c r="BR418" s="34"/>
      <c r="BS418" s="34"/>
      <c r="BT418" s="34"/>
      <c r="BU418" s="34"/>
      <c r="BV418" s="34"/>
      <c r="BW418" s="34"/>
      <c r="BX418" s="34"/>
      <c r="BY418" s="34"/>
      <c r="BZ418" s="34"/>
      <c r="CA418" s="20"/>
      <c r="CB418" s="21"/>
      <c r="CC418" s="29">
        <v>46003</v>
      </c>
      <c r="CD418" s="35" t="s">
        <v>4705</v>
      </c>
    </row>
    <row r="419" spans="1:82" s="18" customFormat="1" ht="66.75" customHeight="1" x14ac:dyDescent="0.25">
      <c r="A419" s="87">
        <v>415</v>
      </c>
      <c r="B419" s="142" t="s">
        <v>4849</v>
      </c>
      <c r="C419" s="2" t="s">
        <v>4850</v>
      </c>
      <c r="D419" s="2" t="s">
        <v>4851</v>
      </c>
      <c r="E419" s="75" t="s">
        <v>113</v>
      </c>
      <c r="F419" s="12" t="s">
        <v>1628</v>
      </c>
      <c r="G419" s="7" t="s">
        <v>84</v>
      </c>
      <c r="H419" s="2" t="s">
        <v>775</v>
      </c>
      <c r="I419" s="2" t="s">
        <v>4013</v>
      </c>
      <c r="J419" s="2"/>
      <c r="K419" s="2"/>
      <c r="L419" s="2"/>
      <c r="M419" s="2" t="s">
        <v>3924</v>
      </c>
      <c r="N419" s="2" t="s">
        <v>245</v>
      </c>
      <c r="O419" s="2" t="s">
        <v>246</v>
      </c>
      <c r="P419" s="2" t="s">
        <v>4850</v>
      </c>
      <c r="Q419" s="2"/>
      <c r="R419" s="2" t="s">
        <v>4681</v>
      </c>
      <c r="S419" s="5" t="s">
        <v>92</v>
      </c>
      <c r="T419" s="2" t="s">
        <v>93</v>
      </c>
      <c r="U419" s="181">
        <v>100</v>
      </c>
      <c r="V419" s="7" t="s">
        <v>94</v>
      </c>
      <c r="W419" s="2" t="s">
        <v>95</v>
      </c>
      <c r="X419" s="7">
        <v>2025</v>
      </c>
      <c r="Y419" s="5" t="s">
        <v>117</v>
      </c>
      <c r="Z419" s="2" t="s">
        <v>97</v>
      </c>
      <c r="AA419" s="2" t="s">
        <v>98</v>
      </c>
      <c r="AB419" s="2" t="s">
        <v>99</v>
      </c>
      <c r="AC419" s="31" t="s">
        <v>4839</v>
      </c>
      <c r="AD419" s="31" t="s">
        <v>4683</v>
      </c>
      <c r="AE419" s="21" t="s">
        <v>4840</v>
      </c>
      <c r="AF419" s="21" t="s">
        <v>4685</v>
      </c>
      <c r="AG419" s="21" t="s">
        <v>4686</v>
      </c>
      <c r="AH419" s="21" t="s">
        <v>4686</v>
      </c>
      <c r="AI419" s="21" t="s">
        <v>4841</v>
      </c>
      <c r="AJ419" s="21" t="s">
        <v>4688</v>
      </c>
      <c r="AK419" s="21" t="s">
        <v>1635</v>
      </c>
      <c r="AL419" s="21" t="s">
        <v>1635</v>
      </c>
      <c r="AM419" s="2" t="s">
        <v>4852</v>
      </c>
      <c r="AN419" s="2" t="s">
        <v>4629</v>
      </c>
      <c r="AO419" s="7" t="s">
        <v>4853</v>
      </c>
      <c r="AP419" s="2" t="s">
        <v>4854</v>
      </c>
      <c r="AQ419" s="14" t="s">
        <v>3754</v>
      </c>
      <c r="AR419" s="20" t="s">
        <v>97</v>
      </c>
      <c r="AS419" s="20" t="s">
        <v>107</v>
      </c>
      <c r="AT419" s="21"/>
      <c r="AU419" s="24" t="s">
        <v>4855</v>
      </c>
      <c r="AV419" s="24"/>
      <c r="AW419" s="24"/>
      <c r="AX419" s="25" t="s">
        <v>4856</v>
      </c>
      <c r="AY419" s="24"/>
      <c r="AZ419" s="24" t="s">
        <v>4855</v>
      </c>
      <c r="BA419" s="24"/>
      <c r="BB419" s="24"/>
      <c r="BC419" s="25">
        <v>1E-4</v>
      </c>
      <c r="BD419" s="24">
        <v>0</v>
      </c>
      <c r="BE419" s="26">
        <v>0</v>
      </c>
      <c r="BF419" s="34">
        <f t="shared" si="87"/>
        <v>0</v>
      </c>
      <c r="BG419" s="34">
        <f t="shared" si="88"/>
        <v>0</v>
      </c>
      <c r="BH419" s="26">
        <v>0</v>
      </c>
      <c r="BI419" s="26">
        <v>0</v>
      </c>
      <c r="BJ419" s="21"/>
      <c r="BK419" s="21"/>
      <c r="BL419" s="27"/>
      <c r="BM419" s="27" t="s">
        <v>1176</v>
      </c>
      <c r="BN419" s="26"/>
      <c r="BO419" s="34"/>
      <c r="BP419" s="34"/>
      <c r="BQ419" s="34"/>
      <c r="BR419" s="34"/>
      <c r="BS419" s="34"/>
      <c r="BT419" s="34"/>
      <c r="BU419" s="34"/>
      <c r="BV419" s="34"/>
      <c r="BW419" s="34"/>
      <c r="BX419" s="34"/>
      <c r="BY419" s="34"/>
      <c r="BZ419" s="34"/>
      <c r="CA419" s="20"/>
      <c r="CB419" s="33"/>
      <c r="CC419" s="46">
        <v>45996</v>
      </c>
      <c r="CD419" s="11" t="s">
        <v>4857</v>
      </c>
    </row>
    <row r="420" spans="1:82" s="18" customFormat="1" ht="66.75" customHeight="1" x14ac:dyDescent="0.25">
      <c r="A420" s="87">
        <v>416</v>
      </c>
      <c r="B420" s="142" t="s">
        <v>4858</v>
      </c>
      <c r="C420" s="2" t="s">
        <v>4859</v>
      </c>
      <c r="D420" s="2" t="s">
        <v>4860</v>
      </c>
      <c r="E420" s="75" t="s">
        <v>113</v>
      </c>
      <c r="F420" s="12" t="s">
        <v>1628</v>
      </c>
      <c r="G420" s="7" t="s">
        <v>84</v>
      </c>
      <c r="H420" s="2" t="s">
        <v>775</v>
      </c>
      <c r="I420" s="2" t="s">
        <v>4013</v>
      </c>
      <c r="J420" s="2"/>
      <c r="K420" s="2"/>
      <c r="L420" s="2"/>
      <c r="M420" s="2" t="s">
        <v>3924</v>
      </c>
      <c r="N420" s="2" t="s">
        <v>245</v>
      </c>
      <c r="O420" s="2" t="s">
        <v>246</v>
      </c>
      <c r="P420" s="2" t="s">
        <v>3684</v>
      </c>
      <c r="Q420" s="2"/>
      <c r="R420" s="11" t="s">
        <v>3684</v>
      </c>
      <c r="S420" s="5" t="s">
        <v>92</v>
      </c>
      <c r="T420" s="2" t="s">
        <v>2587</v>
      </c>
      <c r="U420" s="181">
        <v>100000</v>
      </c>
      <c r="V420" s="7" t="s">
        <v>94</v>
      </c>
      <c r="W420" s="2" t="s">
        <v>95</v>
      </c>
      <c r="X420" s="7">
        <v>2025</v>
      </c>
      <c r="Y420" s="5" t="s">
        <v>117</v>
      </c>
      <c r="Z420" s="2" t="s">
        <v>95</v>
      </c>
      <c r="AA420" s="2" t="s">
        <v>98</v>
      </c>
      <c r="AB420" s="2" t="s">
        <v>99</v>
      </c>
      <c r="AC420" s="31" t="s">
        <v>4861</v>
      </c>
      <c r="AD420" s="31" t="s">
        <v>4721</v>
      </c>
      <c r="AE420" s="2" t="s">
        <v>7460</v>
      </c>
      <c r="AF420" s="21" t="s">
        <v>3582</v>
      </c>
      <c r="AG420" s="21" t="s">
        <v>178</v>
      </c>
      <c r="AH420" s="21" t="s">
        <v>178</v>
      </c>
      <c r="AI420" s="21" t="s">
        <v>4733</v>
      </c>
      <c r="AJ420" s="21" t="s">
        <v>4722</v>
      </c>
      <c r="AK420" s="21" t="s">
        <v>1635</v>
      </c>
      <c r="AL420" s="21" t="s">
        <v>97</v>
      </c>
      <c r="AM420" s="2"/>
      <c r="AN420" s="2" t="s">
        <v>4629</v>
      </c>
      <c r="AO420" s="2" t="s">
        <v>4862</v>
      </c>
      <c r="AP420" s="2" t="s">
        <v>3740</v>
      </c>
      <c r="AQ420" s="14" t="s">
        <v>3741</v>
      </c>
      <c r="AR420" s="20" t="s">
        <v>97</v>
      </c>
      <c r="AS420" s="20" t="s">
        <v>107</v>
      </c>
      <c r="AT420" s="21"/>
      <c r="AU420" s="222" t="s">
        <v>4863</v>
      </c>
      <c r="AV420" s="8"/>
      <c r="AW420" s="8"/>
      <c r="AX420" s="9"/>
      <c r="AY420" s="8"/>
      <c r="AZ420" s="221" t="s">
        <v>4863</v>
      </c>
      <c r="BA420" s="8"/>
      <c r="BB420" s="24"/>
      <c r="BC420" s="25"/>
      <c r="BD420" s="24"/>
      <c r="BE420" s="26">
        <v>0</v>
      </c>
      <c r="BF420" s="34">
        <f t="shared" si="87"/>
        <v>0</v>
      </c>
      <c r="BG420" s="34">
        <f t="shared" si="88"/>
        <v>0</v>
      </c>
      <c r="BH420" s="26">
        <v>0</v>
      </c>
      <c r="BI420" s="26">
        <v>0</v>
      </c>
      <c r="BJ420" s="21"/>
      <c r="BK420" s="21"/>
      <c r="BL420" s="27"/>
      <c r="BM420" s="27" t="s">
        <v>4864</v>
      </c>
      <c r="BN420" s="26"/>
      <c r="BO420" s="34"/>
      <c r="BP420" s="34">
        <v>1</v>
      </c>
      <c r="BQ420" s="34"/>
      <c r="BR420" s="34"/>
      <c r="BS420" s="34"/>
      <c r="BT420" s="34"/>
      <c r="BU420" s="34"/>
      <c r="BV420" s="34"/>
      <c r="BW420" s="34"/>
      <c r="BX420" s="34"/>
      <c r="BY420" s="34"/>
      <c r="BZ420" s="34"/>
      <c r="CA420" s="20"/>
      <c r="CB420" s="33"/>
      <c r="CC420" s="46">
        <v>45996</v>
      </c>
      <c r="CD420" s="11" t="s">
        <v>4865</v>
      </c>
    </row>
    <row r="421" spans="1:82" s="18" customFormat="1" ht="66.75" customHeight="1" x14ac:dyDescent="0.25">
      <c r="A421" s="121">
        <v>417</v>
      </c>
      <c r="B421" s="142" t="s">
        <v>4866</v>
      </c>
      <c r="C421" s="2" t="s">
        <v>4867</v>
      </c>
      <c r="D421" s="2" t="s">
        <v>4868</v>
      </c>
      <c r="E421" s="75" t="s">
        <v>113</v>
      </c>
      <c r="F421" s="12" t="s">
        <v>1628</v>
      </c>
      <c r="G421" s="7" t="s">
        <v>84</v>
      </c>
      <c r="H421" s="2" t="s">
        <v>775</v>
      </c>
      <c r="I421" s="2" t="s">
        <v>4129</v>
      </c>
      <c r="J421" s="2"/>
      <c r="K421" s="2"/>
      <c r="L421" s="2"/>
      <c r="M421" s="2" t="s">
        <v>3924</v>
      </c>
      <c r="N421" s="2" t="s">
        <v>245</v>
      </c>
      <c r="O421" s="2" t="s">
        <v>246</v>
      </c>
      <c r="P421" s="2" t="s">
        <v>4869</v>
      </c>
      <c r="Q421" s="2"/>
      <c r="R421" s="11" t="s">
        <v>2587</v>
      </c>
      <c r="S421" s="5" t="s">
        <v>92</v>
      </c>
      <c r="T421" s="2" t="s">
        <v>2587</v>
      </c>
      <c r="U421" s="181">
        <v>100000</v>
      </c>
      <c r="V421" s="7" t="s">
        <v>94</v>
      </c>
      <c r="W421" s="2" t="s">
        <v>95</v>
      </c>
      <c r="X421" s="7">
        <v>2025</v>
      </c>
      <c r="Y421" s="5" t="s">
        <v>117</v>
      </c>
      <c r="Z421" s="2" t="s">
        <v>95</v>
      </c>
      <c r="AA421" s="2" t="s">
        <v>98</v>
      </c>
      <c r="AB421" s="2" t="s">
        <v>99</v>
      </c>
      <c r="AC421" s="31" t="s">
        <v>4870</v>
      </c>
      <c r="AD421" s="31" t="s">
        <v>4721</v>
      </c>
      <c r="AE421" s="84" t="s">
        <v>7461</v>
      </c>
      <c r="AF421" s="49" t="s">
        <v>3582</v>
      </c>
      <c r="AG421" s="21" t="s">
        <v>4686</v>
      </c>
      <c r="AH421" s="21" t="s">
        <v>178</v>
      </c>
      <c r="AI421" s="21" t="s">
        <v>4871</v>
      </c>
      <c r="AJ421" s="21" t="s">
        <v>4722</v>
      </c>
      <c r="AK421" s="21" t="s">
        <v>1635</v>
      </c>
      <c r="AL421" s="21" t="s">
        <v>97</v>
      </c>
      <c r="AM421" s="2"/>
      <c r="AN421" s="2" t="s">
        <v>4629</v>
      </c>
      <c r="AO421" s="2" t="s">
        <v>4872</v>
      </c>
      <c r="AP421" s="2" t="s">
        <v>3740</v>
      </c>
      <c r="AQ421" s="14" t="s">
        <v>3741</v>
      </c>
      <c r="AR421" s="20" t="s">
        <v>97</v>
      </c>
      <c r="AS421" s="20" t="s">
        <v>107</v>
      </c>
      <c r="AT421" s="2"/>
      <c r="AU421" s="221" t="s">
        <v>4873</v>
      </c>
      <c r="AV421" s="8"/>
      <c r="AW421" s="8"/>
      <c r="AX421" s="9"/>
      <c r="AY421" s="8"/>
      <c r="AZ421" s="221" t="s">
        <v>4873</v>
      </c>
      <c r="BA421" s="8"/>
      <c r="BB421" s="24"/>
      <c r="BC421" s="25"/>
      <c r="BD421" s="24"/>
      <c r="BE421" s="26">
        <v>0</v>
      </c>
      <c r="BF421" s="34">
        <f t="shared" si="87"/>
        <v>0</v>
      </c>
      <c r="BG421" s="34">
        <f t="shared" si="88"/>
        <v>0</v>
      </c>
      <c r="BH421" s="26">
        <v>0</v>
      </c>
      <c r="BI421" s="26">
        <v>0</v>
      </c>
      <c r="BJ421" s="21"/>
      <c r="BK421" s="21"/>
      <c r="BL421" s="27"/>
      <c r="BM421" s="27" t="s">
        <v>4757</v>
      </c>
      <c r="BN421" s="26"/>
      <c r="BO421" s="34"/>
      <c r="BP421" s="34"/>
      <c r="BQ421" s="34"/>
      <c r="BR421" s="34"/>
      <c r="BS421" s="34"/>
      <c r="BT421" s="34"/>
      <c r="BU421" s="34"/>
      <c r="BV421" s="34"/>
      <c r="BW421" s="34"/>
      <c r="BX421" s="34"/>
      <c r="BY421" s="34"/>
      <c r="BZ421" s="34"/>
      <c r="CA421" s="20"/>
      <c r="CB421" s="33"/>
      <c r="CC421" s="46">
        <v>45996</v>
      </c>
      <c r="CD421" s="11" t="s">
        <v>4865</v>
      </c>
    </row>
    <row r="422" spans="1:82" s="18" customFormat="1" ht="66.75" customHeight="1" x14ac:dyDescent="0.25">
      <c r="A422" s="87">
        <v>418</v>
      </c>
      <c r="B422" s="141" t="s">
        <v>4874</v>
      </c>
      <c r="C422" s="6" t="s">
        <v>4875</v>
      </c>
      <c r="D422" s="6" t="s">
        <v>4876</v>
      </c>
      <c r="E422" s="75" t="s">
        <v>113</v>
      </c>
      <c r="F422" s="4" t="s">
        <v>1628</v>
      </c>
      <c r="G422" s="5" t="s">
        <v>84</v>
      </c>
      <c r="H422" s="6" t="s">
        <v>775</v>
      </c>
      <c r="I422" s="6" t="s">
        <v>4013</v>
      </c>
      <c r="J422" s="6"/>
      <c r="K422" s="6"/>
      <c r="L422" s="6"/>
      <c r="M422" s="6" t="s">
        <v>3924</v>
      </c>
      <c r="N422" s="6" t="s">
        <v>245</v>
      </c>
      <c r="O422" s="6" t="s">
        <v>246</v>
      </c>
      <c r="P422" s="6" t="s">
        <v>4877</v>
      </c>
      <c r="Q422" s="6"/>
      <c r="R422" s="6" t="s">
        <v>4681</v>
      </c>
      <c r="S422" s="5" t="s">
        <v>92</v>
      </c>
      <c r="T422" s="6" t="s">
        <v>93</v>
      </c>
      <c r="U422" s="91">
        <v>100</v>
      </c>
      <c r="V422" s="5" t="s">
        <v>94</v>
      </c>
      <c r="W422" s="6" t="s">
        <v>95</v>
      </c>
      <c r="X422" s="5">
        <v>2025</v>
      </c>
      <c r="Y422" s="5" t="s">
        <v>117</v>
      </c>
      <c r="Z422" s="6" t="s">
        <v>97</v>
      </c>
      <c r="AA422" s="6" t="s">
        <v>98</v>
      </c>
      <c r="AB422" s="6" t="s">
        <v>99</v>
      </c>
      <c r="AC422" s="79" t="s">
        <v>4878</v>
      </c>
      <c r="AD422" s="79" t="s">
        <v>4879</v>
      </c>
      <c r="AE422" s="6" t="s">
        <v>4880</v>
      </c>
      <c r="AF422" s="49" t="s">
        <v>4880</v>
      </c>
      <c r="AG422" s="49" t="s">
        <v>178</v>
      </c>
      <c r="AH422" s="49" t="s">
        <v>178</v>
      </c>
      <c r="AI422" s="49" t="s">
        <v>4881</v>
      </c>
      <c r="AJ422" s="49" t="s">
        <v>4882</v>
      </c>
      <c r="AK422" s="49" t="s">
        <v>3946</v>
      </c>
      <c r="AL422" s="49" t="s">
        <v>3946</v>
      </c>
      <c r="AM422" s="6"/>
      <c r="AN422" s="6" t="s">
        <v>4629</v>
      </c>
      <c r="AO422" s="6" t="s">
        <v>4136</v>
      </c>
      <c r="AP422" s="6" t="s">
        <v>4136</v>
      </c>
      <c r="AQ422" s="6" t="s">
        <v>4883</v>
      </c>
      <c r="AR422" s="20" t="s">
        <v>97</v>
      </c>
      <c r="AS422" s="20" t="s">
        <v>107</v>
      </c>
      <c r="AT422" s="21"/>
      <c r="AU422" s="59">
        <v>1</v>
      </c>
      <c r="AV422" s="24">
        <f>+AU422*80%</f>
        <v>0.8</v>
      </c>
      <c r="AW422" s="24">
        <f>+AU422*60%</f>
        <v>0.6</v>
      </c>
      <c r="AX422" s="25">
        <v>1E-4</v>
      </c>
      <c r="AY422" s="24">
        <v>0</v>
      </c>
      <c r="AZ422" s="24">
        <f>+AU422*90%</f>
        <v>0.9</v>
      </c>
      <c r="BA422" s="24">
        <f>AZ422*80%</f>
        <v>0.72000000000000008</v>
      </c>
      <c r="BB422" s="24">
        <f>AZ422*60%</f>
        <v>0.54</v>
      </c>
      <c r="BC422" s="25">
        <v>1E-4</v>
      </c>
      <c r="BD422" s="24">
        <v>0</v>
      </c>
      <c r="BE422" s="26">
        <v>0</v>
      </c>
      <c r="BF422" s="34">
        <f t="shared" si="87"/>
        <v>0</v>
      </c>
      <c r="BG422" s="34">
        <f t="shared" si="88"/>
        <v>0</v>
      </c>
      <c r="BH422" s="26">
        <v>0</v>
      </c>
      <c r="BI422" s="26">
        <v>0</v>
      </c>
      <c r="BJ422" s="21"/>
      <c r="BK422" s="63"/>
      <c r="BL422" s="27"/>
      <c r="BM422" s="27" t="s">
        <v>1176</v>
      </c>
      <c r="BN422" s="26"/>
      <c r="BO422" s="34"/>
      <c r="BP422" s="34">
        <v>1</v>
      </c>
      <c r="BQ422" s="34"/>
      <c r="BR422" s="34"/>
      <c r="BS422" s="34"/>
      <c r="BT422" s="34"/>
      <c r="BU422" s="34"/>
      <c r="BV422" s="34"/>
      <c r="BW422" s="34"/>
      <c r="BX422" s="34"/>
      <c r="BY422" s="34"/>
      <c r="BZ422" s="34"/>
      <c r="CA422" s="20"/>
      <c r="CB422" s="21"/>
      <c r="CC422" s="29">
        <v>46003</v>
      </c>
      <c r="CD422" s="35" t="s">
        <v>4705</v>
      </c>
    </row>
    <row r="423" spans="1:82" s="18" customFormat="1" ht="66.75" customHeight="1" x14ac:dyDescent="0.25">
      <c r="A423" s="87">
        <v>419</v>
      </c>
      <c r="B423" s="142" t="s">
        <v>4884</v>
      </c>
      <c r="C423" s="2" t="s">
        <v>4885</v>
      </c>
      <c r="D423" s="2" t="s">
        <v>4886</v>
      </c>
      <c r="E423" s="75" t="s">
        <v>113</v>
      </c>
      <c r="F423" s="12" t="s">
        <v>1628</v>
      </c>
      <c r="G423" s="7" t="s">
        <v>84</v>
      </c>
      <c r="H423" s="2" t="s">
        <v>775</v>
      </c>
      <c r="I423" s="2" t="s">
        <v>4013</v>
      </c>
      <c r="J423" s="2"/>
      <c r="K423" s="2"/>
      <c r="L423" s="2"/>
      <c r="M423" s="2" t="s">
        <v>3924</v>
      </c>
      <c r="N423" s="2" t="s">
        <v>245</v>
      </c>
      <c r="O423" s="2" t="s">
        <v>246</v>
      </c>
      <c r="P423" s="2" t="s">
        <v>3684</v>
      </c>
      <c r="Q423" s="2"/>
      <c r="R423" s="11" t="s">
        <v>3684</v>
      </c>
      <c r="S423" s="5" t="s">
        <v>92</v>
      </c>
      <c r="T423" s="2" t="s">
        <v>2587</v>
      </c>
      <c r="U423" s="181">
        <v>100000</v>
      </c>
      <c r="V423" s="7" t="s">
        <v>94</v>
      </c>
      <c r="W423" s="2" t="s">
        <v>95</v>
      </c>
      <c r="X423" s="7">
        <v>2025</v>
      </c>
      <c r="Y423" s="5" t="s">
        <v>117</v>
      </c>
      <c r="Z423" s="2" t="s">
        <v>95</v>
      </c>
      <c r="AA423" s="2" t="s">
        <v>98</v>
      </c>
      <c r="AB423" s="2" t="s">
        <v>99</v>
      </c>
      <c r="AC423" s="31" t="s">
        <v>4887</v>
      </c>
      <c r="AD423" s="31" t="s">
        <v>4721</v>
      </c>
      <c r="AE423" s="21" t="s">
        <v>4888</v>
      </c>
      <c r="AF423" s="21" t="s">
        <v>3582</v>
      </c>
      <c r="AG423" s="21" t="s">
        <v>178</v>
      </c>
      <c r="AH423" s="21" t="s">
        <v>178</v>
      </c>
      <c r="AI423" s="21" t="s">
        <v>4733</v>
      </c>
      <c r="AJ423" s="21" t="s">
        <v>4722</v>
      </c>
      <c r="AK423" s="21" t="s">
        <v>1635</v>
      </c>
      <c r="AL423" s="21" t="s">
        <v>97</v>
      </c>
      <c r="AM423" s="2"/>
      <c r="AN423" s="2" t="s">
        <v>4629</v>
      </c>
      <c r="AO423" s="2" t="s">
        <v>4136</v>
      </c>
      <c r="AP423" s="2" t="s">
        <v>3740</v>
      </c>
      <c r="AQ423" s="14" t="s">
        <v>4883</v>
      </c>
      <c r="AR423" s="20" t="s">
        <v>97</v>
      </c>
      <c r="AS423" s="20" t="s">
        <v>107</v>
      </c>
      <c r="AT423" s="21"/>
      <c r="AU423" s="7" t="s">
        <v>4889</v>
      </c>
      <c r="AV423" s="7"/>
      <c r="AW423" s="7"/>
      <c r="AX423" s="7"/>
      <c r="AY423" s="7"/>
      <c r="AZ423" s="2" t="s">
        <v>4889</v>
      </c>
      <c r="BA423" s="7"/>
      <c r="BB423" s="20"/>
      <c r="BC423" s="20"/>
      <c r="BD423" s="20"/>
      <c r="BE423" s="26">
        <v>0</v>
      </c>
      <c r="BF423" s="34">
        <f t="shared" si="87"/>
        <v>0</v>
      </c>
      <c r="BG423" s="34">
        <f t="shared" si="88"/>
        <v>0</v>
      </c>
      <c r="BH423" s="26">
        <v>0</v>
      </c>
      <c r="BI423" s="26">
        <v>0</v>
      </c>
      <c r="BJ423" s="21"/>
      <c r="BK423" s="21"/>
      <c r="BL423" s="27"/>
      <c r="BM423" s="27" t="s">
        <v>2598</v>
      </c>
      <c r="BN423" s="26"/>
      <c r="BO423" s="34"/>
      <c r="BP423" s="34">
        <v>1</v>
      </c>
      <c r="BQ423" s="34"/>
      <c r="BR423" s="34"/>
      <c r="BS423" s="34"/>
      <c r="BT423" s="34"/>
      <c r="BU423" s="34"/>
      <c r="BV423" s="34"/>
      <c r="BW423" s="34"/>
      <c r="BX423" s="34"/>
      <c r="BY423" s="34"/>
      <c r="BZ423" s="34"/>
      <c r="CA423" s="20"/>
      <c r="CB423" s="33"/>
      <c r="CC423" s="46">
        <v>45996</v>
      </c>
      <c r="CD423" s="11" t="s">
        <v>4727</v>
      </c>
    </row>
    <row r="424" spans="1:82" s="18" customFormat="1" ht="66.75" customHeight="1" x14ac:dyDescent="0.25">
      <c r="A424" s="121">
        <v>420</v>
      </c>
      <c r="B424" s="141" t="s">
        <v>4890</v>
      </c>
      <c r="C424" s="6" t="s">
        <v>4891</v>
      </c>
      <c r="D424" s="6" t="s">
        <v>4892</v>
      </c>
      <c r="E424" s="75" t="s">
        <v>113</v>
      </c>
      <c r="F424" s="4" t="s">
        <v>1628</v>
      </c>
      <c r="G424" s="5" t="s">
        <v>84</v>
      </c>
      <c r="H424" s="6" t="s">
        <v>775</v>
      </c>
      <c r="I424" s="6" t="s">
        <v>4013</v>
      </c>
      <c r="J424" s="6"/>
      <c r="K424" s="6"/>
      <c r="L424" s="6"/>
      <c r="M424" s="6" t="s">
        <v>3924</v>
      </c>
      <c r="N424" s="6" t="s">
        <v>245</v>
      </c>
      <c r="O424" s="6" t="s">
        <v>246</v>
      </c>
      <c r="P424" s="6" t="s">
        <v>4877</v>
      </c>
      <c r="Q424" s="6"/>
      <c r="R424" s="6" t="s">
        <v>4681</v>
      </c>
      <c r="S424" s="5" t="s">
        <v>92</v>
      </c>
      <c r="T424" s="6" t="s">
        <v>93</v>
      </c>
      <c r="U424" s="91">
        <v>100</v>
      </c>
      <c r="V424" s="5" t="s">
        <v>94</v>
      </c>
      <c r="W424" s="6" t="s">
        <v>95</v>
      </c>
      <c r="X424" s="5">
        <v>2025</v>
      </c>
      <c r="Y424" s="5" t="s">
        <v>117</v>
      </c>
      <c r="Z424" s="6" t="s">
        <v>97</v>
      </c>
      <c r="AA424" s="6" t="s">
        <v>98</v>
      </c>
      <c r="AB424" s="6" t="s">
        <v>99</v>
      </c>
      <c r="AC424" s="79" t="s">
        <v>4893</v>
      </c>
      <c r="AD424" s="79" t="s">
        <v>4894</v>
      </c>
      <c r="AE424" s="49" t="s">
        <v>4895</v>
      </c>
      <c r="AF424" s="49" t="s">
        <v>4895</v>
      </c>
      <c r="AG424" s="49" t="s">
        <v>178</v>
      </c>
      <c r="AH424" s="49" t="s">
        <v>178</v>
      </c>
      <c r="AI424" s="49" t="s">
        <v>4896</v>
      </c>
      <c r="AJ424" s="49" t="s">
        <v>4897</v>
      </c>
      <c r="AK424" s="49" t="s">
        <v>4898</v>
      </c>
      <c r="AL424" s="6" t="s">
        <v>4898</v>
      </c>
      <c r="AM424" s="6"/>
      <c r="AN424" s="6" t="s">
        <v>4629</v>
      </c>
      <c r="AO424" s="6" t="s">
        <v>4136</v>
      </c>
      <c r="AP424" s="6" t="s">
        <v>4136</v>
      </c>
      <c r="AQ424" s="6" t="s">
        <v>4883</v>
      </c>
      <c r="AR424" s="20" t="s">
        <v>97</v>
      </c>
      <c r="AS424" s="20" t="s">
        <v>107</v>
      </c>
      <c r="AT424" s="21"/>
      <c r="AU424" s="59" t="s">
        <v>496</v>
      </c>
      <c r="AV424" s="20"/>
      <c r="AW424" s="20"/>
      <c r="AX424" s="20"/>
      <c r="AY424" s="20"/>
      <c r="AZ424" s="20" t="s">
        <v>496</v>
      </c>
      <c r="BA424" s="20"/>
      <c r="BB424" s="20"/>
      <c r="BC424" s="20"/>
      <c r="BD424" s="20"/>
      <c r="BE424" s="26">
        <v>0</v>
      </c>
      <c r="BF424" s="34">
        <f t="shared" si="87"/>
        <v>0</v>
      </c>
      <c r="BG424" s="34">
        <f t="shared" si="88"/>
        <v>0</v>
      </c>
      <c r="BH424" s="26">
        <v>0</v>
      </c>
      <c r="BI424" s="26">
        <v>0</v>
      </c>
      <c r="BJ424" s="21"/>
      <c r="BK424" s="67"/>
      <c r="BL424" s="27"/>
      <c r="BM424" s="27" t="s">
        <v>1176</v>
      </c>
      <c r="BN424" s="26"/>
      <c r="BO424" s="34"/>
      <c r="BP424" s="34">
        <v>1</v>
      </c>
      <c r="BQ424" s="34"/>
      <c r="BR424" s="34"/>
      <c r="BS424" s="34"/>
      <c r="BT424" s="34"/>
      <c r="BU424" s="34"/>
      <c r="BV424" s="34"/>
      <c r="BW424" s="34"/>
      <c r="BX424" s="34"/>
      <c r="BY424" s="34"/>
      <c r="BZ424" s="34"/>
      <c r="CA424" s="20"/>
      <c r="CB424" s="21"/>
      <c r="CC424" s="29">
        <v>46003</v>
      </c>
      <c r="CD424" s="35" t="s">
        <v>4705</v>
      </c>
    </row>
    <row r="425" spans="1:82" s="18" customFormat="1" ht="66.75" customHeight="1" x14ac:dyDescent="0.25">
      <c r="A425" s="87">
        <v>421</v>
      </c>
      <c r="B425" s="142" t="s">
        <v>4899</v>
      </c>
      <c r="C425" s="2" t="s">
        <v>4900</v>
      </c>
      <c r="D425" s="2" t="s">
        <v>4901</v>
      </c>
      <c r="E425" s="75" t="s">
        <v>113</v>
      </c>
      <c r="F425" s="12" t="s">
        <v>1628</v>
      </c>
      <c r="G425" s="7" t="s">
        <v>84</v>
      </c>
      <c r="H425" s="2" t="s">
        <v>775</v>
      </c>
      <c r="I425" s="2" t="s">
        <v>4013</v>
      </c>
      <c r="J425" s="2"/>
      <c r="K425" s="2"/>
      <c r="L425" s="2"/>
      <c r="M425" s="2" t="s">
        <v>3924</v>
      </c>
      <c r="N425" s="2" t="s">
        <v>245</v>
      </c>
      <c r="O425" s="2" t="s">
        <v>246</v>
      </c>
      <c r="P425" s="2" t="s">
        <v>3684</v>
      </c>
      <c r="Q425" s="2"/>
      <c r="R425" s="11" t="s">
        <v>3684</v>
      </c>
      <c r="S425" s="5" t="s">
        <v>92</v>
      </c>
      <c r="T425" s="2" t="s">
        <v>2587</v>
      </c>
      <c r="U425" s="181">
        <v>100000</v>
      </c>
      <c r="V425" s="7" t="s">
        <v>94</v>
      </c>
      <c r="W425" s="2" t="s">
        <v>95</v>
      </c>
      <c r="X425" s="7">
        <v>2025</v>
      </c>
      <c r="Y425" s="5" t="s">
        <v>117</v>
      </c>
      <c r="Z425" s="2" t="s">
        <v>95</v>
      </c>
      <c r="AA425" s="2" t="s">
        <v>98</v>
      </c>
      <c r="AB425" s="2" t="s">
        <v>99</v>
      </c>
      <c r="AC425" s="31" t="s">
        <v>4902</v>
      </c>
      <c r="AD425" s="31" t="s">
        <v>4903</v>
      </c>
      <c r="AE425" s="21" t="s">
        <v>4904</v>
      </c>
      <c r="AF425" s="21" t="s">
        <v>3582</v>
      </c>
      <c r="AG425" s="21" t="s">
        <v>178</v>
      </c>
      <c r="AH425" s="21" t="s">
        <v>178</v>
      </c>
      <c r="AI425" s="21" t="s">
        <v>4905</v>
      </c>
      <c r="AJ425" s="21" t="s">
        <v>4722</v>
      </c>
      <c r="AK425" s="21" t="s">
        <v>1635</v>
      </c>
      <c r="AL425" s="21" t="s">
        <v>97</v>
      </c>
      <c r="AM425" s="2"/>
      <c r="AN425" s="2" t="s">
        <v>4629</v>
      </c>
      <c r="AO425" s="2" t="s">
        <v>4136</v>
      </c>
      <c r="AP425" s="2" t="s">
        <v>3740</v>
      </c>
      <c r="AQ425" s="14" t="s">
        <v>4883</v>
      </c>
      <c r="AR425" s="20" t="s">
        <v>97</v>
      </c>
      <c r="AS425" s="20" t="s">
        <v>107</v>
      </c>
      <c r="AT425" s="21"/>
      <c r="AU425" s="20" t="s">
        <v>496</v>
      </c>
      <c r="AV425" s="20"/>
      <c r="AW425" s="20"/>
      <c r="AX425" s="20"/>
      <c r="AY425" s="20"/>
      <c r="AZ425" s="20" t="s">
        <v>496</v>
      </c>
      <c r="BA425" s="20"/>
      <c r="BB425" s="20"/>
      <c r="BC425" s="20"/>
      <c r="BD425" s="20"/>
      <c r="BE425" s="26">
        <v>0</v>
      </c>
      <c r="BF425" s="34">
        <f t="shared" si="87"/>
        <v>0</v>
      </c>
      <c r="BG425" s="34">
        <f t="shared" si="88"/>
        <v>0</v>
      </c>
      <c r="BH425" s="26">
        <v>0</v>
      </c>
      <c r="BI425" s="26">
        <v>0</v>
      </c>
      <c r="BJ425" s="21"/>
      <c r="BK425" s="21"/>
      <c r="BL425" s="27"/>
      <c r="BM425" s="27" t="s">
        <v>1176</v>
      </c>
      <c r="BN425" s="26"/>
      <c r="BO425" s="34"/>
      <c r="BP425" s="34">
        <v>1</v>
      </c>
      <c r="BQ425" s="34"/>
      <c r="BR425" s="34"/>
      <c r="BS425" s="34"/>
      <c r="BT425" s="34"/>
      <c r="BU425" s="34"/>
      <c r="BV425" s="34"/>
      <c r="BW425" s="34"/>
      <c r="BX425" s="34"/>
      <c r="BY425" s="34"/>
      <c r="BZ425" s="34"/>
      <c r="CA425" s="20"/>
      <c r="CB425" s="33"/>
      <c r="CC425" s="46">
        <v>45996</v>
      </c>
      <c r="CD425" s="11" t="s">
        <v>4906</v>
      </c>
    </row>
    <row r="426" spans="1:82" s="18" customFormat="1" ht="66.75" customHeight="1" x14ac:dyDescent="0.25">
      <c r="A426" s="87">
        <v>422</v>
      </c>
      <c r="B426" s="141" t="s">
        <v>4907</v>
      </c>
      <c r="C426" s="6" t="s">
        <v>4908</v>
      </c>
      <c r="D426" s="6" t="s">
        <v>4909</v>
      </c>
      <c r="E426" s="75" t="s">
        <v>113</v>
      </c>
      <c r="F426" s="4" t="s">
        <v>1628</v>
      </c>
      <c r="G426" s="5" t="s">
        <v>84</v>
      </c>
      <c r="H426" s="6" t="s">
        <v>775</v>
      </c>
      <c r="I426" s="6" t="s">
        <v>4013</v>
      </c>
      <c r="J426" s="6"/>
      <c r="K426" s="6"/>
      <c r="L426" s="6"/>
      <c r="M426" s="6" t="s">
        <v>3924</v>
      </c>
      <c r="N426" s="6" t="s">
        <v>245</v>
      </c>
      <c r="O426" s="6" t="s">
        <v>246</v>
      </c>
      <c r="P426" s="6" t="s">
        <v>4910</v>
      </c>
      <c r="Q426" s="6"/>
      <c r="R426" s="6" t="s">
        <v>4681</v>
      </c>
      <c r="S426" s="5" t="s">
        <v>92</v>
      </c>
      <c r="T426" s="6" t="s">
        <v>93</v>
      </c>
      <c r="U426" s="91">
        <v>100</v>
      </c>
      <c r="V426" s="5" t="s">
        <v>94</v>
      </c>
      <c r="W426" s="6" t="s">
        <v>95</v>
      </c>
      <c r="X426" s="5">
        <v>2025</v>
      </c>
      <c r="Y426" s="5" t="s">
        <v>117</v>
      </c>
      <c r="Z426" s="6" t="s">
        <v>97</v>
      </c>
      <c r="AA426" s="6" t="s">
        <v>98</v>
      </c>
      <c r="AB426" s="6" t="s">
        <v>99</v>
      </c>
      <c r="AC426" s="79" t="s">
        <v>4911</v>
      </c>
      <c r="AD426" s="79" t="s">
        <v>4912</v>
      </c>
      <c r="AE426" s="49" t="s">
        <v>4904</v>
      </c>
      <c r="AF426" s="6" t="s">
        <v>4904</v>
      </c>
      <c r="AG426" s="49" t="s">
        <v>178</v>
      </c>
      <c r="AH426" s="49" t="s">
        <v>178</v>
      </c>
      <c r="AI426" s="49" t="s">
        <v>4881</v>
      </c>
      <c r="AJ426" s="49" t="s">
        <v>4882</v>
      </c>
      <c r="AK426" s="49" t="s">
        <v>4898</v>
      </c>
      <c r="AL426" s="6" t="s">
        <v>4898</v>
      </c>
      <c r="AM426" s="6"/>
      <c r="AN426" s="6" t="s">
        <v>4629</v>
      </c>
      <c r="AO426" s="6" t="s">
        <v>4136</v>
      </c>
      <c r="AP426" s="6" t="s">
        <v>4136</v>
      </c>
      <c r="AQ426" s="6" t="s">
        <v>4883</v>
      </c>
      <c r="AR426" s="20" t="s">
        <v>97</v>
      </c>
      <c r="AS426" s="20" t="s">
        <v>107</v>
      </c>
      <c r="AT426" s="21"/>
      <c r="AU426" s="59">
        <v>0.78</v>
      </c>
      <c r="AV426" s="24">
        <f>+AU426*80%</f>
        <v>0.62400000000000011</v>
      </c>
      <c r="AW426" s="24">
        <f>+AU426*60%</f>
        <v>0.46799999999999997</v>
      </c>
      <c r="AX426" s="25">
        <v>1E-4</v>
      </c>
      <c r="AY426" s="24">
        <v>0</v>
      </c>
      <c r="AZ426" s="24">
        <f>+AU426*90%</f>
        <v>0.70200000000000007</v>
      </c>
      <c r="BA426" s="24">
        <f>AZ426*80%</f>
        <v>0.5616000000000001</v>
      </c>
      <c r="BB426" s="24">
        <f>AZ426*60%</f>
        <v>0.42120000000000002</v>
      </c>
      <c r="BC426" s="25">
        <v>1E-4</v>
      </c>
      <c r="BD426" s="24">
        <v>0</v>
      </c>
      <c r="BE426" s="26">
        <v>0</v>
      </c>
      <c r="BF426" s="34">
        <f t="shared" si="87"/>
        <v>0</v>
      </c>
      <c r="BG426" s="34">
        <f t="shared" si="88"/>
        <v>0</v>
      </c>
      <c r="BH426" s="26">
        <v>0</v>
      </c>
      <c r="BI426" s="26">
        <v>0</v>
      </c>
      <c r="BJ426" s="21"/>
      <c r="BK426" s="63"/>
      <c r="BL426" s="27"/>
      <c r="BM426" s="27" t="s">
        <v>1176</v>
      </c>
      <c r="BN426" s="26"/>
      <c r="BO426" s="34"/>
      <c r="BP426" s="34">
        <v>1</v>
      </c>
      <c r="BQ426" s="34"/>
      <c r="BR426" s="34"/>
      <c r="BS426" s="34"/>
      <c r="BT426" s="34"/>
      <c r="BU426" s="34"/>
      <c r="BV426" s="34"/>
      <c r="BW426" s="34"/>
      <c r="BX426" s="34"/>
      <c r="BY426" s="34"/>
      <c r="BZ426" s="34"/>
      <c r="CA426" s="20"/>
      <c r="CB426" s="21"/>
      <c r="CC426" s="29">
        <v>46003</v>
      </c>
      <c r="CD426" s="35" t="s">
        <v>4705</v>
      </c>
    </row>
    <row r="427" spans="1:82" s="18" customFormat="1" ht="66.75" customHeight="1" x14ac:dyDescent="0.25">
      <c r="A427" s="121">
        <v>423</v>
      </c>
      <c r="B427" s="142" t="s">
        <v>4913</v>
      </c>
      <c r="C427" s="2" t="s">
        <v>4914</v>
      </c>
      <c r="D427" s="2" t="s">
        <v>4915</v>
      </c>
      <c r="E427" s="75" t="s">
        <v>113</v>
      </c>
      <c r="F427" s="12" t="s">
        <v>1628</v>
      </c>
      <c r="G427" s="7" t="s">
        <v>84</v>
      </c>
      <c r="H427" s="2" t="s">
        <v>775</v>
      </c>
      <c r="I427" s="2" t="s">
        <v>4129</v>
      </c>
      <c r="J427" s="2"/>
      <c r="K427" s="2"/>
      <c r="L427" s="2"/>
      <c r="M427" s="2" t="s">
        <v>3924</v>
      </c>
      <c r="N427" s="2" t="s">
        <v>245</v>
      </c>
      <c r="O427" s="2" t="s">
        <v>246</v>
      </c>
      <c r="P427" s="2" t="s">
        <v>4916</v>
      </c>
      <c r="Q427" s="2"/>
      <c r="R427" s="2" t="s">
        <v>4681</v>
      </c>
      <c r="S427" s="5" t="s">
        <v>92</v>
      </c>
      <c r="T427" s="2" t="s">
        <v>93</v>
      </c>
      <c r="U427" s="181">
        <v>100</v>
      </c>
      <c r="V427" s="7" t="s">
        <v>94</v>
      </c>
      <c r="W427" s="2" t="s">
        <v>95</v>
      </c>
      <c r="X427" s="7">
        <v>2025</v>
      </c>
      <c r="Y427" s="5" t="s">
        <v>117</v>
      </c>
      <c r="Z427" s="2" t="s">
        <v>95</v>
      </c>
      <c r="AA427" s="2" t="s">
        <v>98</v>
      </c>
      <c r="AB427" s="2" t="s">
        <v>99</v>
      </c>
      <c r="AC427" s="31" t="s">
        <v>4917</v>
      </c>
      <c r="AD427" s="31" t="s">
        <v>4918</v>
      </c>
      <c r="AE427" s="21" t="s">
        <v>4919</v>
      </c>
      <c r="AF427" s="21" t="s">
        <v>4919</v>
      </c>
      <c r="AG427" s="21" t="s">
        <v>4686</v>
      </c>
      <c r="AH427" s="21" t="s">
        <v>4686</v>
      </c>
      <c r="AI427" s="21" t="s">
        <v>4920</v>
      </c>
      <c r="AJ427" s="21" t="s">
        <v>4921</v>
      </c>
      <c r="AK427" s="21" t="s">
        <v>4922</v>
      </c>
      <c r="AL427" s="21" t="s">
        <v>4922</v>
      </c>
      <c r="AM427" s="2"/>
      <c r="AN427" s="2" t="s">
        <v>4629</v>
      </c>
      <c r="AO427" s="2" t="s">
        <v>4136</v>
      </c>
      <c r="AP427" s="2" t="s">
        <v>4136</v>
      </c>
      <c r="AQ427" s="14" t="s">
        <v>4883</v>
      </c>
      <c r="AR427" s="20" t="s">
        <v>97</v>
      </c>
      <c r="AS427" s="20" t="s">
        <v>107</v>
      </c>
      <c r="AT427" s="21"/>
      <c r="AU427" s="59">
        <v>0</v>
      </c>
      <c r="AV427" s="24">
        <v>0</v>
      </c>
      <c r="AW427" s="24">
        <v>0</v>
      </c>
      <c r="AX427" s="25">
        <v>1E-4</v>
      </c>
      <c r="AY427" s="24">
        <v>0</v>
      </c>
      <c r="AZ427" s="24">
        <f>+AU427*90%</f>
        <v>0</v>
      </c>
      <c r="BA427" s="24">
        <f>AZ427*80%</f>
        <v>0</v>
      </c>
      <c r="BB427" s="24">
        <f>AZ427*60%</f>
        <v>0</v>
      </c>
      <c r="BC427" s="25">
        <v>1E-4</v>
      </c>
      <c r="BD427" s="24">
        <v>0</v>
      </c>
      <c r="BE427" s="26">
        <v>0</v>
      </c>
      <c r="BF427" s="34">
        <f t="shared" si="87"/>
        <v>0</v>
      </c>
      <c r="BG427" s="34">
        <f t="shared" si="88"/>
        <v>0</v>
      </c>
      <c r="BH427" s="26">
        <v>0</v>
      </c>
      <c r="BI427" s="26">
        <v>0</v>
      </c>
      <c r="BJ427" s="21"/>
      <c r="BK427" s="63"/>
      <c r="BL427" s="27"/>
      <c r="BM427" s="27" t="s">
        <v>1176</v>
      </c>
      <c r="BN427" s="26"/>
      <c r="BO427" s="34"/>
      <c r="BP427" s="34"/>
      <c r="BQ427" s="34"/>
      <c r="BR427" s="34"/>
      <c r="BS427" s="34"/>
      <c r="BT427" s="34"/>
      <c r="BU427" s="34"/>
      <c r="BV427" s="34"/>
      <c r="BW427" s="34"/>
      <c r="BX427" s="34"/>
      <c r="BY427" s="34"/>
      <c r="BZ427" s="34"/>
      <c r="CA427" s="20"/>
      <c r="CB427" s="33"/>
      <c r="CC427" s="46">
        <v>45996</v>
      </c>
      <c r="CD427" s="11" t="s">
        <v>4923</v>
      </c>
    </row>
    <row r="428" spans="1:82" s="18" customFormat="1" ht="66.75" customHeight="1" x14ac:dyDescent="0.25">
      <c r="A428" s="87">
        <v>424</v>
      </c>
      <c r="B428" s="142" t="s">
        <v>4924</v>
      </c>
      <c r="C428" s="11" t="s">
        <v>4925</v>
      </c>
      <c r="D428" s="2" t="s">
        <v>4926</v>
      </c>
      <c r="E428" s="75" t="s">
        <v>113</v>
      </c>
      <c r="F428" s="12" t="s">
        <v>1628</v>
      </c>
      <c r="G428" s="7" t="s">
        <v>84</v>
      </c>
      <c r="H428" s="2" t="s">
        <v>775</v>
      </c>
      <c r="I428" s="11" t="s">
        <v>4927</v>
      </c>
      <c r="J428" s="11"/>
      <c r="K428" s="11"/>
      <c r="L428" s="11"/>
      <c r="M428" s="2" t="s">
        <v>3924</v>
      </c>
      <c r="N428" s="2" t="s">
        <v>245</v>
      </c>
      <c r="O428" s="2" t="s">
        <v>246</v>
      </c>
      <c r="P428" s="11" t="s">
        <v>4928</v>
      </c>
      <c r="Q428" s="11"/>
      <c r="R428" s="11" t="s">
        <v>3684</v>
      </c>
      <c r="S428" s="5" t="s">
        <v>92</v>
      </c>
      <c r="T428" s="2" t="s">
        <v>2587</v>
      </c>
      <c r="U428" s="181">
        <v>100000</v>
      </c>
      <c r="V428" s="7" t="s">
        <v>94</v>
      </c>
      <c r="W428" s="2" t="s">
        <v>95</v>
      </c>
      <c r="X428" s="7">
        <v>2025</v>
      </c>
      <c r="Y428" s="5" t="s">
        <v>117</v>
      </c>
      <c r="Z428" s="2" t="s">
        <v>97</v>
      </c>
      <c r="AA428" s="2" t="s">
        <v>98</v>
      </c>
      <c r="AB428" s="2" t="s">
        <v>99</v>
      </c>
      <c r="AC428" s="31" t="s">
        <v>4929</v>
      </c>
      <c r="AD428" s="31" t="s">
        <v>4721</v>
      </c>
      <c r="AE428" s="21" t="s">
        <v>4930</v>
      </c>
      <c r="AF428" s="21" t="s">
        <v>3582</v>
      </c>
      <c r="AG428" s="21" t="s">
        <v>178</v>
      </c>
      <c r="AH428" s="21" t="s">
        <v>178</v>
      </c>
      <c r="AI428" s="21" t="s">
        <v>4931</v>
      </c>
      <c r="AJ428" s="21" t="s">
        <v>4722</v>
      </c>
      <c r="AK428" s="21" t="s">
        <v>1635</v>
      </c>
      <c r="AL428" s="21" t="s">
        <v>97</v>
      </c>
      <c r="AM428" s="11"/>
      <c r="AN428" s="2" t="s">
        <v>4629</v>
      </c>
      <c r="AO428" s="2" t="s">
        <v>4932</v>
      </c>
      <c r="AP428" s="2" t="s">
        <v>4933</v>
      </c>
      <c r="AQ428" s="21" t="s">
        <v>3539</v>
      </c>
      <c r="AR428" s="20" t="s">
        <v>97</v>
      </c>
      <c r="AS428" s="20" t="s">
        <v>107</v>
      </c>
      <c r="AT428" s="20"/>
      <c r="AU428" s="20" t="s">
        <v>4934</v>
      </c>
      <c r="AV428" s="20"/>
      <c r="AW428" s="20"/>
      <c r="AX428" s="20"/>
      <c r="AY428" s="20"/>
      <c r="AZ428" s="20" t="s">
        <v>4934</v>
      </c>
      <c r="BA428" s="20"/>
      <c r="BB428" s="20"/>
      <c r="BC428" s="20"/>
      <c r="BD428" s="20"/>
      <c r="BE428" s="26">
        <v>0</v>
      </c>
      <c r="BF428" s="34">
        <f t="shared" si="87"/>
        <v>0</v>
      </c>
      <c r="BG428" s="34">
        <f t="shared" si="88"/>
        <v>0</v>
      </c>
      <c r="BH428" s="26">
        <v>0</v>
      </c>
      <c r="BI428" s="26">
        <v>0</v>
      </c>
      <c r="BJ428" s="20"/>
      <c r="BK428" s="20"/>
      <c r="BL428" s="27"/>
      <c r="BM428" s="27" t="s">
        <v>4935</v>
      </c>
      <c r="BN428" s="26"/>
      <c r="BO428" s="34"/>
      <c r="BP428" s="34">
        <v>1</v>
      </c>
      <c r="BQ428" s="34"/>
      <c r="BR428" s="34"/>
      <c r="BS428" s="34"/>
      <c r="BT428" s="34"/>
      <c r="BU428" s="34"/>
      <c r="BV428" s="34"/>
      <c r="BW428" s="34"/>
      <c r="BX428" s="34"/>
      <c r="BY428" s="34"/>
      <c r="BZ428" s="34"/>
      <c r="CA428" s="20"/>
      <c r="CB428" s="33"/>
      <c r="CC428" s="46">
        <v>45996</v>
      </c>
      <c r="CD428" s="11" t="s">
        <v>4936</v>
      </c>
    </row>
    <row r="429" spans="1:82" s="18" customFormat="1" ht="66.75" customHeight="1" x14ac:dyDescent="0.25">
      <c r="A429" s="87">
        <v>425</v>
      </c>
      <c r="B429" s="142" t="s">
        <v>4937</v>
      </c>
      <c r="C429" s="11" t="s">
        <v>4938</v>
      </c>
      <c r="D429" s="2" t="s">
        <v>4939</v>
      </c>
      <c r="E429" s="75" t="s">
        <v>113</v>
      </c>
      <c r="F429" s="12" t="s">
        <v>1628</v>
      </c>
      <c r="G429" s="7" t="s">
        <v>84</v>
      </c>
      <c r="H429" s="2" t="s">
        <v>775</v>
      </c>
      <c r="I429" s="11" t="s">
        <v>4940</v>
      </c>
      <c r="J429" s="11"/>
      <c r="K429" s="11"/>
      <c r="L429" s="11"/>
      <c r="M429" s="2" t="s">
        <v>88</v>
      </c>
      <c r="N429" s="2" t="s">
        <v>89</v>
      </c>
      <c r="O429" s="2" t="s">
        <v>116</v>
      </c>
      <c r="P429" s="2" t="s">
        <v>246</v>
      </c>
      <c r="Q429" s="2"/>
      <c r="R429" s="2" t="s">
        <v>4681</v>
      </c>
      <c r="S429" s="5" t="s">
        <v>92</v>
      </c>
      <c r="T429" s="2" t="s">
        <v>93</v>
      </c>
      <c r="U429" s="181">
        <v>100</v>
      </c>
      <c r="V429" s="7" t="s">
        <v>94</v>
      </c>
      <c r="W429" s="2" t="s">
        <v>95</v>
      </c>
      <c r="X429" s="7">
        <v>2025</v>
      </c>
      <c r="Y429" s="5" t="s">
        <v>117</v>
      </c>
      <c r="Z429" s="2" t="s">
        <v>97</v>
      </c>
      <c r="AA429" s="2" t="s">
        <v>98</v>
      </c>
      <c r="AB429" s="2" t="s">
        <v>99</v>
      </c>
      <c r="AC429" s="31" t="s">
        <v>4941</v>
      </c>
      <c r="AD429" s="31" t="s">
        <v>4942</v>
      </c>
      <c r="AE429" s="19" t="s">
        <v>4943</v>
      </c>
      <c r="AF429" s="21" t="s">
        <v>3582</v>
      </c>
      <c r="AG429" s="49" t="s">
        <v>218</v>
      </c>
      <c r="AH429" s="49" t="s">
        <v>4944</v>
      </c>
      <c r="AI429" s="11" t="s">
        <v>4945</v>
      </c>
      <c r="AJ429" s="21" t="s">
        <v>4722</v>
      </c>
      <c r="AK429" s="21" t="s">
        <v>97</v>
      </c>
      <c r="AL429" s="21" t="s">
        <v>97</v>
      </c>
      <c r="AM429" s="2"/>
      <c r="AN429" s="2" t="s">
        <v>4946</v>
      </c>
      <c r="AO429" s="2" t="s">
        <v>4947</v>
      </c>
      <c r="AP429" s="2" t="s">
        <v>4933</v>
      </c>
      <c r="AQ429" s="21" t="s">
        <v>4948</v>
      </c>
      <c r="AR429" s="20" t="s">
        <v>97</v>
      </c>
      <c r="AS429" s="20" t="s">
        <v>107</v>
      </c>
      <c r="AT429" s="21"/>
      <c r="AU429" s="24"/>
      <c r="AV429" s="24"/>
      <c r="AW429" s="24"/>
      <c r="AX429" s="25"/>
      <c r="AY429" s="24"/>
      <c r="AZ429" s="24">
        <f t="shared" ref="AZ429:AZ437" si="89">+AU429*90%</f>
        <v>0</v>
      </c>
      <c r="BA429" s="59"/>
      <c r="BB429" s="24"/>
      <c r="BC429" s="25"/>
      <c r="BD429" s="24"/>
      <c r="BE429" s="26">
        <v>0</v>
      </c>
      <c r="BF429" s="34">
        <f t="shared" si="87"/>
        <v>0</v>
      </c>
      <c r="BG429" s="34">
        <f t="shared" si="88"/>
        <v>0</v>
      </c>
      <c r="BH429" s="26">
        <v>0</v>
      </c>
      <c r="BI429" s="26">
        <v>0</v>
      </c>
      <c r="BJ429" s="20"/>
      <c r="BK429" s="21"/>
      <c r="BL429" s="27"/>
      <c r="BM429" s="27" t="s">
        <v>3605</v>
      </c>
      <c r="BN429" s="26"/>
      <c r="BO429" s="34"/>
      <c r="BP429" s="34"/>
      <c r="BQ429" s="34"/>
      <c r="BR429" s="34"/>
      <c r="BS429" s="34"/>
      <c r="BT429" s="34"/>
      <c r="BU429" s="34"/>
      <c r="BV429" s="34"/>
      <c r="BW429" s="34"/>
      <c r="BX429" s="34"/>
      <c r="BY429" s="34"/>
      <c r="BZ429" s="34"/>
      <c r="CA429" s="20"/>
      <c r="CB429" s="33"/>
      <c r="CC429" s="46">
        <v>45996</v>
      </c>
      <c r="CD429" s="11" t="s">
        <v>4949</v>
      </c>
    </row>
    <row r="430" spans="1:82" s="18" customFormat="1" ht="66.75" customHeight="1" x14ac:dyDescent="0.25">
      <c r="A430" s="121">
        <v>426</v>
      </c>
      <c r="B430" s="142" t="s">
        <v>4950</v>
      </c>
      <c r="C430" s="11" t="s">
        <v>4951</v>
      </c>
      <c r="D430" s="2" t="s">
        <v>4951</v>
      </c>
      <c r="E430" s="75" t="s">
        <v>113</v>
      </c>
      <c r="F430" s="12" t="s">
        <v>1628</v>
      </c>
      <c r="G430" s="7" t="s">
        <v>84</v>
      </c>
      <c r="H430" s="2" t="s">
        <v>775</v>
      </c>
      <c r="I430" s="11" t="s">
        <v>4940</v>
      </c>
      <c r="J430" s="11"/>
      <c r="K430" s="11"/>
      <c r="L430" s="11"/>
      <c r="M430" s="2" t="s">
        <v>88</v>
      </c>
      <c r="N430" s="2" t="s">
        <v>89</v>
      </c>
      <c r="O430" s="2" t="s">
        <v>116</v>
      </c>
      <c r="P430" s="2" t="s">
        <v>246</v>
      </c>
      <c r="Q430" s="2"/>
      <c r="R430" s="2" t="s">
        <v>4681</v>
      </c>
      <c r="S430" s="5" t="s">
        <v>92</v>
      </c>
      <c r="T430" s="2" t="s">
        <v>93</v>
      </c>
      <c r="U430" s="181">
        <v>100</v>
      </c>
      <c r="V430" s="7" t="s">
        <v>94</v>
      </c>
      <c r="W430" s="2" t="s">
        <v>95</v>
      </c>
      <c r="X430" s="7">
        <v>2025</v>
      </c>
      <c r="Y430" s="5" t="s">
        <v>117</v>
      </c>
      <c r="Z430" s="2" t="s">
        <v>97</v>
      </c>
      <c r="AA430" s="2" t="s">
        <v>98</v>
      </c>
      <c r="AB430" s="2" t="s">
        <v>99</v>
      </c>
      <c r="AC430" s="31" t="s">
        <v>4952</v>
      </c>
      <c r="AD430" s="31" t="s">
        <v>4942</v>
      </c>
      <c r="AE430" s="19" t="s">
        <v>4953</v>
      </c>
      <c r="AF430" s="21" t="s">
        <v>4948</v>
      </c>
      <c r="AG430" s="49" t="s">
        <v>218</v>
      </c>
      <c r="AH430" s="49" t="s">
        <v>178</v>
      </c>
      <c r="AI430" s="11" t="s">
        <v>4954</v>
      </c>
      <c r="AJ430" s="2" t="s">
        <v>4955</v>
      </c>
      <c r="AK430" s="21" t="s">
        <v>97</v>
      </c>
      <c r="AL430" s="21" t="s">
        <v>97</v>
      </c>
      <c r="AM430" s="2"/>
      <c r="AN430" s="2"/>
      <c r="AO430" s="11" t="s">
        <v>4956</v>
      </c>
      <c r="AP430" s="11" t="s">
        <v>4947</v>
      </c>
      <c r="AQ430" s="21" t="s">
        <v>4948</v>
      </c>
      <c r="AR430" s="20" t="s">
        <v>97</v>
      </c>
      <c r="AS430" s="20" t="s">
        <v>107</v>
      </c>
      <c r="AT430" s="21"/>
      <c r="AU430" s="24"/>
      <c r="AV430" s="24"/>
      <c r="AW430" s="24"/>
      <c r="AX430" s="25"/>
      <c r="AY430" s="24"/>
      <c r="AZ430" s="24">
        <f t="shared" si="89"/>
        <v>0</v>
      </c>
      <c r="BA430" s="59"/>
      <c r="BB430" s="24"/>
      <c r="BC430" s="25"/>
      <c r="BD430" s="24"/>
      <c r="BE430" s="26">
        <v>0</v>
      </c>
      <c r="BF430" s="34">
        <f t="shared" si="87"/>
        <v>0</v>
      </c>
      <c r="BG430" s="34">
        <f t="shared" si="88"/>
        <v>0</v>
      </c>
      <c r="BH430" s="26">
        <v>0</v>
      </c>
      <c r="BI430" s="26">
        <v>0</v>
      </c>
      <c r="BJ430" s="20"/>
      <c r="BK430" s="21"/>
      <c r="BL430" s="27"/>
      <c r="BM430" s="27" t="s">
        <v>2444</v>
      </c>
      <c r="BN430" s="26"/>
      <c r="BO430" s="34"/>
      <c r="BP430" s="34"/>
      <c r="BQ430" s="34"/>
      <c r="BR430" s="34"/>
      <c r="BS430" s="34"/>
      <c r="BT430" s="34"/>
      <c r="BU430" s="34"/>
      <c r="BV430" s="34"/>
      <c r="BW430" s="34"/>
      <c r="BX430" s="34"/>
      <c r="BY430" s="34"/>
      <c r="BZ430" s="34"/>
      <c r="CA430" s="20"/>
      <c r="CB430" s="33"/>
      <c r="CC430" s="46">
        <v>45996</v>
      </c>
      <c r="CD430" s="11" t="s">
        <v>4957</v>
      </c>
    </row>
    <row r="431" spans="1:82" s="18" customFormat="1" ht="66.75" customHeight="1" x14ac:dyDescent="0.25">
      <c r="A431" s="87">
        <v>427</v>
      </c>
      <c r="B431" s="142" t="s">
        <v>4958</v>
      </c>
      <c r="C431" s="11" t="s">
        <v>4959</v>
      </c>
      <c r="D431" s="2" t="s">
        <v>4959</v>
      </c>
      <c r="E431" s="75" t="s">
        <v>113</v>
      </c>
      <c r="F431" s="12" t="s">
        <v>1628</v>
      </c>
      <c r="G431" s="7" t="s">
        <v>84</v>
      </c>
      <c r="H431" s="2" t="s">
        <v>775</v>
      </c>
      <c r="I431" s="11" t="s">
        <v>4940</v>
      </c>
      <c r="J431" s="11"/>
      <c r="K431" s="11"/>
      <c r="L431" s="11"/>
      <c r="M431" s="2" t="s">
        <v>88</v>
      </c>
      <c r="N431" s="2" t="s">
        <v>89</v>
      </c>
      <c r="O431" s="2" t="s">
        <v>116</v>
      </c>
      <c r="P431" s="2" t="s">
        <v>246</v>
      </c>
      <c r="Q431" s="2"/>
      <c r="R431" s="2" t="s">
        <v>4681</v>
      </c>
      <c r="S431" s="5" t="s">
        <v>92</v>
      </c>
      <c r="T431" s="2" t="s">
        <v>93</v>
      </c>
      <c r="U431" s="181">
        <v>100</v>
      </c>
      <c r="V431" s="7" t="s">
        <v>94</v>
      </c>
      <c r="W431" s="2" t="s">
        <v>95</v>
      </c>
      <c r="X431" s="7">
        <v>2025</v>
      </c>
      <c r="Y431" s="5" t="s">
        <v>117</v>
      </c>
      <c r="Z431" s="2" t="s">
        <v>97</v>
      </c>
      <c r="AA431" s="2" t="s">
        <v>98</v>
      </c>
      <c r="AB431" s="2" t="s">
        <v>99</v>
      </c>
      <c r="AC431" s="31" t="s">
        <v>4960</v>
      </c>
      <c r="AD431" s="31" t="s">
        <v>4942</v>
      </c>
      <c r="AE431" s="19" t="s">
        <v>4961</v>
      </c>
      <c r="AF431" s="21" t="s">
        <v>4948</v>
      </c>
      <c r="AG431" s="49" t="s">
        <v>218</v>
      </c>
      <c r="AH431" s="49" t="s">
        <v>178</v>
      </c>
      <c r="AI431" s="11" t="s">
        <v>4962</v>
      </c>
      <c r="AJ431" s="2" t="s">
        <v>4963</v>
      </c>
      <c r="AK431" s="21" t="s">
        <v>97</v>
      </c>
      <c r="AL431" s="21" t="s">
        <v>97</v>
      </c>
      <c r="AM431" s="2"/>
      <c r="AN431" s="2"/>
      <c r="AO431" s="2" t="s">
        <v>4964</v>
      </c>
      <c r="AP431" s="11" t="s">
        <v>4947</v>
      </c>
      <c r="AQ431" s="21" t="s">
        <v>4948</v>
      </c>
      <c r="AR431" s="20" t="s">
        <v>97</v>
      </c>
      <c r="AS431" s="20" t="s">
        <v>107</v>
      </c>
      <c r="AT431" s="21"/>
      <c r="AU431" s="24"/>
      <c r="AV431" s="24"/>
      <c r="AW431" s="24"/>
      <c r="AX431" s="25"/>
      <c r="AY431" s="24"/>
      <c r="AZ431" s="24">
        <f t="shared" si="89"/>
        <v>0</v>
      </c>
      <c r="BA431" s="59"/>
      <c r="BB431" s="24"/>
      <c r="BC431" s="25"/>
      <c r="BD431" s="24"/>
      <c r="BE431" s="26">
        <v>0</v>
      </c>
      <c r="BF431" s="34">
        <f t="shared" si="87"/>
        <v>0</v>
      </c>
      <c r="BG431" s="34">
        <f t="shared" si="88"/>
        <v>0</v>
      </c>
      <c r="BH431" s="26">
        <v>0</v>
      </c>
      <c r="BI431" s="26">
        <v>0</v>
      </c>
      <c r="BJ431" s="20"/>
      <c r="BK431" s="21"/>
      <c r="BL431" s="27"/>
      <c r="BM431" s="27" t="s">
        <v>1144</v>
      </c>
      <c r="BN431" s="26"/>
      <c r="BO431" s="34"/>
      <c r="BP431" s="34"/>
      <c r="BQ431" s="34"/>
      <c r="BR431" s="34"/>
      <c r="BS431" s="34"/>
      <c r="BT431" s="34"/>
      <c r="BU431" s="34"/>
      <c r="BV431" s="34"/>
      <c r="BW431" s="34"/>
      <c r="BX431" s="34"/>
      <c r="BY431" s="34"/>
      <c r="BZ431" s="34"/>
      <c r="CA431" s="20"/>
      <c r="CB431" s="33"/>
      <c r="CC431" s="46">
        <v>45996</v>
      </c>
      <c r="CD431" s="11" t="s">
        <v>4957</v>
      </c>
    </row>
    <row r="432" spans="1:82" s="18" customFormat="1" ht="66.75" customHeight="1" x14ac:dyDescent="0.25">
      <c r="A432" s="87">
        <v>428</v>
      </c>
      <c r="B432" s="142" t="s">
        <v>4965</v>
      </c>
      <c r="C432" s="11" t="s">
        <v>4966</v>
      </c>
      <c r="D432" s="2" t="s">
        <v>4966</v>
      </c>
      <c r="E432" s="75" t="s">
        <v>113</v>
      </c>
      <c r="F432" s="12" t="s">
        <v>1628</v>
      </c>
      <c r="G432" s="7" t="s">
        <v>84</v>
      </c>
      <c r="H432" s="2" t="s">
        <v>775</v>
      </c>
      <c r="I432" s="11" t="s">
        <v>4940</v>
      </c>
      <c r="J432" s="11"/>
      <c r="K432" s="11"/>
      <c r="L432" s="11"/>
      <c r="M432" s="2" t="s">
        <v>88</v>
      </c>
      <c r="N432" s="2" t="s">
        <v>89</v>
      </c>
      <c r="O432" s="2" t="s">
        <v>116</v>
      </c>
      <c r="P432" s="2" t="s">
        <v>246</v>
      </c>
      <c r="Q432" s="2"/>
      <c r="R432" s="2" t="s">
        <v>4681</v>
      </c>
      <c r="S432" s="5" t="s">
        <v>92</v>
      </c>
      <c r="T432" s="2" t="s">
        <v>93</v>
      </c>
      <c r="U432" s="181">
        <v>100</v>
      </c>
      <c r="V432" s="7" t="s">
        <v>94</v>
      </c>
      <c r="W432" s="2" t="s">
        <v>95</v>
      </c>
      <c r="X432" s="7">
        <v>2025</v>
      </c>
      <c r="Y432" s="5" t="s">
        <v>117</v>
      </c>
      <c r="Z432" s="2" t="s">
        <v>97</v>
      </c>
      <c r="AA432" s="2" t="s">
        <v>98</v>
      </c>
      <c r="AB432" s="2" t="s">
        <v>99</v>
      </c>
      <c r="AC432" s="31" t="s">
        <v>4967</v>
      </c>
      <c r="AD432" s="31" t="s">
        <v>4942</v>
      </c>
      <c r="AE432" s="19" t="s">
        <v>4968</v>
      </c>
      <c r="AF432" s="21" t="s">
        <v>4948</v>
      </c>
      <c r="AG432" s="49" t="s">
        <v>218</v>
      </c>
      <c r="AH432" s="49" t="s">
        <v>178</v>
      </c>
      <c r="AI432" s="11" t="s">
        <v>4969</v>
      </c>
      <c r="AJ432" s="2" t="s">
        <v>4955</v>
      </c>
      <c r="AK432" s="21" t="s">
        <v>97</v>
      </c>
      <c r="AL432" s="21" t="s">
        <v>97</v>
      </c>
      <c r="AM432" s="2"/>
      <c r="AN432" s="2"/>
      <c r="AO432" s="11" t="s">
        <v>4970</v>
      </c>
      <c r="AP432" s="11" t="s">
        <v>4947</v>
      </c>
      <c r="AQ432" s="21" t="s">
        <v>4948</v>
      </c>
      <c r="AR432" s="20" t="s">
        <v>97</v>
      </c>
      <c r="AS432" s="20" t="s">
        <v>107</v>
      </c>
      <c r="AT432" s="21"/>
      <c r="AU432" s="24"/>
      <c r="AV432" s="24"/>
      <c r="AW432" s="24"/>
      <c r="AX432" s="25"/>
      <c r="AY432" s="24"/>
      <c r="AZ432" s="24">
        <f t="shared" si="89"/>
        <v>0</v>
      </c>
      <c r="BA432" s="59"/>
      <c r="BB432" s="24"/>
      <c r="BC432" s="25"/>
      <c r="BD432" s="24"/>
      <c r="BE432" s="26">
        <v>0</v>
      </c>
      <c r="BF432" s="34">
        <f t="shared" si="87"/>
        <v>0</v>
      </c>
      <c r="BG432" s="34">
        <f t="shared" si="88"/>
        <v>0</v>
      </c>
      <c r="BH432" s="26">
        <v>0</v>
      </c>
      <c r="BI432" s="26">
        <v>0</v>
      </c>
      <c r="BJ432" s="20"/>
      <c r="BK432" s="21"/>
      <c r="BL432" s="27"/>
      <c r="BM432" s="27" t="s">
        <v>4971</v>
      </c>
      <c r="BN432" s="26"/>
      <c r="BO432" s="34"/>
      <c r="BP432" s="34"/>
      <c r="BQ432" s="34"/>
      <c r="BR432" s="34"/>
      <c r="BS432" s="34"/>
      <c r="BT432" s="34"/>
      <c r="BU432" s="34"/>
      <c r="BV432" s="34"/>
      <c r="BW432" s="34"/>
      <c r="BX432" s="34"/>
      <c r="BY432" s="34"/>
      <c r="BZ432" s="34"/>
      <c r="CA432" s="20"/>
      <c r="CB432" s="33"/>
      <c r="CC432" s="46">
        <v>45996</v>
      </c>
      <c r="CD432" s="11" t="s">
        <v>4957</v>
      </c>
    </row>
    <row r="433" spans="1:82" s="18" customFormat="1" ht="66.75" customHeight="1" x14ac:dyDescent="0.25">
      <c r="A433" s="121">
        <v>429</v>
      </c>
      <c r="B433" s="142" t="s">
        <v>4972</v>
      </c>
      <c r="C433" s="11" t="s">
        <v>4973</v>
      </c>
      <c r="D433" s="2" t="s">
        <v>4973</v>
      </c>
      <c r="E433" s="75" t="s">
        <v>113</v>
      </c>
      <c r="F433" s="12" t="s">
        <v>1628</v>
      </c>
      <c r="G433" s="7" t="s">
        <v>84</v>
      </c>
      <c r="H433" s="2" t="s">
        <v>775</v>
      </c>
      <c r="I433" s="11" t="s">
        <v>4940</v>
      </c>
      <c r="J433" s="11"/>
      <c r="K433" s="11"/>
      <c r="L433" s="11"/>
      <c r="M433" s="2" t="s">
        <v>88</v>
      </c>
      <c r="N433" s="2" t="s">
        <v>89</v>
      </c>
      <c r="O433" s="2" t="s">
        <v>116</v>
      </c>
      <c r="P433" s="2" t="s">
        <v>246</v>
      </c>
      <c r="Q433" s="2"/>
      <c r="R433" s="2" t="s">
        <v>4681</v>
      </c>
      <c r="S433" s="5" t="s">
        <v>92</v>
      </c>
      <c r="T433" s="2" t="s">
        <v>93</v>
      </c>
      <c r="U433" s="181">
        <v>100</v>
      </c>
      <c r="V433" s="7" t="s">
        <v>94</v>
      </c>
      <c r="W433" s="2" t="s">
        <v>95</v>
      </c>
      <c r="X433" s="7">
        <v>2025</v>
      </c>
      <c r="Y433" s="5" t="s">
        <v>117</v>
      </c>
      <c r="Z433" s="2" t="s">
        <v>97</v>
      </c>
      <c r="AA433" s="2" t="s">
        <v>98</v>
      </c>
      <c r="AB433" s="2" t="s">
        <v>99</v>
      </c>
      <c r="AC433" s="31" t="s">
        <v>4974</v>
      </c>
      <c r="AD433" s="31" t="s">
        <v>4942</v>
      </c>
      <c r="AE433" s="19" t="s">
        <v>4975</v>
      </c>
      <c r="AF433" s="21" t="s">
        <v>4948</v>
      </c>
      <c r="AG433" s="49" t="s">
        <v>218</v>
      </c>
      <c r="AH433" s="49" t="s">
        <v>178</v>
      </c>
      <c r="AI433" s="11" t="s">
        <v>4976</v>
      </c>
      <c r="AJ433" s="2" t="s">
        <v>4955</v>
      </c>
      <c r="AK433" s="21" t="s">
        <v>97</v>
      </c>
      <c r="AL433" s="21" t="s">
        <v>97</v>
      </c>
      <c r="AM433" s="2"/>
      <c r="AN433" s="2"/>
      <c r="AO433" s="11" t="s">
        <v>4977</v>
      </c>
      <c r="AP433" s="11" t="s">
        <v>4947</v>
      </c>
      <c r="AQ433" s="21" t="s">
        <v>4948</v>
      </c>
      <c r="AR433" s="20" t="s">
        <v>97</v>
      </c>
      <c r="AS433" s="20" t="s">
        <v>107</v>
      </c>
      <c r="AT433" s="21"/>
      <c r="AU433" s="24"/>
      <c r="AV433" s="24"/>
      <c r="AW433" s="24"/>
      <c r="AX433" s="25"/>
      <c r="AY433" s="24"/>
      <c r="AZ433" s="24">
        <f t="shared" si="89"/>
        <v>0</v>
      </c>
      <c r="BA433" s="59"/>
      <c r="BB433" s="24"/>
      <c r="BC433" s="25"/>
      <c r="BD433" s="24"/>
      <c r="BE433" s="26">
        <v>0</v>
      </c>
      <c r="BF433" s="34">
        <f t="shared" si="87"/>
        <v>0</v>
      </c>
      <c r="BG433" s="34">
        <f t="shared" si="88"/>
        <v>0</v>
      </c>
      <c r="BH433" s="26">
        <v>0</v>
      </c>
      <c r="BI433" s="26">
        <v>0</v>
      </c>
      <c r="BJ433" s="20"/>
      <c r="BK433" s="21"/>
      <c r="BL433" s="27"/>
      <c r="BM433" s="27" t="s">
        <v>4978</v>
      </c>
      <c r="BN433" s="26"/>
      <c r="BO433" s="34"/>
      <c r="BP433" s="34"/>
      <c r="BQ433" s="34"/>
      <c r="BR433" s="34"/>
      <c r="BS433" s="34"/>
      <c r="BT433" s="34"/>
      <c r="BU433" s="34"/>
      <c r="BV433" s="34"/>
      <c r="BW433" s="34"/>
      <c r="BX433" s="34"/>
      <c r="BY433" s="34"/>
      <c r="BZ433" s="34"/>
      <c r="CA433" s="20"/>
      <c r="CB433" s="33"/>
      <c r="CC433" s="46">
        <v>45996</v>
      </c>
      <c r="CD433" s="11" t="s">
        <v>4979</v>
      </c>
    </row>
    <row r="434" spans="1:82" s="18" customFormat="1" ht="66.75" customHeight="1" x14ac:dyDescent="0.25">
      <c r="A434" s="87">
        <v>430</v>
      </c>
      <c r="B434" s="142" t="s">
        <v>4980</v>
      </c>
      <c r="C434" s="11" t="s">
        <v>4981</v>
      </c>
      <c r="D434" s="2" t="s">
        <v>4981</v>
      </c>
      <c r="E434" s="75" t="s">
        <v>113</v>
      </c>
      <c r="F434" s="12" t="s">
        <v>1628</v>
      </c>
      <c r="G434" s="7" t="s">
        <v>84</v>
      </c>
      <c r="H434" s="2" t="s">
        <v>775</v>
      </c>
      <c r="I434" s="11" t="s">
        <v>4940</v>
      </c>
      <c r="J434" s="11"/>
      <c r="K434" s="11"/>
      <c r="L434" s="11"/>
      <c r="M434" s="2" t="s">
        <v>88</v>
      </c>
      <c r="N434" s="2" t="s">
        <v>89</v>
      </c>
      <c r="O434" s="2" t="s">
        <v>116</v>
      </c>
      <c r="P434" s="2" t="s">
        <v>246</v>
      </c>
      <c r="Q434" s="2"/>
      <c r="R434" s="2" t="s">
        <v>4681</v>
      </c>
      <c r="S434" s="5" t="s">
        <v>92</v>
      </c>
      <c r="T434" s="2" t="s">
        <v>93</v>
      </c>
      <c r="U434" s="181">
        <v>100</v>
      </c>
      <c r="V434" s="7" t="s">
        <v>94</v>
      </c>
      <c r="W434" s="2" t="s">
        <v>95</v>
      </c>
      <c r="X434" s="7">
        <v>2025</v>
      </c>
      <c r="Y434" s="5" t="s">
        <v>117</v>
      </c>
      <c r="Z434" s="2" t="s">
        <v>97</v>
      </c>
      <c r="AA434" s="2" t="s">
        <v>98</v>
      </c>
      <c r="AB434" s="2" t="s">
        <v>99</v>
      </c>
      <c r="AC434" s="31" t="s">
        <v>4982</v>
      </c>
      <c r="AD434" s="31" t="s">
        <v>4942</v>
      </c>
      <c r="AE434" s="19" t="s">
        <v>4983</v>
      </c>
      <c r="AF434" s="21" t="s">
        <v>4948</v>
      </c>
      <c r="AG434" s="2" t="s">
        <v>4984</v>
      </c>
      <c r="AH434" s="2" t="s">
        <v>4984</v>
      </c>
      <c r="AI434" s="11" t="s">
        <v>4985</v>
      </c>
      <c r="AJ434" s="2" t="s">
        <v>4986</v>
      </c>
      <c r="AK434" s="21" t="s">
        <v>97</v>
      </c>
      <c r="AL434" s="21" t="s">
        <v>97</v>
      </c>
      <c r="AM434" s="2"/>
      <c r="AN434" s="2"/>
      <c r="AO434" s="11" t="s">
        <v>4987</v>
      </c>
      <c r="AP434" s="11" t="s">
        <v>4947</v>
      </c>
      <c r="AQ434" s="21" t="s">
        <v>4948</v>
      </c>
      <c r="AR434" s="20" t="s">
        <v>97</v>
      </c>
      <c r="AS434" s="20" t="s">
        <v>107</v>
      </c>
      <c r="AT434" s="21"/>
      <c r="AU434" s="24"/>
      <c r="AV434" s="24"/>
      <c r="AW434" s="24"/>
      <c r="AX434" s="25"/>
      <c r="AY434" s="24"/>
      <c r="AZ434" s="24">
        <f t="shared" si="89"/>
        <v>0</v>
      </c>
      <c r="BA434" s="59"/>
      <c r="BB434" s="24"/>
      <c r="BC434" s="25"/>
      <c r="BD434" s="24"/>
      <c r="BE434" s="26">
        <v>0</v>
      </c>
      <c r="BF434" s="34">
        <f t="shared" si="87"/>
        <v>0</v>
      </c>
      <c r="BG434" s="34">
        <f t="shared" si="88"/>
        <v>0</v>
      </c>
      <c r="BH434" s="26">
        <v>0</v>
      </c>
      <c r="BI434" s="26">
        <v>0</v>
      </c>
      <c r="BJ434" s="20"/>
      <c r="BK434" s="21"/>
      <c r="BL434" s="27"/>
      <c r="BM434" s="27" t="s">
        <v>4988</v>
      </c>
      <c r="BN434" s="26"/>
      <c r="BO434" s="34"/>
      <c r="BP434" s="34"/>
      <c r="BQ434" s="34"/>
      <c r="BR434" s="34"/>
      <c r="BS434" s="34"/>
      <c r="BT434" s="34"/>
      <c r="BU434" s="34"/>
      <c r="BV434" s="34"/>
      <c r="BW434" s="34"/>
      <c r="BX434" s="34"/>
      <c r="BY434" s="34"/>
      <c r="BZ434" s="34"/>
      <c r="CA434" s="20"/>
      <c r="CB434" s="33"/>
      <c r="CC434" s="46">
        <v>45996</v>
      </c>
      <c r="CD434" s="11" t="s">
        <v>4989</v>
      </c>
    </row>
    <row r="435" spans="1:82" s="18" customFormat="1" ht="66.75" customHeight="1" x14ac:dyDescent="0.25">
      <c r="A435" s="87">
        <v>431</v>
      </c>
      <c r="B435" s="142" t="s">
        <v>4990</v>
      </c>
      <c r="C435" s="11" t="s">
        <v>4991</v>
      </c>
      <c r="D435" s="2" t="s">
        <v>4991</v>
      </c>
      <c r="E435" s="75" t="s">
        <v>113</v>
      </c>
      <c r="F435" s="12" t="s">
        <v>1628</v>
      </c>
      <c r="G435" s="7" t="s">
        <v>84</v>
      </c>
      <c r="H435" s="2" t="s">
        <v>775</v>
      </c>
      <c r="I435" s="11" t="s">
        <v>4940</v>
      </c>
      <c r="J435" s="11"/>
      <c r="K435" s="11"/>
      <c r="L435" s="11"/>
      <c r="M435" s="2" t="s">
        <v>88</v>
      </c>
      <c r="N435" s="2" t="s">
        <v>89</v>
      </c>
      <c r="O435" s="2" t="s">
        <v>116</v>
      </c>
      <c r="P435" s="2" t="s">
        <v>246</v>
      </c>
      <c r="Q435" s="2"/>
      <c r="R435" s="2" t="s">
        <v>4681</v>
      </c>
      <c r="S435" s="5" t="s">
        <v>92</v>
      </c>
      <c r="T435" s="2" t="s">
        <v>93</v>
      </c>
      <c r="U435" s="181">
        <v>100</v>
      </c>
      <c r="V435" s="7" t="s">
        <v>94</v>
      </c>
      <c r="W435" s="2" t="s">
        <v>95</v>
      </c>
      <c r="X435" s="7">
        <v>2025</v>
      </c>
      <c r="Y435" s="5" t="s">
        <v>117</v>
      </c>
      <c r="Z435" s="2" t="s">
        <v>97</v>
      </c>
      <c r="AA435" s="2" t="s">
        <v>98</v>
      </c>
      <c r="AB435" s="2" t="s">
        <v>99</v>
      </c>
      <c r="AC435" s="31" t="s">
        <v>4992</v>
      </c>
      <c r="AD435" s="31" t="s">
        <v>4942</v>
      </c>
      <c r="AE435" s="19" t="s">
        <v>4993</v>
      </c>
      <c r="AF435" s="21" t="s">
        <v>4948</v>
      </c>
      <c r="AG435" s="21" t="s">
        <v>4649</v>
      </c>
      <c r="AH435" s="37" t="s">
        <v>178</v>
      </c>
      <c r="AI435" s="11" t="s">
        <v>4994</v>
      </c>
      <c r="AJ435" s="2" t="s">
        <v>4955</v>
      </c>
      <c r="AK435" s="21" t="s">
        <v>97</v>
      </c>
      <c r="AL435" s="21" t="s">
        <v>97</v>
      </c>
      <c r="AM435" s="2"/>
      <c r="AN435" s="2"/>
      <c r="AO435" s="11" t="s">
        <v>4995</v>
      </c>
      <c r="AP435" s="11" t="s">
        <v>4947</v>
      </c>
      <c r="AQ435" s="21" t="s">
        <v>4948</v>
      </c>
      <c r="AR435" s="20" t="s">
        <v>97</v>
      </c>
      <c r="AS435" s="20" t="s">
        <v>107</v>
      </c>
      <c r="AT435" s="21"/>
      <c r="AU435" s="24"/>
      <c r="AV435" s="24"/>
      <c r="AW435" s="24"/>
      <c r="AX435" s="25"/>
      <c r="AY435" s="24"/>
      <c r="AZ435" s="24">
        <f t="shared" si="89"/>
        <v>0</v>
      </c>
      <c r="BA435" s="59"/>
      <c r="BB435" s="24"/>
      <c r="BC435" s="25"/>
      <c r="BD435" s="24"/>
      <c r="BE435" s="26">
        <v>0</v>
      </c>
      <c r="BF435" s="34">
        <f t="shared" si="87"/>
        <v>0</v>
      </c>
      <c r="BG435" s="34">
        <f t="shared" si="88"/>
        <v>0</v>
      </c>
      <c r="BH435" s="26">
        <v>0</v>
      </c>
      <c r="BI435" s="26">
        <v>0</v>
      </c>
      <c r="BJ435" s="20"/>
      <c r="BK435" s="21"/>
      <c r="BL435" s="27"/>
      <c r="BM435" s="27" t="s">
        <v>4996</v>
      </c>
      <c r="BN435" s="26"/>
      <c r="BO435" s="34"/>
      <c r="BP435" s="34"/>
      <c r="BQ435" s="34"/>
      <c r="BR435" s="34"/>
      <c r="BS435" s="34"/>
      <c r="BT435" s="34"/>
      <c r="BU435" s="34"/>
      <c r="BV435" s="34"/>
      <c r="BW435" s="34"/>
      <c r="BX435" s="34"/>
      <c r="BY435" s="34"/>
      <c r="BZ435" s="34"/>
      <c r="CA435" s="20"/>
      <c r="CB435" s="33"/>
      <c r="CC435" s="46">
        <v>45996</v>
      </c>
      <c r="CD435" s="36" t="s">
        <v>4957</v>
      </c>
    </row>
    <row r="436" spans="1:82" s="18" customFormat="1" ht="66.75" customHeight="1" x14ac:dyDescent="0.25">
      <c r="A436" s="121">
        <v>432</v>
      </c>
      <c r="B436" s="142" t="s">
        <v>4997</v>
      </c>
      <c r="C436" s="11" t="s">
        <v>4998</v>
      </c>
      <c r="D436" s="2" t="s">
        <v>4998</v>
      </c>
      <c r="E436" s="75" t="s">
        <v>113</v>
      </c>
      <c r="F436" s="12" t="s">
        <v>1628</v>
      </c>
      <c r="G436" s="7" t="s">
        <v>84</v>
      </c>
      <c r="H436" s="2" t="s">
        <v>775</v>
      </c>
      <c r="I436" s="11" t="s">
        <v>4940</v>
      </c>
      <c r="J436" s="11"/>
      <c r="K436" s="11"/>
      <c r="L436" s="11"/>
      <c r="M436" s="2" t="s">
        <v>88</v>
      </c>
      <c r="N436" s="2" t="s">
        <v>89</v>
      </c>
      <c r="O436" s="2" t="s">
        <v>116</v>
      </c>
      <c r="P436" s="2" t="s">
        <v>246</v>
      </c>
      <c r="Q436" s="2"/>
      <c r="R436" s="2" t="s">
        <v>4681</v>
      </c>
      <c r="S436" s="5" t="s">
        <v>92</v>
      </c>
      <c r="T436" s="2" t="s">
        <v>93</v>
      </c>
      <c r="U436" s="181">
        <v>100</v>
      </c>
      <c r="V436" s="7" t="s">
        <v>94</v>
      </c>
      <c r="W436" s="2" t="s">
        <v>95</v>
      </c>
      <c r="X436" s="7">
        <v>2025</v>
      </c>
      <c r="Y436" s="5" t="s">
        <v>117</v>
      </c>
      <c r="Z436" s="2" t="s">
        <v>97</v>
      </c>
      <c r="AA436" s="2" t="s">
        <v>98</v>
      </c>
      <c r="AB436" s="2" t="s">
        <v>99</v>
      </c>
      <c r="AC436" s="31" t="s">
        <v>4999</v>
      </c>
      <c r="AD436" s="31" t="s">
        <v>4942</v>
      </c>
      <c r="AE436" s="19" t="s">
        <v>5000</v>
      </c>
      <c r="AF436" s="21" t="s">
        <v>4948</v>
      </c>
      <c r="AG436" s="37" t="s">
        <v>218</v>
      </c>
      <c r="AH436" s="37" t="s">
        <v>178</v>
      </c>
      <c r="AI436" s="11" t="s">
        <v>5001</v>
      </c>
      <c r="AJ436" s="2" t="s">
        <v>4955</v>
      </c>
      <c r="AK436" s="21" t="s">
        <v>97</v>
      </c>
      <c r="AL436" s="21" t="s">
        <v>97</v>
      </c>
      <c r="AM436" s="2"/>
      <c r="AN436" s="2"/>
      <c r="AO436" s="11" t="s">
        <v>5002</v>
      </c>
      <c r="AP436" s="11" t="s">
        <v>4947</v>
      </c>
      <c r="AQ436" s="21" t="s">
        <v>4948</v>
      </c>
      <c r="AR436" s="20" t="s">
        <v>97</v>
      </c>
      <c r="AS436" s="20" t="s">
        <v>107</v>
      </c>
      <c r="AT436" s="21"/>
      <c r="AU436" s="24"/>
      <c r="AV436" s="24"/>
      <c r="AW436" s="24"/>
      <c r="AX436" s="25"/>
      <c r="AY436" s="24"/>
      <c r="AZ436" s="24">
        <f t="shared" si="89"/>
        <v>0</v>
      </c>
      <c r="BA436" s="59"/>
      <c r="BB436" s="24"/>
      <c r="BC436" s="25"/>
      <c r="BD436" s="24"/>
      <c r="BE436" s="26">
        <v>0</v>
      </c>
      <c r="BF436" s="34">
        <f t="shared" si="87"/>
        <v>0</v>
      </c>
      <c r="BG436" s="34">
        <f t="shared" si="88"/>
        <v>0</v>
      </c>
      <c r="BH436" s="26">
        <v>0</v>
      </c>
      <c r="BI436" s="26">
        <v>0</v>
      </c>
      <c r="BJ436" s="20"/>
      <c r="BK436" s="21"/>
      <c r="BL436" s="27"/>
      <c r="BM436" s="27" t="s">
        <v>5003</v>
      </c>
      <c r="BN436" s="26"/>
      <c r="BO436" s="34"/>
      <c r="BP436" s="34"/>
      <c r="BQ436" s="34"/>
      <c r="BR436" s="34"/>
      <c r="BS436" s="34"/>
      <c r="BT436" s="34"/>
      <c r="BU436" s="34"/>
      <c r="BV436" s="34"/>
      <c r="BW436" s="34"/>
      <c r="BX436" s="34"/>
      <c r="BY436" s="34"/>
      <c r="BZ436" s="34"/>
      <c r="CA436" s="20"/>
      <c r="CB436" s="33"/>
      <c r="CC436" s="46">
        <v>45996</v>
      </c>
      <c r="CD436" s="36" t="s">
        <v>4957</v>
      </c>
    </row>
    <row r="437" spans="1:82" s="18" customFormat="1" ht="66.75" customHeight="1" x14ac:dyDescent="0.25">
      <c r="A437" s="87">
        <v>433</v>
      </c>
      <c r="B437" s="141" t="s">
        <v>5004</v>
      </c>
      <c r="C437" s="82" t="s">
        <v>5005</v>
      </c>
      <c r="D437" s="6" t="s">
        <v>5006</v>
      </c>
      <c r="E437" s="75" t="s">
        <v>113</v>
      </c>
      <c r="F437" s="4" t="s">
        <v>1628</v>
      </c>
      <c r="G437" s="5" t="s">
        <v>84</v>
      </c>
      <c r="H437" s="6" t="s">
        <v>775</v>
      </c>
      <c r="I437" s="82" t="s">
        <v>4940</v>
      </c>
      <c r="J437" s="82"/>
      <c r="K437" s="82"/>
      <c r="L437" s="82"/>
      <c r="M437" s="6" t="s">
        <v>88</v>
      </c>
      <c r="N437" s="6" t="s">
        <v>89</v>
      </c>
      <c r="O437" s="6" t="s">
        <v>116</v>
      </c>
      <c r="P437" s="6" t="s">
        <v>115</v>
      </c>
      <c r="Q437" s="6"/>
      <c r="R437" s="6" t="s">
        <v>4681</v>
      </c>
      <c r="S437" s="5" t="s">
        <v>92</v>
      </c>
      <c r="T437" s="6" t="s">
        <v>93</v>
      </c>
      <c r="U437" s="91">
        <v>100</v>
      </c>
      <c r="V437" s="5" t="s">
        <v>94</v>
      </c>
      <c r="W437" s="6" t="s">
        <v>95</v>
      </c>
      <c r="X437" s="5">
        <v>2025</v>
      </c>
      <c r="Y437" s="5" t="s">
        <v>117</v>
      </c>
      <c r="Z437" s="6" t="s">
        <v>97</v>
      </c>
      <c r="AA437" s="6" t="s">
        <v>98</v>
      </c>
      <c r="AB437" s="6" t="s">
        <v>99</v>
      </c>
      <c r="AC437" s="79" t="s">
        <v>5007</v>
      </c>
      <c r="AD437" s="79" t="s">
        <v>4942</v>
      </c>
      <c r="AE437" s="75" t="s">
        <v>4339</v>
      </c>
      <c r="AF437" s="49" t="s">
        <v>4948</v>
      </c>
      <c r="AG437" s="49" t="s">
        <v>218</v>
      </c>
      <c r="AH437" s="49" t="s">
        <v>178</v>
      </c>
      <c r="AI437" s="6" t="s">
        <v>4340</v>
      </c>
      <c r="AJ437" s="6" t="s">
        <v>4955</v>
      </c>
      <c r="AK437" s="49" t="s">
        <v>97</v>
      </c>
      <c r="AL437" s="49" t="s">
        <v>97</v>
      </c>
      <c r="AM437" s="6"/>
      <c r="AN437" s="6" t="s">
        <v>5008</v>
      </c>
      <c r="AO437" s="6" t="s">
        <v>5009</v>
      </c>
      <c r="AP437" s="82" t="s">
        <v>4947</v>
      </c>
      <c r="AQ437" s="49" t="s">
        <v>4948</v>
      </c>
      <c r="AR437" s="20" t="s">
        <v>97</v>
      </c>
      <c r="AS437" s="20" t="s">
        <v>107</v>
      </c>
      <c r="AT437" s="21"/>
      <c r="AU437" s="24">
        <v>0.5</v>
      </c>
      <c r="AV437" s="24">
        <f>+AU437*80%</f>
        <v>0.4</v>
      </c>
      <c r="AW437" s="24">
        <f>+AU437*60%</f>
        <v>0.3</v>
      </c>
      <c r="AX437" s="25">
        <v>1E-4</v>
      </c>
      <c r="AY437" s="24">
        <v>0</v>
      </c>
      <c r="AZ437" s="24">
        <f t="shared" si="89"/>
        <v>0.45</v>
      </c>
      <c r="BA437" s="24">
        <f>AZ437*80%</f>
        <v>0.36000000000000004</v>
      </c>
      <c r="BB437" s="24">
        <f>AZ437*60%</f>
        <v>0.27</v>
      </c>
      <c r="BC437" s="25">
        <v>1E-4</v>
      </c>
      <c r="BD437" s="24">
        <v>0</v>
      </c>
      <c r="BE437" s="26">
        <v>0</v>
      </c>
      <c r="BF437" s="34">
        <f t="shared" si="87"/>
        <v>0</v>
      </c>
      <c r="BG437" s="34">
        <f t="shared" si="88"/>
        <v>0</v>
      </c>
      <c r="BH437" s="26">
        <v>0</v>
      </c>
      <c r="BI437" s="26">
        <v>0</v>
      </c>
      <c r="BJ437" s="20"/>
      <c r="BK437" s="21"/>
      <c r="BL437" s="27"/>
      <c r="BM437" s="27" t="s">
        <v>5010</v>
      </c>
      <c r="BN437" s="26"/>
      <c r="BO437" s="34"/>
      <c r="BP437" s="34"/>
      <c r="BQ437" s="34"/>
      <c r="BR437" s="34"/>
      <c r="BS437" s="34"/>
      <c r="BT437" s="34"/>
      <c r="BU437" s="34"/>
      <c r="BV437" s="34"/>
      <c r="BW437" s="34"/>
      <c r="BX437" s="34"/>
      <c r="BY437" s="34"/>
      <c r="BZ437" s="34"/>
      <c r="CA437" s="20"/>
      <c r="CB437" s="19"/>
      <c r="CC437" s="29">
        <v>46003</v>
      </c>
      <c r="CD437" s="29" t="s">
        <v>5011</v>
      </c>
    </row>
    <row r="438" spans="1:82" s="18" customFormat="1" ht="66.75" customHeight="1" x14ac:dyDescent="0.25">
      <c r="A438" s="87">
        <v>434</v>
      </c>
      <c r="B438" s="142" t="s">
        <v>5012</v>
      </c>
      <c r="C438" s="2" t="s">
        <v>5013</v>
      </c>
      <c r="D438" s="2" t="s">
        <v>5014</v>
      </c>
      <c r="E438" s="75" t="s">
        <v>113</v>
      </c>
      <c r="F438" s="12" t="s">
        <v>1628</v>
      </c>
      <c r="G438" s="7" t="s">
        <v>84</v>
      </c>
      <c r="H438" s="2" t="s">
        <v>775</v>
      </c>
      <c r="I438" s="2" t="s">
        <v>4013</v>
      </c>
      <c r="J438" s="2"/>
      <c r="K438" s="2"/>
      <c r="L438" s="2"/>
      <c r="M438" s="2" t="s">
        <v>88</v>
      </c>
      <c r="N438" s="2" t="s">
        <v>89</v>
      </c>
      <c r="O438" s="2" t="s">
        <v>246</v>
      </c>
      <c r="P438" s="2" t="s">
        <v>4370</v>
      </c>
      <c r="Q438" s="2"/>
      <c r="R438" s="2" t="s">
        <v>4370</v>
      </c>
      <c r="S438" s="5" t="s">
        <v>92</v>
      </c>
      <c r="T438" s="2" t="s">
        <v>2587</v>
      </c>
      <c r="U438" s="181">
        <v>1000</v>
      </c>
      <c r="V438" s="7" t="s">
        <v>94</v>
      </c>
      <c r="W438" s="2" t="s">
        <v>95</v>
      </c>
      <c r="X438" s="7">
        <v>2025</v>
      </c>
      <c r="Y438" s="5" t="s">
        <v>117</v>
      </c>
      <c r="Z438" s="2" t="s">
        <v>97</v>
      </c>
      <c r="AA438" s="2" t="s">
        <v>98</v>
      </c>
      <c r="AB438" s="2" t="s">
        <v>99</v>
      </c>
      <c r="AC438" s="31" t="s">
        <v>5015</v>
      </c>
      <c r="AD438" s="31" t="s">
        <v>4721</v>
      </c>
      <c r="AE438" s="21" t="s">
        <v>5016</v>
      </c>
      <c r="AF438" s="21" t="s">
        <v>3582</v>
      </c>
      <c r="AG438" s="37" t="s">
        <v>218</v>
      </c>
      <c r="AH438" s="21" t="s">
        <v>178</v>
      </c>
      <c r="AI438" s="21" t="s">
        <v>5015</v>
      </c>
      <c r="AJ438" s="21" t="s">
        <v>4651</v>
      </c>
      <c r="AK438" s="21" t="s">
        <v>97</v>
      </c>
      <c r="AL438" s="21" t="s">
        <v>97</v>
      </c>
      <c r="AM438" s="2" t="s">
        <v>97</v>
      </c>
      <c r="AN438" s="2" t="s">
        <v>4629</v>
      </c>
      <c r="AO438" s="2" t="s">
        <v>5017</v>
      </c>
      <c r="AP438" s="2" t="s">
        <v>4651</v>
      </c>
      <c r="AQ438" s="21" t="s">
        <v>3539</v>
      </c>
      <c r="AR438" s="20" t="s">
        <v>97</v>
      </c>
      <c r="AS438" s="20" t="s">
        <v>107</v>
      </c>
      <c r="AT438" s="21"/>
      <c r="AU438" s="24" t="s">
        <v>5018</v>
      </c>
      <c r="AV438" s="24"/>
      <c r="AW438" s="24"/>
      <c r="AX438" s="25"/>
      <c r="AY438" s="24"/>
      <c r="AZ438" s="24" t="s">
        <v>5018</v>
      </c>
      <c r="BA438" s="24"/>
      <c r="BB438" s="24"/>
      <c r="BC438" s="25"/>
      <c r="BD438" s="24"/>
      <c r="BE438" s="26">
        <v>0</v>
      </c>
      <c r="BF438" s="34">
        <f t="shared" si="87"/>
        <v>0</v>
      </c>
      <c r="BG438" s="34">
        <f t="shared" si="88"/>
        <v>0</v>
      </c>
      <c r="BH438" s="26">
        <v>0</v>
      </c>
      <c r="BI438" s="26">
        <v>0</v>
      </c>
      <c r="BJ438" s="21"/>
      <c r="BK438" s="21"/>
      <c r="BL438" s="27"/>
      <c r="BM438" s="27" t="s">
        <v>5019</v>
      </c>
      <c r="BN438" s="26"/>
      <c r="BO438" s="34"/>
      <c r="BP438" s="34"/>
      <c r="BQ438" s="34"/>
      <c r="BR438" s="34">
        <v>1</v>
      </c>
      <c r="BS438" s="34"/>
      <c r="BT438" s="34"/>
      <c r="BU438" s="34"/>
      <c r="BV438" s="34"/>
      <c r="BW438" s="34"/>
      <c r="BX438" s="34"/>
      <c r="BY438" s="34"/>
      <c r="BZ438" s="34"/>
      <c r="CA438" s="20"/>
      <c r="CB438" s="33"/>
      <c r="CC438" s="46">
        <v>45996</v>
      </c>
      <c r="CD438" s="11" t="s">
        <v>5020</v>
      </c>
    </row>
    <row r="439" spans="1:82" s="18" customFormat="1" ht="255" customHeight="1" x14ac:dyDescent="0.2">
      <c r="A439" s="121">
        <v>435</v>
      </c>
      <c r="B439" s="142" t="s">
        <v>5021</v>
      </c>
      <c r="C439" s="2" t="s">
        <v>5022</v>
      </c>
      <c r="D439" s="6" t="s">
        <v>5023</v>
      </c>
      <c r="E439" s="75" t="s">
        <v>113</v>
      </c>
      <c r="F439" s="12" t="s">
        <v>1628</v>
      </c>
      <c r="G439" s="7" t="s">
        <v>84</v>
      </c>
      <c r="H439" s="2" t="s">
        <v>114</v>
      </c>
      <c r="I439" s="2" t="s">
        <v>3863</v>
      </c>
      <c r="J439" s="2"/>
      <c r="K439" s="2"/>
      <c r="L439" s="2"/>
      <c r="M439" s="2" t="s">
        <v>88</v>
      </c>
      <c r="N439" s="2" t="s">
        <v>89</v>
      </c>
      <c r="O439" s="2" t="s">
        <v>246</v>
      </c>
      <c r="P439" s="2" t="s">
        <v>5024</v>
      </c>
      <c r="Q439" s="2"/>
      <c r="R439" s="2" t="s">
        <v>4370</v>
      </c>
      <c r="S439" s="5" t="s">
        <v>92</v>
      </c>
      <c r="T439" s="7" t="s">
        <v>93</v>
      </c>
      <c r="U439" s="181">
        <v>100</v>
      </c>
      <c r="V439" s="7" t="s">
        <v>94</v>
      </c>
      <c r="W439" s="7" t="s">
        <v>95</v>
      </c>
      <c r="X439" s="7">
        <v>2025</v>
      </c>
      <c r="Y439" s="5" t="s">
        <v>117</v>
      </c>
      <c r="Z439" s="7" t="s">
        <v>97</v>
      </c>
      <c r="AA439" s="7" t="s">
        <v>98</v>
      </c>
      <c r="AB439" s="2" t="s">
        <v>99</v>
      </c>
      <c r="AC439" s="31" t="s">
        <v>5025</v>
      </c>
      <c r="AD439" s="31" t="s">
        <v>5026</v>
      </c>
      <c r="AE439" s="2" t="s">
        <v>7396</v>
      </c>
      <c r="AF439" s="2" t="s">
        <v>121</v>
      </c>
      <c r="AG439" s="2" t="s">
        <v>5027</v>
      </c>
      <c r="AH439" s="2" t="s">
        <v>5028</v>
      </c>
      <c r="AI439" s="2" t="s">
        <v>3870</v>
      </c>
      <c r="AJ439" s="2" t="s">
        <v>5029</v>
      </c>
      <c r="AK439" s="20" t="s">
        <v>3882</v>
      </c>
      <c r="AL439" s="20" t="s">
        <v>97</v>
      </c>
      <c r="AM439" s="11"/>
      <c r="AN439" s="7" t="s">
        <v>5030</v>
      </c>
      <c r="AO439" s="149" t="s">
        <v>7312</v>
      </c>
      <c r="AP439" s="82" t="s">
        <v>5031</v>
      </c>
      <c r="AQ439" s="21" t="s">
        <v>3897</v>
      </c>
      <c r="AR439" s="20" t="s">
        <v>97</v>
      </c>
      <c r="AS439" s="20" t="s">
        <v>107</v>
      </c>
      <c r="AT439" s="20"/>
      <c r="AU439" s="68" t="s">
        <v>5032</v>
      </c>
      <c r="AV439" s="68"/>
      <c r="AW439" s="68"/>
      <c r="AX439" s="69" t="s">
        <v>5033</v>
      </c>
      <c r="AY439" s="68">
        <v>0</v>
      </c>
      <c r="AZ439" s="68" t="s">
        <v>5032</v>
      </c>
      <c r="BA439" s="68"/>
      <c r="BB439" s="68"/>
      <c r="BC439" s="69" t="s">
        <v>5033</v>
      </c>
      <c r="BD439" s="68">
        <v>0</v>
      </c>
      <c r="BE439" s="26">
        <v>0</v>
      </c>
      <c r="BF439" s="34">
        <f t="shared" si="87"/>
        <v>0</v>
      </c>
      <c r="BG439" s="34">
        <f t="shared" si="88"/>
        <v>0</v>
      </c>
      <c r="BH439" s="26">
        <v>0</v>
      </c>
      <c r="BI439" s="26">
        <v>0</v>
      </c>
      <c r="BJ439" s="27"/>
      <c r="BK439" s="19"/>
      <c r="BL439" s="27"/>
      <c r="BM439" s="27" t="s">
        <v>5034</v>
      </c>
      <c r="BN439" s="26"/>
      <c r="BO439" s="34"/>
      <c r="BP439" s="34"/>
      <c r="BQ439" s="34"/>
      <c r="BR439" s="34"/>
      <c r="BS439" s="34"/>
      <c r="BT439" s="34"/>
      <c r="BU439" s="34"/>
      <c r="BV439" s="34"/>
      <c r="BW439" s="34"/>
      <c r="BX439" s="34"/>
      <c r="BY439" s="34"/>
      <c r="BZ439" s="34"/>
      <c r="CA439" s="20"/>
      <c r="CB439" s="33"/>
      <c r="CC439" s="46">
        <v>46044</v>
      </c>
      <c r="CD439" s="11" t="s">
        <v>7313</v>
      </c>
    </row>
    <row r="440" spans="1:82" s="18" customFormat="1" ht="84" customHeight="1" x14ac:dyDescent="0.2">
      <c r="A440" s="87">
        <v>436</v>
      </c>
      <c r="B440" s="142" t="s">
        <v>5035</v>
      </c>
      <c r="C440" s="2" t="s">
        <v>5036</v>
      </c>
      <c r="D440" s="6" t="s">
        <v>5037</v>
      </c>
      <c r="E440" s="75" t="s">
        <v>113</v>
      </c>
      <c r="F440" s="12" t="s">
        <v>1628</v>
      </c>
      <c r="G440" s="7" t="s">
        <v>84</v>
      </c>
      <c r="H440" s="2" t="s">
        <v>114</v>
      </c>
      <c r="I440" s="2" t="s">
        <v>3863</v>
      </c>
      <c r="J440" s="2"/>
      <c r="K440" s="2"/>
      <c r="L440" s="2"/>
      <c r="M440" s="2" t="s">
        <v>88</v>
      </c>
      <c r="N440" s="2" t="s">
        <v>89</v>
      </c>
      <c r="O440" s="2" t="s">
        <v>246</v>
      </c>
      <c r="P440" s="2" t="s">
        <v>3889</v>
      </c>
      <c r="Q440" s="2"/>
      <c r="R440" s="11" t="s">
        <v>91</v>
      </c>
      <c r="S440" s="5" t="s">
        <v>92</v>
      </c>
      <c r="T440" s="7" t="s">
        <v>93</v>
      </c>
      <c r="U440" s="181">
        <v>100</v>
      </c>
      <c r="V440" s="7" t="s">
        <v>94</v>
      </c>
      <c r="W440" s="7" t="s">
        <v>97</v>
      </c>
      <c r="X440" s="7">
        <v>2025</v>
      </c>
      <c r="Y440" s="5" t="s">
        <v>117</v>
      </c>
      <c r="Z440" s="7" t="s">
        <v>97</v>
      </c>
      <c r="AA440" s="7" t="s">
        <v>98</v>
      </c>
      <c r="AB440" s="2" t="s">
        <v>99</v>
      </c>
      <c r="AC440" s="31" t="s">
        <v>5038</v>
      </c>
      <c r="AD440" s="31" t="s">
        <v>5039</v>
      </c>
      <c r="AE440" s="2" t="s">
        <v>7314</v>
      </c>
      <c r="AF440" s="2" t="s">
        <v>7315</v>
      </c>
      <c r="AG440" s="2" t="s">
        <v>1042</v>
      </c>
      <c r="AH440" s="2" t="s">
        <v>1042</v>
      </c>
      <c r="AI440" s="2" t="s">
        <v>5040</v>
      </c>
      <c r="AJ440" s="2" t="s">
        <v>3870</v>
      </c>
      <c r="AK440" s="20" t="s">
        <v>97</v>
      </c>
      <c r="AL440" s="20" t="s">
        <v>97</v>
      </c>
      <c r="AM440" s="82" t="s">
        <v>5041</v>
      </c>
      <c r="AN440" s="7" t="s">
        <v>5042</v>
      </c>
      <c r="AO440" s="149" t="s">
        <v>5043</v>
      </c>
      <c r="AP440" s="149" t="s">
        <v>5044</v>
      </c>
      <c r="AQ440" s="21" t="s">
        <v>4582</v>
      </c>
      <c r="AR440" s="20" t="s">
        <v>97</v>
      </c>
      <c r="AS440" s="20" t="s">
        <v>107</v>
      </c>
      <c r="AT440" s="20"/>
      <c r="AU440" s="69" t="s">
        <v>5045</v>
      </c>
      <c r="AV440" s="68"/>
      <c r="AW440" s="68"/>
      <c r="AX440" s="69" t="s">
        <v>5046</v>
      </c>
      <c r="AY440" s="68">
        <v>0</v>
      </c>
      <c r="AZ440" s="68" t="s">
        <v>5045</v>
      </c>
      <c r="BA440" s="68"/>
      <c r="BB440" s="68"/>
      <c r="BC440" s="69" t="s">
        <v>5046</v>
      </c>
      <c r="BD440" s="68">
        <v>0</v>
      </c>
      <c r="BE440" s="26">
        <v>0</v>
      </c>
      <c r="BF440" s="34">
        <f t="shared" si="87"/>
        <v>0</v>
      </c>
      <c r="BG440" s="34">
        <f t="shared" si="88"/>
        <v>0</v>
      </c>
      <c r="BH440" s="26">
        <v>0</v>
      </c>
      <c r="BI440" s="26">
        <v>0</v>
      </c>
      <c r="BJ440" s="27"/>
      <c r="BK440" s="19"/>
      <c r="BL440" s="27"/>
      <c r="BM440" s="27" t="s">
        <v>1176</v>
      </c>
      <c r="BN440" s="26"/>
      <c r="BO440" s="34"/>
      <c r="BP440" s="34"/>
      <c r="BQ440" s="34"/>
      <c r="BR440" s="34"/>
      <c r="BS440" s="34"/>
      <c r="BT440" s="34"/>
      <c r="BU440" s="34"/>
      <c r="BV440" s="34"/>
      <c r="BW440" s="34"/>
      <c r="BX440" s="34"/>
      <c r="BY440" s="34"/>
      <c r="BZ440" s="34"/>
      <c r="CA440" s="20"/>
      <c r="CB440" s="33"/>
      <c r="CC440" s="46">
        <v>46044</v>
      </c>
      <c r="CD440" s="36" t="s">
        <v>7316</v>
      </c>
    </row>
    <row r="441" spans="1:82" s="18" customFormat="1" ht="103.5" customHeight="1" x14ac:dyDescent="0.25">
      <c r="A441" s="87">
        <v>437</v>
      </c>
      <c r="B441" s="142" t="s">
        <v>5047</v>
      </c>
      <c r="C441" s="14" t="s">
        <v>7317</v>
      </c>
      <c r="D441" s="2" t="s">
        <v>5048</v>
      </c>
      <c r="E441" s="75" t="s">
        <v>113</v>
      </c>
      <c r="F441" s="12" t="s">
        <v>1628</v>
      </c>
      <c r="G441" s="7" t="s">
        <v>84</v>
      </c>
      <c r="H441" s="2" t="s">
        <v>775</v>
      </c>
      <c r="I441" s="2" t="s">
        <v>2247</v>
      </c>
      <c r="J441" s="2"/>
      <c r="K441" s="2"/>
      <c r="L441" s="2"/>
      <c r="M441" s="2" t="s">
        <v>136</v>
      </c>
      <c r="N441" s="2" t="s">
        <v>245</v>
      </c>
      <c r="O441" s="2" t="s">
        <v>246</v>
      </c>
      <c r="P441" s="2" t="s">
        <v>3684</v>
      </c>
      <c r="Q441" s="2"/>
      <c r="R441" s="11" t="s">
        <v>91</v>
      </c>
      <c r="S441" s="5" t="s">
        <v>92</v>
      </c>
      <c r="T441" s="11" t="s">
        <v>2587</v>
      </c>
      <c r="U441" s="181">
        <v>100000</v>
      </c>
      <c r="V441" s="7" t="s">
        <v>94</v>
      </c>
      <c r="W441" s="2" t="s">
        <v>95</v>
      </c>
      <c r="X441" s="7">
        <v>2025</v>
      </c>
      <c r="Y441" s="5" t="s">
        <v>117</v>
      </c>
      <c r="Z441" s="2" t="s">
        <v>97</v>
      </c>
      <c r="AA441" s="2" t="s">
        <v>98</v>
      </c>
      <c r="AB441" s="2" t="s">
        <v>99</v>
      </c>
      <c r="AC441" s="31" t="s">
        <v>5049</v>
      </c>
      <c r="AD441" s="31" t="s">
        <v>4118</v>
      </c>
      <c r="AE441" s="2" t="s">
        <v>7397</v>
      </c>
      <c r="AF441" s="11" t="s">
        <v>121</v>
      </c>
      <c r="AG441" s="19" t="s">
        <v>178</v>
      </c>
      <c r="AH441" s="15" t="s">
        <v>178</v>
      </c>
      <c r="AI441" s="11" t="s">
        <v>7318</v>
      </c>
      <c r="AJ441" s="11" t="s">
        <v>5050</v>
      </c>
      <c r="AK441" s="21" t="s">
        <v>97</v>
      </c>
      <c r="AL441" s="21" t="s">
        <v>97</v>
      </c>
      <c r="AM441" s="14" t="s">
        <v>5051</v>
      </c>
      <c r="AN441" s="2" t="s">
        <v>5052</v>
      </c>
      <c r="AO441" s="2"/>
      <c r="AP441" s="2"/>
      <c r="AQ441" s="15" t="s">
        <v>5053</v>
      </c>
      <c r="AR441" s="20" t="s">
        <v>97</v>
      </c>
      <c r="AS441" s="20" t="s">
        <v>107</v>
      </c>
      <c r="AT441" s="21"/>
      <c r="AU441" s="220" t="s">
        <v>7573</v>
      </c>
      <c r="AV441" s="50">
        <v>0</v>
      </c>
      <c r="AW441" s="50">
        <v>0</v>
      </c>
      <c r="AX441" s="50">
        <v>0</v>
      </c>
      <c r="AY441" s="50">
        <v>0</v>
      </c>
      <c r="AZ441" s="220" t="s">
        <v>7573</v>
      </c>
      <c r="BA441" s="50">
        <v>0</v>
      </c>
      <c r="BB441" s="50">
        <v>0</v>
      </c>
      <c r="BC441" s="50">
        <v>0</v>
      </c>
      <c r="BD441" s="50">
        <v>0</v>
      </c>
      <c r="BE441" s="26">
        <v>0</v>
      </c>
      <c r="BF441" s="34">
        <f t="shared" si="87"/>
        <v>0</v>
      </c>
      <c r="BG441" s="34">
        <f t="shared" si="88"/>
        <v>0</v>
      </c>
      <c r="BH441" s="26">
        <v>0</v>
      </c>
      <c r="BI441" s="26">
        <v>0</v>
      </c>
      <c r="BJ441" s="21" t="s">
        <v>5054</v>
      </c>
      <c r="BK441" s="21"/>
      <c r="BL441" s="27" t="e">
        <v>#N/A</v>
      </c>
      <c r="BM441" s="27" t="s">
        <v>5055</v>
      </c>
      <c r="BN441" s="26"/>
      <c r="BO441" s="34"/>
      <c r="BP441" s="34"/>
      <c r="BQ441" s="34"/>
      <c r="BR441" s="34"/>
      <c r="BS441" s="34"/>
      <c r="BT441" s="34"/>
      <c r="BU441" s="34"/>
      <c r="BV441" s="34"/>
      <c r="BW441" s="34"/>
      <c r="BX441" s="34"/>
      <c r="BY441" s="34"/>
      <c r="BZ441" s="34"/>
      <c r="CA441" s="20"/>
      <c r="CB441" s="33"/>
      <c r="CC441" s="46">
        <v>46044</v>
      </c>
      <c r="CD441" s="36" t="s">
        <v>7319</v>
      </c>
    </row>
    <row r="442" spans="1:82" s="18" customFormat="1" ht="157.5" customHeight="1" x14ac:dyDescent="0.25">
      <c r="A442" s="121">
        <v>438</v>
      </c>
      <c r="B442" s="142" t="s">
        <v>5056</v>
      </c>
      <c r="C442" s="2" t="s">
        <v>5057</v>
      </c>
      <c r="D442" s="2" t="s">
        <v>5058</v>
      </c>
      <c r="E442" s="75" t="s">
        <v>113</v>
      </c>
      <c r="F442" s="12" t="s">
        <v>1628</v>
      </c>
      <c r="G442" s="7" t="s">
        <v>84</v>
      </c>
      <c r="H442" s="2" t="s">
        <v>775</v>
      </c>
      <c r="I442" s="2" t="s">
        <v>2247</v>
      </c>
      <c r="J442" s="2"/>
      <c r="K442" s="2"/>
      <c r="L442" s="2"/>
      <c r="M442" s="2" t="s">
        <v>3924</v>
      </c>
      <c r="N442" s="2" t="s">
        <v>245</v>
      </c>
      <c r="O442" s="2" t="s">
        <v>246</v>
      </c>
      <c r="P442" s="2" t="s">
        <v>5059</v>
      </c>
      <c r="Q442" s="2"/>
      <c r="R442" s="11" t="s">
        <v>3684</v>
      </c>
      <c r="S442" s="5" t="s">
        <v>92</v>
      </c>
      <c r="T442" s="11" t="s">
        <v>3684</v>
      </c>
      <c r="U442" s="181">
        <v>100000</v>
      </c>
      <c r="V442" s="7" t="s">
        <v>94</v>
      </c>
      <c r="W442" s="2" t="s">
        <v>95</v>
      </c>
      <c r="X442" s="7">
        <v>2025</v>
      </c>
      <c r="Y442" s="5" t="s">
        <v>117</v>
      </c>
      <c r="Z442" s="2" t="s">
        <v>97</v>
      </c>
      <c r="AA442" s="2" t="s">
        <v>98</v>
      </c>
      <c r="AB442" s="2" t="s">
        <v>99</v>
      </c>
      <c r="AC442" s="31" t="s">
        <v>7462</v>
      </c>
      <c r="AD442" s="31" t="s">
        <v>4118</v>
      </c>
      <c r="AE442" s="2" t="s">
        <v>7206</v>
      </c>
      <c r="AF442" s="11" t="s">
        <v>121</v>
      </c>
      <c r="AG442" s="19" t="s">
        <v>178</v>
      </c>
      <c r="AH442" s="15" t="s">
        <v>178</v>
      </c>
      <c r="AI442" s="11" t="s">
        <v>7418</v>
      </c>
      <c r="AJ442" s="11" t="s">
        <v>5060</v>
      </c>
      <c r="AK442" s="21" t="s">
        <v>97</v>
      </c>
      <c r="AL442" s="21" t="s">
        <v>97</v>
      </c>
      <c r="AM442" s="14" t="s">
        <v>5051</v>
      </c>
      <c r="AN442" s="2" t="s">
        <v>4451</v>
      </c>
      <c r="AO442" s="2" t="s">
        <v>4122</v>
      </c>
      <c r="AP442" s="2"/>
      <c r="AQ442" s="11" t="s">
        <v>4442</v>
      </c>
      <c r="AR442" s="20" t="s">
        <v>97</v>
      </c>
      <c r="AS442" s="20" t="s">
        <v>107</v>
      </c>
      <c r="AT442" s="21"/>
      <c r="AU442" s="220" t="s">
        <v>7572</v>
      </c>
      <c r="AV442" s="50">
        <v>0</v>
      </c>
      <c r="AW442" s="50">
        <v>0</v>
      </c>
      <c r="AX442" s="50">
        <v>0</v>
      </c>
      <c r="AY442" s="50">
        <v>0</v>
      </c>
      <c r="AZ442" s="220" t="s">
        <v>7572</v>
      </c>
      <c r="BA442" s="50">
        <v>0</v>
      </c>
      <c r="BB442" s="50">
        <v>0</v>
      </c>
      <c r="BC442" s="50">
        <v>0</v>
      </c>
      <c r="BD442" s="50">
        <v>0</v>
      </c>
      <c r="BE442" s="26">
        <v>0</v>
      </c>
      <c r="BF442" s="34">
        <f t="shared" si="87"/>
        <v>0</v>
      </c>
      <c r="BG442" s="34">
        <f t="shared" si="88"/>
        <v>0</v>
      </c>
      <c r="BH442" s="26">
        <v>0</v>
      </c>
      <c r="BI442" s="26">
        <v>0</v>
      </c>
      <c r="BJ442" s="21" t="s">
        <v>3051</v>
      </c>
      <c r="BK442" s="21"/>
      <c r="BL442" s="27" t="e">
        <v>#N/A</v>
      </c>
      <c r="BM442" s="27" t="s">
        <v>3051</v>
      </c>
      <c r="BN442" s="26"/>
      <c r="BO442" s="34"/>
      <c r="BP442" s="34"/>
      <c r="BQ442" s="34"/>
      <c r="BR442" s="34"/>
      <c r="BS442" s="34"/>
      <c r="BT442" s="34"/>
      <c r="BU442" s="34"/>
      <c r="BV442" s="34"/>
      <c r="BW442" s="34"/>
      <c r="BX442" s="34"/>
      <c r="BY442" s="34"/>
      <c r="BZ442" s="34"/>
      <c r="CA442" s="20"/>
      <c r="CB442" s="33"/>
      <c r="CC442" s="46">
        <v>46044</v>
      </c>
      <c r="CD442" s="11" t="s">
        <v>7320</v>
      </c>
    </row>
    <row r="443" spans="1:82" s="18" customFormat="1" ht="66.75" customHeight="1" x14ac:dyDescent="0.25">
      <c r="A443" s="87">
        <v>439</v>
      </c>
      <c r="B443" s="141" t="s">
        <v>5061</v>
      </c>
      <c r="C443" s="6" t="s">
        <v>5062</v>
      </c>
      <c r="D443" s="6" t="s">
        <v>5063</v>
      </c>
      <c r="E443" s="75" t="s">
        <v>113</v>
      </c>
      <c r="F443" s="4" t="s">
        <v>3560</v>
      </c>
      <c r="G443" s="5" t="s">
        <v>84</v>
      </c>
      <c r="H443" s="6" t="s">
        <v>775</v>
      </c>
      <c r="I443" s="6" t="s">
        <v>3561</v>
      </c>
      <c r="J443" s="6"/>
      <c r="K443" s="6"/>
      <c r="L443" s="6"/>
      <c r="M443" s="6" t="s">
        <v>88</v>
      </c>
      <c r="N443" s="6" t="s">
        <v>89</v>
      </c>
      <c r="O443" s="6" t="s">
        <v>3562</v>
      </c>
      <c r="P443" s="6" t="s">
        <v>5064</v>
      </c>
      <c r="Q443" s="6"/>
      <c r="R443" s="82" t="s">
        <v>91</v>
      </c>
      <c r="S443" s="5" t="s">
        <v>92</v>
      </c>
      <c r="T443" s="5" t="s">
        <v>93</v>
      </c>
      <c r="U443" s="91">
        <v>100</v>
      </c>
      <c r="V443" s="5" t="s">
        <v>94</v>
      </c>
      <c r="W443" s="5" t="s">
        <v>95</v>
      </c>
      <c r="X443" s="5">
        <v>2023</v>
      </c>
      <c r="Y443" s="5" t="s">
        <v>117</v>
      </c>
      <c r="Z443" s="5" t="s">
        <v>95</v>
      </c>
      <c r="AA443" s="5" t="s">
        <v>98</v>
      </c>
      <c r="AB443" s="6" t="s">
        <v>99</v>
      </c>
      <c r="AC443" s="79" t="s">
        <v>5065</v>
      </c>
      <c r="AD443" s="79" t="s">
        <v>5066</v>
      </c>
      <c r="AE443" s="49" t="s">
        <v>5067</v>
      </c>
      <c r="AF443" s="6" t="s">
        <v>5068</v>
      </c>
      <c r="AG443" s="6"/>
      <c r="AH443" s="6" t="s">
        <v>5069</v>
      </c>
      <c r="AI443" s="49" t="s">
        <v>3147</v>
      </c>
      <c r="AJ443" s="49" t="s">
        <v>5070</v>
      </c>
      <c r="AK443" s="33" t="s">
        <v>97</v>
      </c>
      <c r="AL443" s="33" t="s">
        <v>97</v>
      </c>
      <c r="AM443" s="5"/>
      <c r="AN443" s="5"/>
      <c r="AO443" s="5"/>
      <c r="AP443" s="5"/>
      <c r="AQ443" s="49"/>
      <c r="AR443" s="20" t="s">
        <v>97</v>
      </c>
      <c r="AS443" s="20" t="s">
        <v>107</v>
      </c>
      <c r="AT443" s="20"/>
      <c r="AU443" s="24">
        <v>0.9</v>
      </c>
      <c r="AV443" s="24">
        <f t="shared" ref="AV443:AV474" si="90">+AU443*80%</f>
        <v>0.72000000000000008</v>
      </c>
      <c r="AW443" s="24">
        <f t="shared" ref="AW443:AW474" si="91">+AU443*60%</f>
        <v>0.54</v>
      </c>
      <c r="AX443" s="25">
        <v>1E-4</v>
      </c>
      <c r="AY443" s="24">
        <v>0</v>
      </c>
      <c r="AZ443" s="24">
        <f t="shared" ref="AZ443:AZ474" si="92">+AU443*90%</f>
        <v>0.81</v>
      </c>
      <c r="BA443" s="24">
        <f t="shared" ref="BA443:BA474" si="93">AZ443*80%</f>
        <v>0.64800000000000013</v>
      </c>
      <c r="BB443" s="24">
        <f t="shared" ref="BB443:BB474" si="94">AZ443*60%</f>
        <v>0.48599999999999999</v>
      </c>
      <c r="BC443" s="25">
        <v>1E-4</v>
      </c>
      <c r="BD443" s="24">
        <v>0</v>
      </c>
      <c r="BE443" s="26">
        <v>0</v>
      </c>
      <c r="BF443" s="34">
        <f t="shared" si="87"/>
        <v>0</v>
      </c>
      <c r="BG443" s="34">
        <f t="shared" si="88"/>
        <v>0</v>
      </c>
      <c r="BH443" s="26">
        <v>0</v>
      </c>
      <c r="BI443" s="26">
        <v>0</v>
      </c>
      <c r="BJ443" s="20" t="s">
        <v>496</v>
      </c>
      <c r="BK443" s="27">
        <v>0.90185544357443892</v>
      </c>
      <c r="BL443" s="27" t="s">
        <v>5071</v>
      </c>
      <c r="BM443" s="27" t="s">
        <v>5072</v>
      </c>
      <c r="BN443" s="26"/>
      <c r="BO443" s="34"/>
      <c r="BP443" s="34"/>
      <c r="BQ443" s="34"/>
      <c r="BR443" s="34"/>
      <c r="BS443" s="34"/>
      <c r="BT443" s="34"/>
      <c r="BU443" s="34"/>
      <c r="BV443" s="34"/>
      <c r="BW443" s="34"/>
      <c r="BX443" s="34"/>
      <c r="BY443" s="34"/>
      <c r="BZ443" s="34"/>
      <c r="CA443" s="20"/>
      <c r="CB443" s="20"/>
      <c r="CC443" s="29">
        <v>46003</v>
      </c>
      <c r="CD443" s="2" t="s">
        <v>5073</v>
      </c>
    </row>
    <row r="444" spans="1:82" s="18" customFormat="1" ht="66.75" customHeight="1" x14ac:dyDescent="0.25">
      <c r="A444" s="87">
        <v>440</v>
      </c>
      <c r="B444" s="141" t="s">
        <v>5074</v>
      </c>
      <c r="C444" s="6" t="s">
        <v>5075</v>
      </c>
      <c r="D444" s="6" t="s">
        <v>5076</v>
      </c>
      <c r="E444" s="75" t="s">
        <v>113</v>
      </c>
      <c r="F444" s="4" t="s">
        <v>3560</v>
      </c>
      <c r="G444" s="5" t="s">
        <v>84</v>
      </c>
      <c r="H444" s="6" t="s">
        <v>114</v>
      </c>
      <c r="I444" s="6" t="s">
        <v>3561</v>
      </c>
      <c r="J444" s="6"/>
      <c r="K444" s="6"/>
      <c r="L444" s="6"/>
      <c r="M444" s="6" t="s">
        <v>88</v>
      </c>
      <c r="N444" s="6" t="s">
        <v>89</v>
      </c>
      <c r="O444" s="6" t="s">
        <v>3562</v>
      </c>
      <c r="P444" s="6" t="s">
        <v>5064</v>
      </c>
      <c r="Q444" s="6"/>
      <c r="R444" s="82" t="s">
        <v>91</v>
      </c>
      <c r="S444" s="5" t="s">
        <v>92</v>
      </c>
      <c r="T444" s="5" t="s">
        <v>93</v>
      </c>
      <c r="U444" s="91">
        <v>100</v>
      </c>
      <c r="V444" s="5" t="s">
        <v>94</v>
      </c>
      <c r="W444" s="5" t="s">
        <v>95</v>
      </c>
      <c r="X444" s="5">
        <v>2023</v>
      </c>
      <c r="Y444" s="5" t="s">
        <v>117</v>
      </c>
      <c r="Z444" s="5" t="s">
        <v>185</v>
      </c>
      <c r="AA444" s="5" t="s">
        <v>98</v>
      </c>
      <c r="AB444" s="6" t="s">
        <v>99</v>
      </c>
      <c r="AC444" s="79" t="s">
        <v>5077</v>
      </c>
      <c r="AD444" s="79" t="s">
        <v>5078</v>
      </c>
      <c r="AE444" s="49" t="s">
        <v>5079</v>
      </c>
      <c r="AF444" s="6" t="s">
        <v>5068</v>
      </c>
      <c r="AG444" s="6"/>
      <c r="AH444" s="6" t="s">
        <v>5069</v>
      </c>
      <c r="AI444" s="49" t="s">
        <v>3147</v>
      </c>
      <c r="AJ444" s="49" t="s">
        <v>5080</v>
      </c>
      <c r="AK444" s="33" t="s">
        <v>97</v>
      </c>
      <c r="AL444" s="33"/>
      <c r="AM444" s="5"/>
      <c r="AN444" s="5"/>
      <c r="AO444" s="5"/>
      <c r="AP444" s="5"/>
      <c r="AQ444" s="49"/>
      <c r="AR444" s="20" t="s">
        <v>97</v>
      </c>
      <c r="AS444" s="20" t="s">
        <v>107</v>
      </c>
      <c r="AT444" s="20"/>
      <c r="AU444" s="24">
        <v>0.6</v>
      </c>
      <c r="AV444" s="24">
        <f t="shared" si="90"/>
        <v>0.48</v>
      </c>
      <c r="AW444" s="24">
        <f t="shared" si="91"/>
        <v>0.36</v>
      </c>
      <c r="AX444" s="25">
        <v>1E-4</v>
      </c>
      <c r="AY444" s="24">
        <v>0</v>
      </c>
      <c r="AZ444" s="24">
        <f t="shared" si="92"/>
        <v>0.54</v>
      </c>
      <c r="BA444" s="24">
        <f t="shared" si="93"/>
        <v>0.43200000000000005</v>
      </c>
      <c r="BB444" s="24">
        <f t="shared" si="94"/>
        <v>0.32400000000000001</v>
      </c>
      <c r="BC444" s="25">
        <v>1E-4</v>
      </c>
      <c r="BD444" s="24">
        <v>0</v>
      </c>
      <c r="BE444" s="26">
        <v>0</v>
      </c>
      <c r="BF444" s="34">
        <f t="shared" si="87"/>
        <v>0</v>
      </c>
      <c r="BG444" s="34">
        <f t="shared" si="88"/>
        <v>0</v>
      </c>
      <c r="BH444" s="26">
        <v>0</v>
      </c>
      <c r="BI444" s="26">
        <v>0</v>
      </c>
      <c r="BJ444" s="20" t="s">
        <v>496</v>
      </c>
      <c r="BK444" s="27">
        <v>0.56896216321369519</v>
      </c>
      <c r="BL444" s="27" t="s">
        <v>5081</v>
      </c>
      <c r="BM444" s="27" t="s">
        <v>5082</v>
      </c>
      <c r="BN444" s="26"/>
      <c r="BO444" s="34"/>
      <c r="BP444" s="34"/>
      <c r="BQ444" s="34"/>
      <c r="BR444" s="34"/>
      <c r="BS444" s="34"/>
      <c r="BT444" s="34"/>
      <c r="BU444" s="34"/>
      <c r="BV444" s="34"/>
      <c r="BW444" s="34"/>
      <c r="BX444" s="34"/>
      <c r="BY444" s="34"/>
      <c r="BZ444" s="34"/>
      <c r="CA444" s="20"/>
      <c r="CB444" s="20"/>
      <c r="CC444" s="46">
        <v>46006</v>
      </c>
      <c r="CD444" s="42" t="s">
        <v>7356</v>
      </c>
    </row>
    <row r="445" spans="1:82" s="18" customFormat="1" ht="66.75" customHeight="1" x14ac:dyDescent="0.25">
      <c r="A445" s="121">
        <v>441</v>
      </c>
      <c r="B445" s="141" t="s">
        <v>5083</v>
      </c>
      <c r="C445" s="6" t="s">
        <v>5084</v>
      </c>
      <c r="D445" s="79" t="s">
        <v>5085</v>
      </c>
      <c r="E445" s="75" t="s">
        <v>113</v>
      </c>
      <c r="F445" s="4" t="s">
        <v>3560</v>
      </c>
      <c r="G445" s="5" t="s">
        <v>84</v>
      </c>
      <c r="H445" s="6" t="s">
        <v>775</v>
      </c>
      <c r="I445" s="6" t="s">
        <v>3561</v>
      </c>
      <c r="J445" s="6"/>
      <c r="K445" s="6"/>
      <c r="L445" s="6"/>
      <c r="M445" s="6" t="s">
        <v>88</v>
      </c>
      <c r="N445" s="6" t="s">
        <v>89</v>
      </c>
      <c r="O445" s="6" t="s">
        <v>3562</v>
      </c>
      <c r="P445" s="6" t="s">
        <v>5064</v>
      </c>
      <c r="Q445" s="6"/>
      <c r="R445" s="82" t="s">
        <v>91</v>
      </c>
      <c r="S445" s="5" t="s">
        <v>92</v>
      </c>
      <c r="T445" s="5" t="s">
        <v>93</v>
      </c>
      <c r="U445" s="91">
        <v>100</v>
      </c>
      <c r="V445" s="5" t="s">
        <v>94</v>
      </c>
      <c r="W445" s="5" t="s">
        <v>95</v>
      </c>
      <c r="X445" s="5">
        <v>2023</v>
      </c>
      <c r="Y445" s="5" t="s">
        <v>117</v>
      </c>
      <c r="Z445" s="5" t="s">
        <v>95</v>
      </c>
      <c r="AA445" s="5" t="s">
        <v>98</v>
      </c>
      <c r="AB445" s="6" t="s">
        <v>99</v>
      </c>
      <c r="AC445" s="79" t="s">
        <v>5086</v>
      </c>
      <c r="AD445" s="79" t="s">
        <v>5087</v>
      </c>
      <c r="AE445" s="49" t="s">
        <v>5088</v>
      </c>
      <c r="AF445" s="6" t="s">
        <v>5068</v>
      </c>
      <c r="AG445" s="6"/>
      <c r="AH445" s="6" t="s">
        <v>5069</v>
      </c>
      <c r="AI445" s="49" t="s">
        <v>3147</v>
      </c>
      <c r="AJ445" s="49" t="s">
        <v>5089</v>
      </c>
      <c r="AK445" s="33" t="s">
        <v>97</v>
      </c>
      <c r="AL445" s="33" t="s">
        <v>97</v>
      </c>
      <c r="AM445" s="5"/>
      <c r="AN445" s="5"/>
      <c r="AO445" s="5"/>
      <c r="AP445" s="5"/>
      <c r="AQ445" s="49"/>
      <c r="AR445" s="20" t="s">
        <v>97</v>
      </c>
      <c r="AS445" s="20" t="s">
        <v>107</v>
      </c>
      <c r="AT445" s="20"/>
      <c r="AU445" s="24">
        <v>0.6</v>
      </c>
      <c r="AV445" s="24">
        <f t="shared" si="90"/>
        <v>0.48</v>
      </c>
      <c r="AW445" s="24">
        <f t="shared" si="91"/>
        <v>0.36</v>
      </c>
      <c r="AX445" s="25">
        <v>1E-4</v>
      </c>
      <c r="AY445" s="24">
        <v>0</v>
      </c>
      <c r="AZ445" s="24">
        <f t="shared" si="92"/>
        <v>0.54</v>
      </c>
      <c r="BA445" s="24">
        <f t="shared" si="93"/>
        <v>0.43200000000000005</v>
      </c>
      <c r="BB445" s="24">
        <f t="shared" si="94"/>
        <v>0.32400000000000001</v>
      </c>
      <c r="BC445" s="25">
        <v>1E-4</v>
      </c>
      <c r="BD445" s="24">
        <v>0</v>
      </c>
      <c r="BE445" s="26">
        <v>0</v>
      </c>
      <c r="BF445" s="34">
        <f t="shared" si="87"/>
        <v>0</v>
      </c>
      <c r="BG445" s="34">
        <f t="shared" si="88"/>
        <v>0</v>
      </c>
      <c r="BH445" s="26">
        <v>0</v>
      </c>
      <c r="BI445" s="26">
        <v>0</v>
      </c>
      <c r="BJ445" s="27">
        <v>1.0189999999999999</v>
      </c>
      <c r="BK445" s="27">
        <v>0.35859759894930909</v>
      </c>
      <c r="BL445" s="27" t="s">
        <v>5090</v>
      </c>
      <c r="BM445" s="27" t="s">
        <v>5091</v>
      </c>
      <c r="BN445" s="26"/>
      <c r="BO445" s="34"/>
      <c r="BP445" s="34"/>
      <c r="BQ445" s="34"/>
      <c r="BR445" s="34"/>
      <c r="BS445" s="34"/>
      <c r="BT445" s="34"/>
      <c r="BU445" s="34"/>
      <c r="BV445" s="34"/>
      <c r="BW445" s="34"/>
      <c r="BX445" s="34"/>
      <c r="BY445" s="34"/>
      <c r="BZ445" s="34"/>
      <c r="CA445" s="20"/>
      <c r="CB445" s="20"/>
      <c r="CC445" s="46">
        <v>46003</v>
      </c>
      <c r="CD445" s="2" t="s">
        <v>5092</v>
      </c>
    </row>
    <row r="446" spans="1:82" s="18" customFormat="1" ht="66.75" customHeight="1" x14ac:dyDescent="0.25">
      <c r="A446" s="87">
        <v>442</v>
      </c>
      <c r="B446" s="141" t="s">
        <v>5093</v>
      </c>
      <c r="C446" s="6" t="s">
        <v>5094</v>
      </c>
      <c r="D446" s="6" t="s">
        <v>5095</v>
      </c>
      <c r="E446" s="75" t="s">
        <v>113</v>
      </c>
      <c r="F446" s="4" t="s">
        <v>3560</v>
      </c>
      <c r="G446" s="5" t="s">
        <v>84</v>
      </c>
      <c r="H446" s="6" t="s">
        <v>775</v>
      </c>
      <c r="I446" s="6" t="s">
        <v>3561</v>
      </c>
      <c r="J446" s="6"/>
      <c r="K446" s="6"/>
      <c r="L446" s="6"/>
      <c r="M446" s="6" t="s">
        <v>88</v>
      </c>
      <c r="N446" s="6" t="s">
        <v>89</v>
      </c>
      <c r="O446" s="6" t="s">
        <v>3562</v>
      </c>
      <c r="P446" s="6" t="s">
        <v>5064</v>
      </c>
      <c r="Q446" s="6"/>
      <c r="R446" s="82" t="s">
        <v>91</v>
      </c>
      <c r="S446" s="5" t="s">
        <v>92</v>
      </c>
      <c r="T446" s="5" t="s">
        <v>93</v>
      </c>
      <c r="U446" s="91">
        <v>100</v>
      </c>
      <c r="V446" s="5" t="s">
        <v>94</v>
      </c>
      <c r="W446" s="5" t="s">
        <v>95</v>
      </c>
      <c r="X446" s="5">
        <v>2023</v>
      </c>
      <c r="Y446" s="5" t="s">
        <v>117</v>
      </c>
      <c r="Z446" s="5" t="s">
        <v>95</v>
      </c>
      <c r="AA446" s="5" t="s">
        <v>98</v>
      </c>
      <c r="AB446" s="6" t="s">
        <v>99</v>
      </c>
      <c r="AC446" s="79" t="s">
        <v>5096</v>
      </c>
      <c r="AD446" s="79" t="s">
        <v>5097</v>
      </c>
      <c r="AE446" s="49" t="s">
        <v>5098</v>
      </c>
      <c r="AF446" s="6" t="s">
        <v>5068</v>
      </c>
      <c r="AG446" s="6"/>
      <c r="AH446" s="6" t="s">
        <v>5069</v>
      </c>
      <c r="AI446" s="6" t="s">
        <v>5099</v>
      </c>
      <c r="AJ446" s="49" t="s">
        <v>5100</v>
      </c>
      <c r="AK446" s="33" t="s">
        <v>97</v>
      </c>
      <c r="AL446" s="33" t="s">
        <v>97</v>
      </c>
      <c r="AM446" s="5"/>
      <c r="AN446" s="5"/>
      <c r="AO446" s="5"/>
      <c r="AP446" s="5"/>
      <c r="AQ446" s="49"/>
      <c r="AR446" s="20" t="s">
        <v>97</v>
      </c>
      <c r="AS446" s="20" t="s">
        <v>107</v>
      </c>
      <c r="AT446" s="20"/>
      <c r="AU446" s="24">
        <v>0.5</v>
      </c>
      <c r="AV446" s="24">
        <f t="shared" si="90"/>
        <v>0.4</v>
      </c>
      <c r="AW446" s="24">
        <f t="shared" si="91"/>
        <v>0.3</v>
      </c>
      <c r="AX446" s="25">
        <v>1E-4</v>
      </c>
      <c r="AY446" s="24">
        <v>0</v>
      </c>
      <c r="AZ446" s="24">
        <f t="shared" si="92"/>
        <v>0.45</v>
      </c>
      <c r="BA446" s="24">
        <f t="shared" si="93"/>
        <v>0.36000000000000004</v>
      </c>
      <c r="BB446" s="24">
        <f t="shared" si="94"/>
        <v>0.27</v>
      </c>
      <c r="BC446" s="25">
        <v>1E-4</v>
      </c>
      <c r="BD446" s="24">
        <v>0</v>
      </c>
      <c r="BE446" s="26">
        <v>0</v>
      </c>
      <c r="BF446" s="34">
        <f t="shared" si="87"/>
        <v>0</v>
      </c>
      <c r="BG446" s="34">
        <f t="shared" si="88"/>
        <v>0</v>
      </c>
      <c r="BH446" s="26">
        <v>0</v>
      </c>
      <c r="BI446" s="26">
        <v>0</v>
      </c>
      <c r="BJ446" s="27">
        <v>0.47499999999999998</v>
      </c>
      <c r="BK446" s="27">
        <v>0.30351102947195402</v>
      </c>
      <c r="BL446" s="27" t="s">
        <v>5101</v>
      </c>
      <c r="BM446" s="27" t="s">
        <v>5102</v>
      </c>
      <c r="BN446" s="26"/>
      <c r="BO446" s="34"/>
      <c r="BP446" s="34"/>
      <c r="BQ446" s="34"/>
      <c r="BR446" s="34"/>
      <c r="BS446" s="34"/>
      <c r="BT446" s="34"/>
      <c r="BU446" s="34"/>
      <c r="BV446" s="34"/>
      <c r="BW446" s="34"/>
      <c r="BX446" s="34"/>
      <c r="BY446" s="34"/>
      <c r="BZ446" s="34"/>
      <c r="CA446" s="20"/>
      <c r="CB446" s="20"/>
      <c r="CC446" s="46">
        <v>46003</v>
      </c>
      <c r="CD446" s="2" t="s">
        <v>5092</v>
      </c>
    </row>
    <row r="447" spans="1:82" s="18" customFormat="1" ht="66.75" customHeight="1" x14ac:dyDescent="0.25">
      <c r="A447" s="87">
        <v>443</v>
      </c>
      <c r="B447" s="141" t="s">
        <v>5103</v>
      </c>
      <c r="C447" s="6" t="s">
        <v>5104</v>
      </c>
      <c r="D447" s="79" t="s">
        <v>5105</v>
      </c>
      <c r="E447" s="79" t="s">
        <v>174</v>
      </c>
      <c r="F447" s="4" t="s">
        <v>3560</v>
      </c>
      <c r="G447" s="5" t="s">
        <v>84</v>
      </c>
      <c r="H447" s="6" t="s">
        <v>775</v>
      </c>
      <c r="I447" s="6" t="s">
        <v>3561</v>
      </c>
      <c r="J447" s="6"/>
      <c r="K447" s="6"/>
      <c r="L447" s="6"/>
      <c r="M447" s="6" t="s">
        <v>88</v>
      </c>
      <c r="N447" s="6" t="s">
        <v>89</v>
      </c>
      <c r="O447" s="6" t="s">
        <v>3562</v>
      </c>
      <c r="P447" s="6" t="s">
        <v>5064</v>
      </c>
      <c r="Q447" s="6"/>
      <c r="R447" s="82" t="s">
        <v>91</v>
      </c>
      <c r="S447" s="5" t="s">
        <v>92</v>
      </c>
      <c r="T447" s="5" t="s">
        <v>93</v>
      </c>
      <c r="U447" s="91">
        <v>100</v>
      </c>
      <c r="V447" s="5" t="s">
        <v>94</v>
      </c>
      <c r="W447" s="5" t="s">
        <v>95</v>
      </c>
      <c r="X447" s="5">
        <v>2023</v>
      </c>
      <c r="Y447" s="5" t="s">
        <v>117</v>
      </c>
      <c r="Z447" s="5" t="s">
        <v>95</v>
      </c>
      <c r="AA447" s="5" t="s">
        <v>98</v>
      </c>
      <c r="AB447" s="6" t="s">
        <v>99</v>
      </c>
      <c r="AC447" s="79" t="s">
        <v>5106</v>
      </c>
      <c r="AD447" s="79" t="s">
        <v>5107</v>
      </c>
      <c r="AE447" s="49" t="s">
        <v>5108</v>
      </c>
      <c r="AF447" s="6" t="s">
        <v>5068</v>
      </c>
      <c r="AG447" s="6"/>
      <c r="AH447" s="6" t="s">
        <v>5069</v>
      </c>
      <c r="AI447" s="49" t="s">
        <v>3147</v>
      </c>
      <c r="AJ447" s="49" t="s">
        <v>5109</v>
      </c>
      <c r="AK447" s="33" t="s">
        <v>97</v>
      </c>
      <c r="AL447" s="33" t="s">
        <v>97</v>
      </c>
      <c r="AM447" s="5"/>
      <c r="AN447" s="5"/>
      <c r="AO447" s="5"/>
      <c r="AP447" s="5"/>
      <c r="AQ447" s="49"/>
      <c r="AR447" s="20" t="s">
        <v>97</v>
      </c>
      <c r="AS447" s="20" t="s">
        <v>107</v>
      </c>
      <c r="AT447" s="20"/>
      <c r="AU447" s="24">
        <v>0.8</v>
      </c>
      <c r="AV447" s="24">
        <f t="shared" si="90"/>
        <v>0.64000000000000012</v>
      </c>
      <c r="AW447" s="24">
        <f t="shared" si="91"/>
        <v>0.48</v>
      </c>
      <c r="AX447" s="25">
        <v>1E-4</v>
      </c>
      <c r="AY447" s="24">
        <v>0</v>
      </c>
      <c r="AZ447" s="24">
        <f t="shared" si="92"/>
        <v>0.72000000000000008</v>
      </c>
      <c r="BA447" s="24">
        <f t="shared" si="93"/>
        <v>0.57600000000000007</v>
      </c>
      <c r="BB447" s="24">
        <f t="shared" si="94"/>
        <v>0.43200000000000005</v>
      </c>
      <c r="BC447" s="25">
        <v>1E-4</v>
      </c>
      <c r="BD447" s="24">
        <v>0</v>
      </c>
      <c r="BE447" s="26">
        <v>5</v>
      </c>
      <c r="BF447" s="34">
        <f t="shared" si="87"/>
        <v>4</v>
      </c>
      <c r="BG447" s="34">
        <f t="shared" si="88"/>
        <v>3</v>
      </c>
      <c r="BH447" s="26">
        <v>1</v>
      </c>
      <c r="BI447" s="26">
        <v>0</v>
      </c>
      <c r="BJ447" s="27">
        <v>0.48699999999999999</v>
      </c>
      <c r="BK447" s="27">
        <v>0.9789194077088279</v>
      </c>
      <c r="BL447" s="27" t="s">
        <v>5110</v>
      </c>
      <c r="BM447" s="27" t="s">
        <v>5111</v>
      </c>
      <c r="BN447" s="26"/>
      <c r="BO447" s="34"/>
      <c r="BP447" s="34"/>
      <c r="BQ447" s="34"/>
      <c r="BR447" s="34"/>
      <c r="BS447" s="34"/>
      <c r="BT447" s="34"/>
      <c r="BU447" s="34"/>
      <c r="BV447" s="34"/>
      <c r="BW447" s="34"/>
      <c r="BX447" s="34"/>
      <c r="BY447" s="34"/>
      <c r="BZ447" s="34"/>
      <c r="CA447" s="20"/>
      <c r="CB447" s="20"/>
      <c r="CC447" s="29">
        <v>46045</v>
      </c>
      <c r="CD447" s="42" t="s">
        <v>7336</v>
      </c>
    </row>
    <row r="448" spans="1:82" s="18" customFormat="1" ht="66.75" customHeight="1" x14ac:dyDescent="0.25">
      <c r="A448" s="121">
        <v>444</v>
      </c>
      <c r="B448" s="141" t="s">
        <v>5112</v>
      </c>
      <c r="C448" s="6" t="s">
        <v>5113</v>
      </c>
      <c r="D448" s="6" t="s">
        <v>5114</v>
      </c>
      <c r="E448" s="75" t="s">
        <v>113</v>
      </c>
      <c r="F448" s="4" t="s">
        <v>3560</v>
      </c>
      <c r="G448" s="5" t="s">
        <v>84</v>
      </c>
      <c r="H448" s="6" t="s">
        <v>775</v>
      </c>
      <c r="I448" s="6" t="s">
        <v>3561</v>
      </c>
      <c r="J448" s="6"/>
      <c r="K448" s="6"/>
      <c r="L448" s="6"/>
      <c r="M448" s="6" t="s">
        <v>88</v>
      </c>
      <c r="N448" s="6" t="s">
        <v>89</v>
      </c>
      <c r="O448" s="6" t="s">
        <v>3562</v>
      </c>
      <c r="P448" s="6" t="s">
        <v>5064</v>
      </c>
      <c r="Q448" s="6"/>
      <c r="R448" s="82" t="s">
        <v>175</v>
      </c>
      <c r="S448" s="5" t="s">
        <v>92</v>
      </c>
      <c r="T448" s="5" t="s">
        <v>93</v>
      </c>
      <c r="U448" s="91">
        <v>100</v>
      </c>
      <c r="V448" s="5" t="s">
        <v>94</v>
      </c>
      <c r="W448" s="5" t="s">
        <v>95</v>
      </c>
      <c r="X448" s="5">
        <v>2023</v>
      </c>
      <c r="Y448" s="5" t="s">
        <v>117</v>
      </c>
      <c r="Z448" s="5" t="s">
        <v>95</v>
      </c>
      <c r="AA448" s="5" t="s">
        <v>98</v>
      </c>
      <c r="AB448" s="6" t="s">
        <v>99</v>
      </c>
      <c r="AC448" s="79" t="s">
        <v>5115</v>
      </c>
      <c r="AD448" s="79" t="s">
        <v>5116</v>
      </c>
      <c r="AE448" s="49" t="s">
        <v>5068</v>
      </c>
      <c r="AF448" s="6" t="s">
        <v>5117</v>
      </c>
      <c r="AG448" s="6" t="s">
        <v>178</v>
      </c>
      <c r="AH448" s="49" t="s">
        <v>178</v>
      </c>
      <c r="AI448" s="49" t="s">
        <v>3147</v>
      </c>
      <c r="AJ448" s="49" t="s">
        <v>5118</v>
      </c>
      <c r="AK448" s="33" t="s">
        <v>97</v>
      </c>
      <c r="AL448" s="33" t="s">
        <v>97</v>
      </c>
      <c r="AM448" s="5"/>
      <c r="AN448" s="5"/>
      <c r="AO448" s="5"/>
      <c r="AP448" s="5"/>
      <c r="AQ448" s="49"/>
      <c r="AR448" s="20" t="s">
        <v>97</v>
      </c>
      <c r="AS448" s="20" t="s">
        <v>107</v>
      </c>
      <c r="AT448" s="20"/>
      <c r="AU448" s="24">
        <v>0.5</v>
      </c>
      <c r="AV448" s="24">
        <f t="shared" si="90"/>
        <v>0.4</v>
      </c>
      <c r="AW448" s="24">
        <f t="shared" si="91"/>
        <v>0.3</v>
      </c>
      <c r="AX448" s="25">
        <v>1E-4</v>
      </c>
      <c r="AY448" s="24">
        <v>0</v>
      </c>
      <c r="AZ448" s="24">
        <f t="shared" si="92"/>
        <v>0.45</v>
      </c>
      <c r="BA448" s="24">
        <f t="shared" si="93"/>
        <v>0.36000000000000004</v>
      </c>
      <c r="BB448" s="24">
        <f t="shared" si="94"/>
        <v>0.27</v>
      </c>
      <c r="BC448" s="25">
        <v>1E-4</v>
      </c>
      <c r="BD448" s="24">
        <v>0</v>
      </c>
      <c r="BE448" s="26">
        <v>0</v>
      </c>
      <c r="BF448" s="34">
        <f t="shared" si="87"/>
        <v>0</v>
      </c>
      <c r="BG448" s="34">
        <f t="shared" si="88"/>
        <v>0</v>
      </c>
      <c r="BH448" s="26">
        <v>0</v>
      </c>
      <c r="BI448" s="26">
        <v>0</v>
      </c>
      <c r="BJ448" s="20" t="s">
        <v>496</v>
      </c>
      <c r="BK448" s="27">
        <v>0.42667748039864078</v>
      </c>
      <c r="BL448" s="27" t="s">
        <v>5119</v>
      </c>
      <c r="BM448" s="27" t="s">
        <v>4039</v>
      </c>
      <c r="BN448" s="26"/>
      <c r="BO448" s="34"/>
      <c r="BP448" s="34"/>
      <c r="BQ448" s="34"/>
      <c r="BR448" s="34"/>
      <c r="BS448" s="34"/>
      <c r="BT448" s="34"/>
      <c r="BU448" s="34"/>
      <c r="BV448" s="34"/>
      <c r="BW448" s="34"/>
      <c r="BX448" s="34"/>
      <c r="BY448" s="34"/>
      <c r="BZ448" s="34"/>
      <c r="CA448" s="20"/>
      <c r="CB448" s="20"/>
      <c r="CC448" s="46">
        <v>46006</v>
      </c>
      <c r="CD448" s="42" t="s">
        <v>7357</v>
      </c>
    </row>
    <row r="449" spans="1:82" s="18" customFormat="1" ht="66.75" customHeight="1" x14ac:dyDescent="0.25">
      <c r="A449" s="87">
        <v>445</v>
      </c>
      <c r="B449" s="141" t="s">
        <v>5120</v>
      </c>
      <c r="C449" s="6" t="s">
        <v>5121</v>
      </c>
      <c r="D449" s="6" t="s">
        <v>5122</v>
      </c>
      <c r="E449" s="75" t="s">
        <v>174</v>
      </c>
      <c r="F449" s="4" t="s">
        <v>3560</v>
      </c>
      <c r="G449" s="5" t="s">
        <v>84</v>
      </c>
      <c r="H449" s="6" t="s">
        <v>114</v>
      </c>
      <c r="I449" s="6" t="s">
        <v>3561</v>
      </c>
      <c r="J449" s="6"/>
      <c r="K449" s="6"/>
      <c r="L449" s="6"/>
      <c r="M449" s="6" t="s">
        <v>88</v>
      </c>
      <c r="N449" s="6" t="s">
        <v>89</v>
      </c>
      <c r="O449" s="6" t="s">
        <v>3562</v>
      </c>
      <c r="P449" s="6" t="s">
        <v>5064</v>
      </c>
      <c r="Q449" s="6"/>
      <c r="R449" s="82" t="s">
        <v>175</v>
      </c>
      <c r="S449" s="5" t="s">
        <v>92</v>
      </c>
      <c r="T449" s="5" t="s">
        <v>93</v>
      </c>
      <c r="U449" s="91">
        <v>100</v>
      </c>
      <c r="V449" s="5" t="s">
        <v>94</v>
      </c>
      <c r="W449" s="5" t="s">
        <v>95</v>
      </c>
      <c r="X449" s="5">
        <v>2023</v>
      </c>
      <c r="Y449" s="5" t="s">
        <v>117</v>
      </c>
      <c r="Z449" s="5" t="s">
        <v>95</v>
      </c>
      <c r="AA449" s="5" t="s">
        <v>98</v>
      </c>
      <c r="AB449" s="6" t="s">
        <v>99</v>
      </c>
      <c r="AC449" s="79" t="s">
        <v>5123</v>
      </c>
      <c r="AD449" s="79" t="s">
        <v>5124</v>
      </c>
      <c r="AE449" s="49" t="s">
        <v>5068</v>
      </c>
      <c r="AF449" s="6" t="s">
        <v>5117</v>
      </c>
      <c r="AG449" s="6" t="s">
        <v>178</v>
      </c>
      <c r="AH449" s="49" t="s">
        <v>178</v>
      </c>
      <c r="AI449" s="49" t="s">
        <v>3147</v>
      </c>
      <c r="AJ449" s="49" t="s">
        <v>5125</v>
      </c>
      <c r="AK449" s="33" t="s">
        <v>97</v>
      </c>
      <c r="AL449" s="33" t="s">
        <v>97</v>
      </c>
      <c r="AM449" s="5"/>
      <c r="AN449" s="5"/>
      <c r="AO449" s="5"/>
      <c r="AP449" s="5"/>
      <c r="AQ449" s="49" t="s">
        <v>5126</v>
      </c>
      <c r="AR449" s="20" t="s">
        <v>97</v>
      </c>
      <c r="AS449" s="20" t="s">
        <v>107</v>
      </c>
      <c r="AT449" s="20"/>
      <c r="AU449" s="24">
        <v>0.4</v>
      </c>
      <c r="AV449" s="24">
        <f t="shared" si="90"/>
        <v>0.32000000000000006</v>
      </c>
      <c r="AW449" s="24">
        <f t="shared" si="91"/>
        <v>0.24</v>
      </c>
      <c r="AX449" s="25">
        <v>1E-4</v>
      </c>
      <c r="AY449" s="24">
        <v>0</v>
      </c>
      <c r="AZ449" s="24">
        <f t="shared" si="92"/>
        <v>0.36000000000000004</v>
      </c>
      <c r="BA449" s="24">
        <f t="shared" si="93"/>
        <v>0.28800000000000003</v>
      </c>
      <c r="BB449" s="24">
        <f t="shared" si="94"/>
        <v>0.21600000000000003</v>
      </c>
      <c r="BC449" s="25">
        <v>1E-4</v>
      </c>
      <c r="BD449" s="24">
        <v>0</v>
      </c>
      <c r="BE449" s="26">
        <v>5</v>
      </c>
      <c r="BF449" s="34">
        <f t="shared" si="87"/>
        <v>4</v>
      </c>
      <c r="BG449" s="34">
        <f t="shared" si="88"/>
        <v>3</v>
      </c>
      <c r="BH449" s="26">
        <v>1</v>
      </c>
      <c r="BI449" s="26">
        <v>0</v>
      </c>
      <c r="BJ449" s="20" t="s">
        <v>496</v>
      </c>
      <c r="BK449" s="27">
        <v>5.6196742222957834E-2</v>
      </c>
      <c r="BL449" s="27" t="s">
        <v>5127</v>
      </c>
      <c r="BM449" s="27" t="s">
        <v>5128</v>
      </c>
      <c r="BN449" s="26"/>
      <c r="BO449" s="34"/>
      <c r="BP449" s="34"/>
      <c r="BQ449" s="34"/>
      <c r="BR449" s="34"/>
      <c r="BS449" s="34"/>
      <c r="BT449" s="34"/>
      <c r="BU449" s="34"/>
      <c r="BV449" s="34"/>
      <c r="BW449" s="34"/>
      <c r="BX449" s="34"/>
      <c r="BY449" s="34"/>
      <c r="BZ449" s="34"/>
      <c r="CA449" s="20"/>
      <c r="CB449" s="20"/>
      <c r="CC449" s="29">
        <v>46003</v>
      </c>
      <c r="CD449" s="2" t="s">
        <v>5129</v>
      </c>
    </row>
    <row r="450" spans="1:82" s="18" customFormat="1" ht="66.75" customHeight="1" x14ac:dyDescent="0.25">
      <c r="A450" s="87">
        <v>446</v>
      </c>
      <c r="B450" s="141" t="s">
        <v>5130</v>
      </c>
      <c r="C450" s="6" t="s">
        <v>5131</v>
      </c>
      <c r="D450" s="6" t="s">
        <v>5132</v>
      </c>
      <c r="E450" s="75" t="s">
        <v>174</v>
      </c>
      <c r="F450" s="4" t="s">
        <v>3560</v>
      </c>
      <c r="G450" s="5" t="s">
        <v>84</v>
      </c>
      <c r="H450" s="6" t="s">
        <v>775</v>
      </c>
      <c r="I450" s="6" t="s">
        <v>3561</v>
      </c>
      <c r="J450" s="6"/>
      <c r="K450" s="6"/>
      <c r="L450" s="6"/>
      <c r="M450" s="6" t="s">
        <v>88</v>
      </c>
      <c r="N450" s="6" t="s">
        <v>89</v>
      </c>
      <c r="O450" s="6" t="s">
        <v>3562</v>
      </c>
      <c r="P450" s="6" t="s">
        <v>5064</v>
      </c>
      <c r="Q450" s="6"/>
      <c r="R450" s="82" t="s">
        <v>175</v>
      </c>
      <c r="S450" s="5" t="s">
        <v>92</v>
      </c>
      <c r="T450" s="5" t="s">
        <v>93</v>
      </c>
      <c r="U450" s="91">
        <v>100</v>
      </c>
      <c r="V450" s="5" t="s">
        <v>94</v>
      </c>
      <c r="W450" s="5" t="s">
        <v>95</v>
      </c>
      <c r="X450" s="5">
        <v>2023</v>
      </c>
      <c r="Y450" s="5" t="s">
        <v>117</v>
      </c>
      <c r="Z450" s="5" t="s">
        <v>95</v>
      </c>
      <c r="AA450" s="5" t="s">
        <v>98</v>
      </c>
      <c r="AB450" s="6" t="s">
        <v>99</v>
      </c>
      <c r="AC450" s="79" t="s">
        <v>5133</v>
      </c>
      <c r="AD450" s="79" t="s">
        <v>5134</v>
      </c>
      <c r="AE450" s="49" t="s">
        <v>5068</v>
      </c>
      <c r="AF450" s="49" t="s">
        <v>5117</v>
      </c>
      <c r="AG450" s="6" t="s">
        <v>178</v>
      </c>
      <c r="AH450" s="49" t="s">
        <v>178</v>
      </c>
      <c r="AI450" s="49" t="s">
        <v>3147</v>
      </c>
      <c r="AJ450" s="49" t="s">
        <v>5135</v>
      </c>
      <c r="AK450" s="33" t="s">
        <v>97</v>
      </c>
      <c r="AL450" s="33" t="s">
        <v>97</v>
      </c>
      <c r="AM450" s="5"/>
      <c r="AN450" s="5"/>
      <c r="AO450" s="5"/>
      <c r="AP450" s="5"/>
      <c r="AQ450" s="49" t="s">
        <v>5126</v>
      </c>
      <c r="AR450" s="20" t="s">
        <v>97</v>
      </c>
      <c r="AS450" s="20" t="s">
        <v>107</v>
      </c>
      <c r="AT450" s="20"/>
      <c r="AU450" s="24">
        <v>0.4</v>
      </c>
      <c r="AV450" s="24">
        <f t="shared" si="90"/>
        <v>0.32000000000000006</v>
      </c>
      <c r="AW450" s="24">
        <f t="shared" si="91"/>
        <v>0.24</v>
      </c>
      <c r="AX450" s="25">
        <v>1E-4</v>
      </c>
      <c r="AY450" s="24">
        <v>0</v>
      </c>
      <c r="AZ450" s="24">
        <f t="shared" si="92"/>
        <v>0.36000000000000004</v>
      </c>
      <c r="BA450" s="24">
        <f t="shared" si="93"/>
        <v>0.28800000000000003</v>
      </c>
      <c r="BB450" s="24">
        <f t="shared" si="94"/>
        <v>0.21600000000000003</v>
      </c>
      <c r="BC450" s="25">
        <v>1E-4</v>
      </c>
      <c r="BD450" s="24">
        <v>0</v>
      </c>
      <c r="BE450" s="26">
        <v>5</v>
      </c>
      <c r="BF450" s="34">
        <f t="shared" si="87"/>
        <v>4</v>
      </c>
      <c r="BG450" s="34">
        <f t="shared" si="88"/>
        <v>3</v>
      </c>
      <c r="BH450" s="26">
        <v>1</v>
      </c>
      <c r="BI450" s="26">
        <v>0</v>
      </c>
      <c r="BJ450" s="20" t="s">
        <v>496</v>
      </c>
      <c r="BK450" s="27">
        <v>0.24586291641495592</v>
      </c>
      <c r="BL450" s="27" t="s">
        <v>5136</v>
      </c>
      <c r="BM450" s="27" t="s">
        <v>5137</v>
      </c>
      <c r="BN450" s="26"/>
      <c r="BO450" s="34"/>
      <c r="BP450" s="34"/>
      <c r="BQ450" s="34"/>
      <c r="BR450" s="34"/>
      <c r="BS450" s="34"/>
      <c r="BT450" s="34"/>
      <c r="BU450" s="34"/>
      <c r="BV450" s="34"/>
      <c r="BW450" s="34"/>
      <c r="BX450" s="34"/>
      <c r="BY450" s="34"/>
      <c r="BZ450" s="34"/>
      <c r="CA450" s="20"/>
      <c r="CB450" s="20"/>
      <c r="CC450" s="46">
        <v>46006</v>
      </c>
      <c r="CD450" s="42" t="s">
        <v>7358</v>
      </c>
    </row>
    <row r="451" spans="1:82" s="18" customFormat="1" ht="66.75" customHeight="1" x14ac:dyDescent="0.25">
      <c r="A451" s="121">
        <v>447</v>
      </c>
      <c r="B451" s="141" t="s">
        <v>5138</v>
      </c>
      <c r="C451" s="6" t="s">
        <v>5139</v>
      </c>
      <c r="D451" s="6" t="s">
        <v>5140</v>
      </c>
      <c r="E451" s="75" t="s">
        <v>174</v>
      </c>
      <c r="F451" s="4" t="s">
        <v>3560</v>
      </c>
      <c r="G451" s="5" t="s">
        <v>84</v>
      </c>
      <c r="H451" s="6" t="s">
        <v>775</v>
      </c>
      <c r="I451" s="6" t="s">
        <v>3561</v>
      </c>
      <c r="J451" s="6"/>
      <c r="K451" s="6"/>
      <c r="L451" s="6"/>
      <c r="M451" s="6" t="s">
        <v>88</v>
      </c>
      <c r="N451" s="6" t="s">
        <v>89</v>
      </c>
      <c r="O451" s="6" t="s">
        <v>3562</v>
      </c>
      <c r="P451" s="6" t="s">
        <v>5064</v>
      </c>
      <c r="Q451" s="6"/>
      <c r="R451" s="82" t="s">
        <v>175</v>
      </c>
      <c r="S451" s="5" t="s">
        <v>92</v>
      </c>
      <c r="T451" s="5" t="s">
        <v>93</v>
      </c>
      <c r="U451" s="91">
        <v>100</v>
      </c>
      <c r="V451" s="5" t="s">
        <v>94</v>
      </c>
      <c r="W451" s="5" t="s">
        <v>95</v>
      </c>
      <c r="X451" s="5">
        <v>2023</v>
      </c>
      <c r="Y451" s="5" t="s">
        <v>117</v>
      </c>
      <c r="Z451" s="5" t="s">
        <v>95</v>
      </c>
      <c r="AA451" s="5" t="s">
        <v>98</v>
      </c>
      <c r="AB451" s="6" t="s">
        <v>99</v>
      </c>
      <c r="AC451" s="79" t="s">
        <v>5133</v>
      </c>
      <c r="AD451" s="79" t="s">
        <v>5141</v>
      </c>
      <c r="AE451" s="49" t="s">
        <v>5068</v>
      </c>
      <c r="AF451" s="49" t="s">
        <v>5117</v>
      </c>
      <c r="AG451" s="49" t="s">
        <v>178</v>
      </c>
      <c r="AH451" s="49" t="s">
        <v>178</v>
      </c>
      <c r="AI451" s="49" t="s">
        <v>3147</v>
      </c>
      <c r="AJ451" s="49" t="s">
        <v>5142</v>
      </c>
      <c r="AK451" s="33" t="s">
        <v>97</v>
      </c>
      <c r="AL451" s="33" t="s">
        <v>97</v>
      </c>
      <c r="AM451" s="5"/>
      <c r="AN451" s="5"/>
      <c r="AO451" s="5"/>
      <c r="AP451" s="5"/>
      <c r="AQ451" s="49" t="s">
        <v>5126</v>
      </c>
      <c r="AR451" s="20" t="s">
        <v>97</v>
      </c>
      <c r="AS451" s="20" t="s">
        <v>107</v>
      </c>
      <c r="AT451" s="20"/>
      <c r="AU451" s="24">
        <v>0.4</v>
      </c>
      <c r="AV451" s="24">
        <f t="shared" si="90"/>
        <v>0.32000000000000006</v>
      </c>
      <c r="AW451" s="24">
        <f t="shared" si="91"/>
        <v>0.24</v>
      </c>
      <c r="AX451" s="25">
        <v>1E-4</v>
      </c>
      <c r="AY451" s="24">
        <v>0</v>
      </c>
      <c r="AZ451" s="24">
        <f t="shared" si="92"/>
        <v>0.36000000000000004</v>
      </c>
      <c r="BA451" s="24">
        <f t="shared" si="93"/>
        <v>0.28800000000000003</v>
      </c>
      <c r="BB451" s="24">
        <f t="shared" si="94"/>
        <v>0.21600000000000003</v>
      </c>
      <c r="BC451" s="25">
        <v>1E-4</v>
      </c>
      <c r="BD451" s="24">
        <v>0</v>
      </c>
      <c r="BE451" s="26">
        <v>5</v>
      </c>
      <c r="BF451" s="34">
        <f t="shared" si="87"/>
        <v>4</v>
      </c>
      <c r="BG451" s="34">
        <f t="shared" si="88"/>
        <v>3</v>
      </c>
      <c r="BH451" s="26">
        <v>1</v>
      </c>
      <c r="BI451" s="26">
        <v>0</v>
      </c>
      <c r="BJ451" s="20" t="s">
        <v>496</v>
      </c>
      <c r="BK451" s="27">
        <v>0.34167843249913604</v>
      </c>
      <c r="BL451" s="27" t="s">
        <v>5143</v>
      </c>
      <c r="BM451" s="27" t="s">
        <v>5144</v>
      </c>
      <c r="BN451" s="26"/>
      <c r="BO451" s="34"/>
      <c r="BP451" s="34"/>
      <c r="BQ451" s="34"/>
      <c r="BR451" s="34"/>
      <c r="BS451" s="34"/>
      <c r="BT451" s="34"/>
      <c r="BU451" s="34"/>
      <c r="BV451" s="34"/>
      <c r="BW451" s="34"/>
      <c r="BX451" s="34"/>
      <c r="BY451" s="34"/>
      <c r="BZ451" s="34"/>
      <c r="CA451" s="20"/>
      <c r="CB451" s="20"/>
      <c r="CC451" s="46">
        <v>46006</v>
      </c>
      <c r="CD451" s="42" t="s">
        <v>7359</v>
      </c>
    </row>
    <row r="452" spans="1:82" s="18" customFormat="1" ht="66.75" customHeight="1" x14ac:dyDescent="0.25">
      <c r="A452" s="87">
        <v>448</v>
      </c>
      <c r="B452" s="141" t="s">
        <v>5145</v>
      </c>
      <c r="C452" s="6" t="s">
        <v>5146</v>
      </c>
      <c r="D452" s="6" t="s">
        <v>5147</v>
      </c>
      <c r="E452" s="75" t="s">
        <v>113</v>
      </c>
      <c r="F452" s="4" t="s">
        <v>3560</v>
      </c>
      <c r="G452" s="5" t="s">
        <v>84</v>
      </c>
      <c r="H452" s="6" t="s">
        <v>775</v>
      </c>
      <c r="I452" s="6" t="s">
        <v>3561</v>
      </c>
      <c r="J452" s="6"/>
      <c r="K452" s="6"/>
      <c r="L452" s="6"/>
      <c r="M452" s="6" t="s">
        <v>88</v>
      </c>
      <c r="N452" s="6" t="s">
        <v>89</v>
      </c>
      <c r="O452" s="6" t="s">
        <v>3562</v>
      </c>
      <c r="P452" s="6" t="s">
        <v>5064</v>
      </c>
      <c r="Q452" s="6"/>
      <c r="R452" s="82" t="s">
        <v>175</v>
      </c>
      <c r="S452" s="5" t="s">
        <v>92</v>
      </c>
      <c r="T452" s="5" t="s">
        <v>93</v>
      </c>
      <c r="U452" s="91">
        <v>100</v>
      </c>
      <c r="V452" s="5" t="s">
        <v>94</v>
      </c>
      <c r="W452" s="5" t="s">
        <v>95</v>
      </c>
      <c r="X452" s="5">
        <v>2023</v>
      </c>
      <c r="Y452" s="5" t="s">
        <v>117</v>
      </c>
      <c r="Z452" s="5" t="s">
        <v>95</v>
      </c>
      <c r="AA452" s="5" t="s">
        <v>98</v>
      </c>
      <c r="AB452" s="6" t="s">
        <v>99</v>
      </c>
      <c r="AC452" s="79" t="s">
        <v>5148</v>
      </c>
      <c r="AD452" s="79" t="s">
        <v>5149</v>
      </c>
      <c r="AE452" s="49" t="s">
        <v>5068</v>
      </c>
      <c r="AF452" s="49" t="s">
        <v>5117</v>
      </c>
      <c r="AG452" s="49" t="s">
        <v>178</v>
      </c>
      <c r="AH452" s="49" t="s">
        <v>178</v>
      </c>
      <c r="AI452" s="49" t="s">
        <v>3147</v>
      </c>
      <c r="AJ452" s="49" t="s">
        <v>5150</v>
      </c>
      <c r="AK452" s="33" t="s">
        <v>97</v>
      </c>
      <c r="AL452" s="33" t="s">
        <v>97</v>
      </c>
      <c r="AM452" s="5"/>
      <c r="AN452" s="5"/>
      <c r="AO452" s="5"/>
      <c r="AP452" s="5"/>
      <c r="AQ452" s="49" t="s">
        <v>5126</v>
      </c>
      <c r="AR452" s="20" t="s">
        <v>97</v>
      </c>
      <c r="AS452" s="20" t="s">
        <v>107</v>
      </c>
      <c r="AT452" s="20"/>
      <c r="AU452" s="24">
        <v>0.4</v>
      </c>
      <c r="AV452" s="24">
        <f t="shared" si="90"/>
        <v>0.32000000000000006</v>
      </c>
      <c r="AW452" s="24">
        <f t="shared" si="91"/>
        <v>0.24</v>
      </c>
      <c r="AX452" s="25">
        <v>1E-4</v>
      </c>
      <c r="AY452" s="24">
        <v>0</v>
      </c>
      <c r="AZ452" s="24">
        <f t="shared" si="92"/>
        <v>0.36000000000000004</v>
      </c>
      <c r="BA452" s="24">
        <f t="shared" si="93"/>
        <v>0.28800000000000003</v>
      </c>
      <c r="BB452" s="24">
        <f t="shared" si="94"/>
        <v>0.21600000000000003</v>
      </c>
      <c r="BC452" s="25">
        <v>1E-4</v>
      </c>
      <c r="BD452" s="24">
        <v>0</v>
      </c>
      <c r="BE452" s="26">
        <v>0</v>
      </c>
      <c r="BF452" s="34">
        <f t="shared" ref="BF452:BF515" si="95">+BE452*80%</f>
        <v>0</v>
      </c>
      <c r="BG452" s="34">
        <f t="shared" ref="BG452:BG515" si="96">+BE452*60%</f>
        <v>0</v>
      </c>
      <c r="BH452" s="26">
        <v>0</v>
      </c>
      <c r="BI452" s="26">
        <v>0</v>
      </c>
      <c r="BJ452" s="20" t="s">
        <v>496</v>
      </c>
      <c r="BK452" s="27">
        <v>0.35846689161366174</v>
      </c>
      <c r="BL452" s="27" t="s">
        <v>5151</v>
      </c>
      <c r="BM452" s="27" t="s">
        <v>5152</v>
      </c>
      <c r="BN452" s="26"/>
      <c r="BO452" s="34"/>
      <c r="BP452" s="34"/>
      <c r="BQ452" s="34"/>
      <c r="BR452" s="34"/>
      <c r="BS452" s="34"/>
      <c r="BT452" s="34"/>
      <c r="BU452" s="34"/>
      <c r="BV452" s="34"/>
      <c r="BW452" s="34"/>
      <c r="BX452" s="34"/>
      <c r="BY452" s="34"/>
      <c r="BZ452" s="34"/>
      <c r="CA452" s="20"/>
      <c r="CB452" s="20"/>
      <c r="CC452" s="29">
        <v>46045</v>
      </c>
      <c r="CD452" s="42" t="s">
        <v>7337</v>
      </c>
    </row>
    <row r="453" spans="1:82" s="18" customFormat="1" ht="66.75" customHeight="1" x14ac:dyDescent="0.25">
      <c r="A453" s="87">
        <v>449</v>
      </c>
      <c r="B453" s="141" t="s">
        <v>5153</v>
      </c>
      <c r="C453" s="6" t="s">
        <v>5154</v>
      </c>
      <c r="D453" s="6" t="s">
        <v>5155</v>
      </c>
      <c r="E453" s="75" t="s">
        <v>174</v>
      </c>
      <c r="F453" s="4" t="s">
        <v>3560</v>
      </c>
      <c r="G453" s="5" t="s">
        <v>84</v>
      </c>
      <c r="H453" s="6" t="s">
        <v>775</v>
      </c>
      <c r="I453" s="6" t="s">
        <v>3561</v>
      </c>
      <c r="J453" s="6"/>
      <c r="K453" s="6"/>
      <c r="L453" s="6"/>
      <c r="M453" s="6" t="s">
        <v>88</v>
      </c>
      <c r="N453" s="6" t="s">
        <v>89</v>
      </c>
      <c r="O453" s="6" t="s">
        <v>3562</v>
      </c>
      <c r="P453" s="6" t="s">
        <v>5064</v>
      </c>
      <c r="Q453" s="6"/>
      <c r="R453" s="82" t="s">
        <v>175</v>
      </c>
      <c r="S453" s="5" t="s">
        <v>92</v>
      </c>
      <c r="T453" s="5" t="s">
        <v>93</v>
      </c>
      <c r="U453" s="91">
        <v>100</v>
      </c>
      <c r="V453" s="5" t="s">
        <v>94</v>
      </c>
      <c r="W453" s="5" t="s">
        <v>95</v>
      </c>
      <c r="X453" s="5">
        <v>2023</v>
      </c>
      <c r="Y453" s="5" t="s">
        <v>117</v>
      </c>
      <c r="Z453" s="5" t="s">
        <v>95</v>
      </c>
      <c r="AA453" s="5" t="s">
        <v>98</v>
      </c>
      <c r="AB453" s="6" t="s">
        <v>99</v>
      </c>
      <c r="AC453" s="79" t="s">
        <v>5156</v>
      </c>
      <c r="AD453" s="79" t="s">
        <v>5157</v>
      </c>
      <c r="AE453" s="49" t="s">
        <v>5158</v>
      </c>
      <c r="AF453" s="49" t="s">
        <v>5068</v>
      </c>
      <c r="AG453" s="49" t="s">
        <v>5159</v>
      </c>
      <c r="AH453" s="49" t="s">
        <v>5069</v>
      </c>
      <c r="AI453" s="49" t="s">
        <v>3147</v>
      </c>
      <c r="AJ453" s="49" t="s">
        <v>5160</v>
      </c>
      <c r="AK453" s="33" t="s">
        <v>97</v>
      </c>
      <c r="AL453" s="33" t="s">
        <v>97</v>
      </c>
      <c r="AM453" s="5"/>
      <c r="AN453" s="5"/>
      <c r="AO453" s="5"/>
      <c r="AP453" s="5"/>
      <c r="AQ453" s="6" t="s">
        <v>5161</v>
      </c>
      <c r="AR453" s="20" t="s">
        <v>97</v>
      </c>
      <c r="AS453" s="20" t="s">
        <v>107</v>
      </c>
      <c r="AT453" s="20"/>
      <c r="AU453" s="24">
        <v>0.4</v>
      </c>
      <c r="AV453" s="24">
        <f t="shared" si="90"/>
        <v>0.32000000000000006</v>
      </c>
      <c r="AW453" s="24">
        <f t="shared" si="91"/>
        <v>0.24</v>
      </c>
      <c r="AX453" s="25">
        <v>1E-4</v>
      </c>
      <c r="AY453" s="24">
        <v>0</v>
      </c>
      <c r="AZ453" s="24">
        <f t="shared" si="92"/>
        <v>0.36000000000000004</v>
      </c>
      <c r="BA453" s="24">
        <f t="shared" si="93"/>
        <v>0.28800000000000003</v>
      </c>
      <c r="BB453" s="24">
        <f t="shared" si="94"/>
        <v>0.21600000000000003</v>
      </c>
      <c r="BC453" s="25">
        <v>1E-4</v>
      </c>
      <c r="BD453" s="24">
        <v>0</v>
      </c>
      <c r="BE453" s="26">
        <v>5</v>
      </c>
      <c r="BF453" s="34">
        <f t="shared" si="95"/>
        <v>4</v>
      </c>
      <c r="BG453" s="34">
        <f t="shared" si="96"/>
        <v>3</v>
      </c>
      <c r="BH453" s="26">
        <v>1</v>
      </c>
      <c r="BI453" s="26">
        <v>0</v>
      </c>
      <c r="BJ453" s="20" t="s">
        <v>496</v>
      </c>
      <c r="BK453" s="27">
        <v>0.13560620031714071</v>
      </c>
      <c r="BL453" s="27" t="s">
        <v>5162</v>
      </c>
      <c r="BM453" s="27" t="s">
        <v>2072</v>
      </c>
      <c r="BN453" s="26"/>
      <c r="BO453" s="34"/>
      <c r="BP453" s="34"/>
      <c r="BQ453" s="34"/>
      <c r="BR453" s="34"/>
      <c r="BS453" s="34"/>
      <c r="BT453" s="34"/>
      <c r="BU453" s="34"/>
      <c r="BV453" s="34"/>
      <c r="BW453" s="34"/>
      <c r="BX453" s="34"/>
      <c r="BY453" s="34"/>
      <c r="BZ453" s="34"/>
      <c r="CA453" s="20"/>
      <c r="CB453" s="20"/>
      <c r="CC453" s="29">
        <v>46003</v>
      </c>
      <c r="CD453" s="2" t="s">
        <v>5163</v>
      </c>
    </row>
    <row r="454" spans="1:82" s="18" customFormat="1" ht="66.75" customHeight="1" x14ac:dyDescent="0.25">
      <c r="A454" s="121">
        <v>450</v>
      </c>
      <c r="B454" s="141" t="s">
        <v>5164</v>
      </c>
      <c r="C454" s="6" t="s">
        <v>5165</v>
      </c>
      <c r="D454" s="6" t="s">
        <v>5166</v>
      </c>
      <c r="E454" s="75" t="s">
        <v>113</v>
      </c>
      <c r="F454" s="4" t="s">
        <v>3560</v>
      </c>
      <c r="G454" s="5" t="s">
        <v>84</v>
      </c>
      <c r="H454" s="6" t="s">
        <v>775</v>
      </c>
      <c r="I454" s="6" t="s">
        <v>3561</v>
      </c>
      <c r="J454" s="6"/>
      <c r="K454" s="6"/>
      <c r="L454" s="6"/>
      <c r="M454" s="6" t="s">
        <v>88</v>
      </c>
      <c r="N454" s="6" t="s">
        <v>89</v>
      </c>
      <c r="O454" s="6" t="s">
        <v>3562</v>
      </c>
      <c r="P454" s="6" t="s">
        <v>5064</v>
      </c>
      <c r="Q454" s="6"/>
      <c r="R454" s="82" t="s">
        <v>175</v>
      </c>
      <c r="S454" s="5" t="s">
        <v>92</v>
      </c>
      <c r="T454" s="5" t="s">
        <v>93</v>
      </c>
      <c r="U454" s="91">
        <v>100</v>
      </c>
      <c r="V454" s="5" t="s">
        <v>94</v>
      </c>
      <c r="W454" s="5" t="s">
        <v>95</v>
      </c>
      <c r="X454" s="5">
        <v>2023</v>
      </c>
      <c r="Y454" s="5" t="s">
        <v>117</v>
      </c>
      <c r="Z454" s="5" t="s">
        <v>95</v>
      </c>
      <c r="AA454" s="5" t="s">
        <v>98</v>
      </c>
      <c r="AB454" s="6" t="s">
        <v>99</v>
      </c>
      <c r="AC454" s="79" t="s">
        <v>5167</v>
      </c>
      <c r="AD454" s="79" t="s">
        <v>5168</v>
      </c>
      <c r="AE454" s="49" t="s">
        <v>5068</v>
      </c>
      <c r="AF454" s="49" t="s">
        <v>5117</v>
      </c>
      <c r="AG454" s="49"/>
      <c r="AH454" s="49" t="s">
        <v>5069</v>
      </c>
      <c r="AI454" s="49" t="s">
        <v>3147</v>
      </c>
      <c r="AJ454" s="49" t="s">
        <v>5169</v>
      </c>
      <c r="AK454" s="33" t="s">
        <v>97</v>
      </c>
      <c r="AL454" s="33" t="s">
        <v>97</v>
      </c>
      <c r="AM454" s="5"/>
      <c r="AN454" s="5"/>
      <c r="AO454" s="5"/>
      <c r="AP454" s="5"/>
      <c r="AQ454" s="49"/>
      <c r="AR454" s="20" t="s">
        <v>97</v>
      </c>
      <c r="AS454" s="20" t="s">
        <v>107</v>
      </c>
      <c r="AT454" s="20"/>
      <c r="AU454" s="24">
        <v>0.4</v>
      </c>
      <c r="AV454" s="24">
        <f t="shared" si="90"/>
        <v>0.32000000000000006</v>
      </c>
      <c r="AW454" s="24">
        <f t="shared" si="91"/>
        <v>0.24</v>
      </c>
      <c r="AX454" s="25">
        <v>1E-4</v>
      </c>
      <c r="AY454" s="24">
        <v>0</v>
      </c>
      <c r="AZ454" s="24">
        <f t="shared" si="92"/>
        <v>0.36000000000000004</v>
      </c>
      <c r="BA454" s="24">
        <f t="shared" si="93"/>
        <v>0.28800000000000003</v>
      </c>
      <c r="BB454" s="24">
        <f t="shared" si="94"/>
        <v>0.21600000000000003</v>
      </c>
      <c r="BC454" s="25">
        <v>1E-4</v>
      </c>
      <c r="BD454" s="24">
        <v>0</v>
      </c>
      <c r="BE454" s="26">
        <v>0</v>
      </c>
      <c r="BF454" s="34">
        <f t="shared" si="95"/>
        <v>0</v>
      </c>
      <c r="BG454" s="34">
        <f t="shared" si="96"/>
        <v>0</v>
      </c>
      <c r="BH454" s="26">
        <v>0</v>
      </c>
      <c r="BI454" s="26">
        <v>0</v>
      </c>
      <c r="BJ454" s="20" t="s">
        <v>496</v>
      </c>
      <c r="BK454" s="27">
        <v>5.0224972420863968E-2</v>
      </c>
      <c r="BL454" s="27" t="s">
        <v>5170</v>
      </c>
      <c r="BM454" s="27" t="s">
        <v>5171</v>
      </c>
      <c r="BN454" s="26"/>
      <c r="BO454" s="34"/>
      <c r="BP454" s="34"/>
      <c r="BQ454" s="34"/>
      <c r="BR454" s="34"/>
      <c r="BS454" s="34"/>
      <c r="BT454" s="34"/>
      <c r="BU454" s="34"/>
      <c r="BV454" s="34"/>
      <c r="BW454" s="34"/>
      <c r="BX454" s="34"/>
      <c r="BY454" s="34"/>
      <c r="BZ454" s="34"/>
      <c r="CA454" s="20"/>
      <c r="CB454" s="20"/>
      <c r="CC454" s="46">
        <v>46003</v>
      </c>
      <c r="CD454" s="2" t="s">
        <v>5172</v>
      </c>
    </row>
    <row r="455" spans="1:82" s="18" customFormat="1" ht="66.75" customHeight="1" x14ac:dyDescent="0.25">
      <c r="A455" s="87">
        <v>451</v>
      </c>
      <c r="B455" s="141" t="s">
        <v>5173</v>
      </c>
      <c r="C455" s="6" t="s">
        <v>5174</v>
      </c>
      <c r="D455" s="6" t="s">
        <v>5175</v>
      </c>
      <c r="E455" s="49" t="s">
        <v>113</v>
      </c>
      <c r="F455" s="49" t="s">
        <v>3560</v>
      </c>
      <c r="G455" s="5" t="s">
        <v>84</v>
      </c>
      <c r="H455" s="6" t="s">
        <v>775</v>
      </c>
      <c r="I455" s="6" t="s">
        <v>3561</v>
      </c>
      <c r="J455" s="6"/>
      <c r="K455" s="6"/>
      <c r="L455" s="6"/>
      <c r="M455" s="6" t="s">
        <v>88</v>
      </c>
      <c r="N455" s="6" t="s">
        <v>89</v>
      </c>
      <c r="O455" s="6" t="s">
        <v>5176</v>
      </c>
      <c r="P455" s="6" t="s">
        <v>5064</v>
      </c>
      <c r="Q455" s="6"/>
      <c r="R455" s="82" t="s">
        <v>175</v>
      </c>
      <c r="S455" s="5" t="s">
        <v>92</v>
      </c>
      <c r="T455" s="5" t="s">
        <v>93</v>
      </c>
      <c r="U455" s="91">
        <v>100</v>
      </c>
      <c r="V455" s="5" t="s">
        <v>94</v>
      </c>
      <c r="W455" s="5" t="s">
        <v>95</v>
      </c>
      <c r="X455" s="5">
        <v>2025</v>
      </c>
      <c r="Y455" s="5" t="s">
        <v>117</v>
      </c>
      <c r="Z455" s="5" t="s">
        <v>95</v>
      </c>
      <c r="AA455" s="5" t="s">
        <v>98</v>
      </c>
      <c r="AB455" s="6" t="s">
        <v>99</v>
      </c>
      <c r="AC455" s="79" t="s">
        <v>5133</v>
      </c>
      <c r="AD455" s="79" t="s">
        <v>5177</v>
      </c>
      <c r="AE455" s="49" t="s">
        <v>5068</v>
      </c>
      <c r="AF455" s="49" t="s">
        <v>5117</v>
      </c>
      <c r="AG455" s="49" t="s">
        <v>178</v>
      </c>
      <c r="AH455" s="49" t="s">
        <v>178</v>
      </c>
      <c r="AI455" s="49" t="s">
        <v>3147</v>
      </c>
      <c r="AJ455" s="49" t="s">
        <v>5178</v>
      </c>
      <c r="AK455" s="33" t="s">
        <v>97</v>
      </c>
      <c r="AL455" s="33" t="s">
        <v>97</v>
      </c>
      <c r="AM455" s="5"/>
      <c r="AN455" s="5"/>
      <c r="AO455" s="5"/>
      <c r="AP455" s="5"/>
      <c r="AQ455" s="49" t="s">
        <v>5126</v>
      </c>
      <c r="AR455" s="20" t="s">
        <v>97</v>
      </c>
      <c r="AS455" s="20" t="s">
        <v>107</v>
      </c>
      <c r="AT455" s="20"/>
      <c r="AU455" s="24">
        <v>0.6</v>
      </c>
      <c r="AV455" s="24">
        <f t="shared" si="90"/>
        <v>0.48</v>
      </c>
      <c r="AW455" s="24">
        <f t="shared" si="91"/>
        <v>0.36</v>
      </c>
      <c r="AX455" s="25">
        <v>1E-4</v>
      </c>
      <c r="AY455" s="24">
        <v>0</v>
      </c>
      <c r="AZ455" s="24">
        <f t="shared" si="92"/>
        <v>0.54</v>
      </c>
      <c r="BA455" s="24">
        <f t="shared" si="93"/>
        <v>0.43200000000000005</v>
      </c>
      <c r="BB455" s="24">
        <f t="shared" si="94"/>
        <v>0.32400000000000001</v>
      </c>
      <c r="BC455" s="25">
        <v>1E-4</v>
      </c>
      <c r="BD455" s="24">
        <v>0</v>
      </c>
      <c r="BE455" s="26">
        <v>0</v>
      </c>
      <c r="BF455" s="34">
        <f t="shared" si="95"/>
        <v>0</v>
      </c>
      <c r="BG455" s="34">
        <f t="shared" si="96"/>
        <v>0</v>
      </c>
      <c r="BH455" s="26">
        <v>0</v>
      </c>
      <c r="BI455" s="26">
        <v>0</v>
      </c>
      <c r="BJ455" s="20"/>
      <c r="BK455" s="27"/>
      <c r="BL455" s="27"/>
      <c r="BM455" s="27" t="s">
        <v>5179</v>
      </c>
      <c r="BN455" s="26"/>
      <c r="BO455" s="34"/>
      <c r="BP455" s="34"/>
      <c r="BQ455" s="34"/>
      <c r="BR455" s="34"/>
      <c r="BS455" s="34"/>
      <c r="BT455" s="34"/>
      <c r="BU455" s="34"/>
      <c r="BV455" s="34"/>
      <c r="BW455" s="34"/>
      <c r="BX455" s="34"/>
      <c r="BY455" s="34"/>
      <c r="BZ455" s="34"/>
      <c r="CA455" s="20"/>
      <c r="CB455" s="20"/>
      <c r="CC455" s="29">
        <v>46003</v>
      </c>
      <c r="CD455" s="42" t="s">
        <v>5180</v>
      </c>
    </row>
    <row r="456" spans="1:82" s="18" customFormat="1" ht="66.75" customHeight="1" x14ac:dyDescent="0.25">
      <c r="A456" s="87">
        <v>452</v>
      </c>
      <c r="B456" s="141" t="s">
        <v>5181</v>
      </c>
      <c r="C456" s="6" t="s">
        <v>5182</v>
      </c>
      <c r="D456" s="6" t="s">
        <v>5183</v>
      </c>
      <c r="E456" s="75" t="s">
        <v>113</v>
      </c>
      <c r="F456" s="4" t="s">
        <v>3560</v>
      </c>
      <c r="G456" s="5" t="s">
        <v>84</v>
      </c>
      <c r="H456" s="6" t="s">
        <v>775</v>
      </c>
      <c r="I456" s="6" t="s">
        <v>3561</v>
      </c>
      <c r="J456" s="6"/>
      <c r="K456" s="6"/>
      <c r="L456" s="6"/>
      <c r="M456" s="6" t="s">
        <v>88</v>
      </c>
      <c r="N456" s="6" t="s">
        <v>89</v>
      </c>
      <c r="O456" s="6" t="s">
        <v>3562</v>
      </c>
      <c r="P456" s="6" t="s">
        <v>5064</v>
      </c>
      <c r="Q456" s="6"/>
      <c r="R456" s="82" t="s">
        <v>91</v>
      </c>
      <c r="S456" s="5" t="s">
        <v>92</v>
      </c>
      <c r="T456" s="5" t="s">
        <v>93</v>
      </c>
      <c r="U456" s="91">
        <v>100</v>
      </c>
      <c r="V456" s="5" t="s">
        <v>94</v>
      </c>
      <c r="W456" s="5" t="s">
        <v>95</v>
      </c>
      <c r="X456" s="5">
        <v>2025</v>
      </c>
      <c r="Y456" s="5" t="s">
        <v>117</v>
      </c>
      <c r="Z456" s="5" t="s">
        <v>95</v>
      </c>
      <c r="AA456" s="5" t="s">
        <v>98</v>
      </c>
      <c r="AB456" s="6" t="s">
        <v>99</v>
      </c>
      <c r="AC456" s="79" t="s">
        <v>5184</v>
      </c>
      <c r="AD456" s="79" t="s">
        <v>5185</v>
      </c>
      <c r="AE456" s="49" t="s">
        <v>5186</v>
      </c>
      <c r="AF456" s="6" t="s">
        <v>5068</v>
      </c>
      <c r="AG456" s="49"/>
      <c r="AH456" s="49" t="s">
        <v>5069</v>
      </c>
      <c r="AI456" s="49" t="s">
        <v>3147</v>
      </c>
      <c r="AJ456" s="49" t="s">
        <v>5187</v>
      </c>
      <c r="AK456" s="33" t="s">
        <v>97</v>
      </c>
      <c r="AL456" s="33" t="s">
        <v>97</v>
      </c>
      <c r="AM456" s="5"/>
      <c r="AN456" s="5"/>
      <c r="AO456" s="5"/>
      <c r="AP456" s="5"/>
      <c r="AQ456" s="49"/>
      <c r="AR456" s="20" t="s">
        <v>97</v>
      </c>
      <c r="AS456" s="20" t="s">
        <v>107</v>
      </c>
      <c r="AT456" s="20"/>
      <c r="AU456" s="24">
        <v>0.6</v>
      </c>
      <c r="AV456" s="24">
        <f t="shared" si="90"/>
        <v>0.48</v>
      </c>
      <c r="AW456" s="24">
        <f t="shared" si="91"/>
        <v>0.36</v>
      </c>
      <c r="AX456" s="25">
        <v>1E-4</v>
      </c>
      <c r="AY456" s="24">
        <v>0</v>
      </c>
      <c r="AZ456" s="24">
        <f t="shared" si="92"/>
        <v>0.54</v>
      </c>
      <c r="BA456" s="24">
        <f t="shared" si="93"/>
        <v>0.43200000000000005</v>
      </c>
      <c r="BB456" s="24">
        <f t="shared" si="94"/>
        <v>0.32400000000000001</v>
      </c>
      <c r="BC456" s="25">
        <v>1E-4</v>
      </c>
      <c r="BD456" s="24">
        <v>0</v>
      </c>
      <c r="BE456" s="26">
        <v>0</v>
      </c>
      <c r="BF456" s="34">
        <f t="shared" si="95"/>
        <v>0</v>
      </c>
      <c r="BG456" s="34">
        <f t="shared" si="96"/>
        <v>0</v>
      </c>
      <c r="BH456" s="26">
        <v>0</v>
      </c>
      <c r="BI456" s="26">
        <v>0</v>
      </c>
      <c r="BJ456" s="27"/>
      <c r="BK456" s="27"/>
      <c r="BL456" s="27"/>
      <c r="BM456" s="27" t="s">
        <v>5188</v>
      </c>
      <c r="BN456" s="26"/>
      <c r="BO456" s="34"/>
      <c r="BP456" s="34"/>
      <c r="BQ456" s="34"/>
      <c r="BR456" s="34"/>
      <c r="BS456" s="34"/>
      <c r="BT456" s="34"/>
      <c r="BU456" s="34"/>
      <c r="BV456" s="34"/>
      <c r="BW456" s="34"/>
      <c r="BX456" s="34"/>
      <c r="BY456" s="34"/>
      <c r="BZ456" s="34"/>
      <c r="CA456" s="20"/>
      <c r="CB456" s="20"/>
      <c r="CC456" s="29">
        <v>46003</v>
      </c>
      <c r="CD456" s="35" t="s">
        <v>5189</v>
      </c>
    </row>
    <row r="457" spans="1:82" s="18" customFormat="1" ht="66.75" customHeight="1" x14ac:dyDescent="0.25">
      <c r="A457" s="121">
        <v>453</v>
      </c>
      <c r="B457" s="141" t="s">
        <v>5190</v>
      </c>
      <c r="C457" s="6" t="s">
        <v>5191</v>
      </c>
      <c r="D457" s="6" t="s">
        <v>5192</v>
      </c>
      <c r="E457" s="75" t="s">
        <v>174</v>
      </c>
      <c r="F457" s="4" t="s">
        <v>3560</v>
      </c>
      <c r="G457" s="5" t="s">
        <v>84</v>
      </c>
      <c r="H457" s="6" t="s">
        <v>775</v>
      </c>
      <c r="I457" s="6" t="s">
        <v>3561</v>
      </c>
      <c r="J457" s="6"/>
      <c r="K457" s="6"/>
      <c r="L457" s="6"/>
      <c r="M457" s="6" t="s">
        <v>88</v>
      </c>
      <c r="N457" s="6" t="s">
        <v>89</v>
      </c>
      <c r="O457" s="6" t="s">
        <v>3562</v>
      </c>
      <c r="P457" s="6" t="s">
        <v>5064</v>
      </c>
      <c r="Q457" s="6"/>
      <c r="R457" s="82" t="s">
        <v>91</v>
      </c>
      <c r="S457" s="5" t="s">
        <v>92</v>
      </c>
      <c r="T457" s="5" t="s">
        <v>93</v>
      </c>
      <c r="U457" s="91">
        <v>100</v>
      </c>
      <c r="V457" s="5" t="s">
        <v>94</v>
      </c>
      <c r="W457" s="5" t="s">
        <v>95</v>
      </c>
      <c r="X457" s="5">
        <v>2025</v>
      </c>
      <c r="Y457" s="5" t="s">
        <v>117</v>
      </c>
      <c r="Z457" s="5" t="s">
        <v>95</v>
      </c>
      <c r="AA457" s="5" t="s">
        <v>98</v>
      </c>
      <c r="AB457" s="6" t="s">
        <v>99</v>
      </c>
      <c r="AC457" s="79" t="s">
        <v>5193</v>
      </c>
      <c r="AD457" s="79" t="s">
        <v>4118</v>
      </c>
      <c r="AE457" s="49" t="s">
        <v>5068</v>
      </c>
      <c r="AF457" s="49" t="s">
        <v>121</v>
      </c>
      <c r="AG457" s="49" t="s">
        <v>5194</v>
      </c>
      <c r="AH457" s="49" t="s">
        <v>178</v>
      </c>
      <c r="AI457" s="49" t="s">
        <v>5195</v>
      </c>
      <c r="AJ457" s="6" t="s">
        <v>4118</v>
      </c>
      <c r="AK457" s="33" t="s">
        <v>97</v>
      </c>
      <c r="AL457" s="33" t="s">
        <v>97</v>
      </c>
      <c r="AM457" s="5"/>
      <c r="AN457" s="5"/>
      <c r="AO457" s="5"/>
      <c r="AP457" s="5"/>
      <c r="AQ457" s="49" t="s">
        <v>5126</v>
      </c>
      <c r="AR457" s="20" t="s">
        <v>97</v>
      </c>
      <c r="AS457" s="20" t="s">
        <v>107</v>
      </c>
      <c r="AT457" s="20"/>
      <c r="AU457" s="24">
        <v>0.9</v>
      </c>
      <c r="AV457" s="24">
        <f t="shared" si="90"/>
        <v>0.72000000000000008</v>
      </c>
      <c r="AW457" s="24">
        <f t="shared" si="91"/>
        <v>0.54</v>
      </c>
      <c r="AX457" s="25">
        <v>1E-4</v>
      </c>
      <c r="AY457" s="24">
        <v>0</v>
      </c>
      <c r="AZ457" s="24">
        <f t="shared" si="92"/>
        <v>0.81</v>
      </c>
      <c r="BA457" s="24">
        <f t="shared" si="93"/>
        <v>0.64800000000000013</v>
      </c>
      <c r="BB457" s="24">
        <f t="shared" si="94"/>
        <v>0.48599999999999999</v>
      </c>
      <c r="BC457" s="25">
        <v>1E-4</v>
      </c>
      <c r="BD457" s="24">
        <v>0</v>
      </c>
      <c r="BE457" s="26">
        <v>5</v>
      </c>
      <c r="BF457" s="34">
        <f t="shared" si="95"/>
        <v>4</v>
      </c>
      <c r="BG457" s="34">
        <f t="shared" si="96"/>
        <v>3</v>
      </c>
      <c r="BH457" s="26">
        <v>1</v>
      </c>
      <c r="BI457" s="26">
        <v>0</v>
      </c>
      <c r="BJ457" s="20"/>
      <c r="BK457" s="27"/>
      <c r="BL457" s="27"/>
      <c r="BM457" s="27" t="s">
        <v>5196</v>
      </c>
      <c r="BN457" s="26"/>
      <c r="BO457" s="34"/>
      <c r="BP457" s="34"/>
      <c r="BQ457" s="34"/>
      <c r="BR457" s="34"/>
      <c r="BS457" s="34"/>
      <c r="BT457" s="34"/>
      <c r="BU457" s="34"/>
      <c r="BV457" s="34"/>
      <c r="BW457" s="34"/>
      <c r="BX457" s="34"/>
      <c r="BY457" s="34"/>
      <c r="BZ457" s="34"/>
      <c r="CA457" s="20"/>
      <c r="CB457" s="20"/>
      <c r="CC457" s="29">
        <v>46003</v>
      </c>
      <c r="CD457" s="2" t="s">
        <v>5197</v>
      </c>
    </row>
    <row r="458" spans="1:82" s="18" customFormat="1" ht="66.75" customHeight="1" x14ac:dyDescent="0.25">
      <c r="A458" s="87">
        <v>454</v>
      </c>
      <c r="B458" s="142" t="s">
        <v>5198</v>
      </c>
      <c r="C458" s="11" t="s">
        <v>5199</v>
      </c>
      <c r="D458" s="2" t="s">
        <v>5200</v>
      </c>
      <c r="E458" s="75" t="s">
        <v>174</v>
      </c>
      <c r="F458" s="12" t="s">
        <v>4197</v>
      </c>
      <c r="G458" s="7" t="s">
        <v>84</v>
      </c>
      <c r="H458" s="2" t="s">
        <v>775</v>
      </c>
      <c r="I458" s="90" t="s">
        <v>4198</v>
      </c>
      <c r="J458" s="90"/>
      <c r="K458" s="90"/>
      <c r="L458" s="90"/>
      <c r="M458" s="11" t="s">
        <v>88</v>
      </c>
      <c r="N458" s="11" t="s">
        <v>245</v>
      </c>
      <c r="O458" s="11" t="s">
        <v>246</v>
      </c>
      <c r="P458" s="11" t="s">
        <v>2159</v>
      </c>
      <c r="Q458" s="11"/>
      <c r="R458" s="11" t="s">
        <v>175</v>
      </c>
      <c r="S458" s="5" t="s">
        <v>4201</v>
      </c>
      <c r="T458" s="7" t="s">
        <v>93</v>
      </c>
      <c r="U458" s="181">
        <v>100</v>
      </c>
      <c r="V458" s="7" t="s">
        <v>94</v>
      </c>
      <c r="W458" s="7" t="s">
        <v>95</v>
      </c>
      <c r="X458" s="7">
        <v>2025</v>
      </c>
      <c r="Y458" s="5" t="s">
        <v>117</v>
      </c>
      <c r="Z458" s="7" t="s">
        <v>95</v>
      </c>
      <c r="AA458" s="7" t="s">
        <v>98</v>
      </c>
      <c r="AB458" s="2" t="s">
        <v>99</v>
      </c>
      <c r="AC458" s="182" t="s">
        <v>7576</v>
      </c>
      <c r="AD458" s="31" t="s">
        <v>5201</v>
      </c>
      <c r="AE458" s="183" t="s">
        <v>5202</v>
      </c>
      <c r="AF458" s="74" t="s">
        <v>7398</v>
      </c>
      <c r="AG458" s="7" t="s">
        <v>5203</v>
      </c>
      <c r="AH458" s="185" t="s">
        <v>5204</v>
      </c>
      <c r="AI458" s="42" t="s">
        <v>5205</v>
      </c>
      <c r="AJ458" s="176" t="s">
        <v>7581</v>
      </c>
      <c r="AK458" s="20" t="s">
        <v>84</v>
      </c>
      <c r="AL458" s="184" t="s">
        <v>5206</v>
      </c>
      <c r="AM458" s="7" t="s">
        <v>5207</v>
      </c>
      <c r="AN458" s="7"/>
      <c r="AO458" s="7" t="s">
        <v>5208</v>
      </c>
      <c r="AP458" s="7" t="s">
        <v>5209</v>
      </c>
      <c r="AQ458" s="19"/>
      <c r="AR458" s="20" t="s">
        <v>97</v>
      </c>
      <c r="AS458" s="20" t="s">
        <v>107</v>
      </c>
      <c r="AT458" s="20"/>
      <c r="AU458" s="24">
        <v>0.4</v>
      </c>
      <c r="AV458" s="24">
        <f t="shared" si="90"/>
        <v>0.32000000000000006</v>
      </c>
      <c r="AW458" s="24">
        <f t="shared" si="91"/>
        <v>0.24</v>
      </c>
      <c r="AX458" s="25">
        <v>1E-4</v>
      </c>
      <c r="AY458" s="24">
        <v>0</v>
      </c>
      <c r="AZ458" s="24">
        <f t="shared" si="92"/>
        <v>0.36000000000000004</v>
      </c>
      <c r="BA458" s="24">
        <f t="shared" si="93"/>
        <v>0.28800000000000003</v>
      </c>
      <c r="BB458" s="24">
        <f t="shared" si="94"/>
        <v>0.21600000000000003</v>
      </c>
      <c r="BC458" s="25">
        <v>1E-4</v>
      </c>
      <c r="BD458" s="24">
        <v>0</v>
      </c>
      <c r="BE458" s="34">
        <v>10</v>
      </c>
      <c r="BF458" s="34">
        <f t="shared" si="95"/>
        <v>8</v>
      </c>
      <c r="BG458" s="34">
        <f t="shared" si="96"/>
        <v>6</v>
      </c>
      <c r="BH458" s="26">
        <v>1</v>
      </c>
      <c r="BI458" s="26">
        <v>0</v>
      </c>
      <c r="BJ458" s="33"/>
      <c r="BK458" s="33"/>
      <c r="BL458" s="33"/>
      <c r="BM458" s="27" t="s">
        <v>5210</v>
      </c>
      <c r="BN458" s="26"/>
      <c r="BO458" s="34"/>
      <c r="BP458" s="34"/>
      <c r="BQ458" s="34"/>
      <c r="BR458" s="34"/>
      <c r="BS458" s="34"/>
      <c r="BT458" s="34"/>
      <c r="BU458" s="34"/>
      <c r="BV458" s="34"/>
      <c r="BW458" s="34"/>
      <c r="BX458" s="34"/>
      <c r="BY458" s="34"/>
      <c r="BZ458" s="34"/>
      <c r="CA458" s="20"/>
      <c r="CB458" s="33"/>
      <c r="CC458" s="218">
        <v>46044</v>
      </c>
      <c r="CD458" s="51" t="s">
        <v>7325</v>
      </c>
    </row>
    <row r="459" spans="1:82" s="18" customFormat="1" ht="66.75" customHeight="1" x14ac:dyDescent="0.25">
      <c r="A459" s="87">
        <v>455</v>
      </c>
      <c r="B459" s="141" t="s">
        <v>5211</v>
      </c>
      <c r="C459" s="82" t="s">
        <v>5212</v>
      </c>
      <c r="D459" s="214" t="s">
        <v>5213</v>
      </c>
      <c r="E459" s="75" t="s">
        <v>174</v>
      </c>
      <c r="F459" s="4" t="s">
        <v>4197</v>
      </c>
      <c r="G459" s="5" t="s">
        <v>84</v>
      </c>
      <c r="H459" s="6" t="s">
        <v>775</v>
      </c>
      <c r="I459" s="90" t="s">
        <v>4198</v>
      </c>
      <c r="J459" s="90"/>
      <c r="K459" s="90"/>
      <c r="L459" s="90"/>
      <c r="M459" s="82" t="s">
        <v>88</v>
      </c>
      <c r="N459" s="82" t="s">
        <v>245</v>
      </c>
      <c r="O459" s="82" t="s">
        <v>246</v>
      </c>
      <c r="P459" s="82" t="s">
        <v>5214</v>
      </c>
      <c r="Q459" s="82"/>
      <c r="R459" s="82" t="s">
        <v>175</v>
      </c>
      <c r="S459" s="5" t="s">
        <v>92</v>
      </c>
      <c r="T459" s="82" t="s">
        <v>93</v>
      </c>
      <c r="U459" s="91">
        <v>100</v>
      </c>
      <c r="V459" s="5" t="s">
        <v>94</v>
      </c>
      <c r="W459" s="5" t="s">
        <v>95</v>
      </c>
      <c r="X459" s="5">
        <v>2025</v>
      </c>
      <c r="Y459" s="5" t="s">
        <v>117</v>
      </c>
      <c r="Z459" s="5" t="s">
        <v>97</v>
      </c>
      <c r="AA459" s="5" t="s">
        <v>973</v>
      </c>
      <c r="AB459" s="6" t="s">
        <v>99</v>
      </c>
      <c r="AC459" s="79" t="s">
        <v>5215</v>
      </c>
      <c r="AD459" s="79" t="s">
        <v>5216</v>
      </c>
      <c r="AE459" s="75" t="s">
        <v>5217</v>
      </c>
      <c r="AF459" s="88" t="s">
        <v>5218</v>
      </c>
      <c r="AG459" s="33" t="s">
        <v>5219</v>
      </c>
      <c r="AH459" s="95" t="s">
        <v>5220</v>
      </c>
      <c r="AI459" s="187" t="s">
        <v>5221</v>
      </c>
      <c r="AJ459" s="186" t="s">
        <v>5222</v>
      </c>
      <c r="AK459" s="75"/>
      <c r="AL459" s="88" t="s">
        <v>5223</v>
      </c>
      <c r="AM459" s="179" t="s">
        <v>5224</v>
      </c>
      <c r="AN459" s="82"/>
      <c r="AO459" s="82" t="s">
        <v>5225</v>
      </c>
      <c r="AP459" s="82" t="s">
        <v>5226</v>
      </c>
      <c r="AQ459" s="82" t="s">
        <v>5227</v>
      </c>
      <c r="AR459" s="20" t="s">
        <v>97</v>
      </c>
      <c r="AS459" s="20" t="s">
        <v>107</v>
      </c>
      <c r="AT459" s="20"/>
      <c r="AU459" s="24">
        <v>0.6</v>
      </c>
      <c r="AV459" s="24">
        <f t="shared" si="90"/>
        <v>0.48</v>
      </c>
      <c r="AW459" s="24">
        <f t="shared" si="91"/>
        <v>0.36</v>
      </c>
      <c r="AX459" s="25">
        <v>1E-4</v>
      </c>
      <c r="AY459" s="24">
        <v>0</v>
      </c>
      <c r="AZ459" s="24">
        <f t="shared" si="92"/>
        <v>0.54</v>
      </c>
      <c r="BA459" s="24">
        <f t="shared" si="93"/>
        <v>0.43200000000000005</v>
      </c>
      <c r="BB459" s="24">
        <f t="shared" si="94"/>
        <v>0.32400000000000001</v>
      </c>
      <c r="BC459" s="25">
        <v>1E-4</v>
      </c>
      <c r="BD459" s="24">
        <v>0</v>
      </c>
      <c r="BE459" s="34">
        <v>10</v>
      </c>
      <c r="BF459" s="34">
        <f t="shared" si="95"/>
        <v>8</v>
      </c>
      <c r="BG459" s="34">
        <f t="shared" si="96"/>
        <v>6</v>
      </c>
      <c r="BH459" s="26">
        <v>1</v>
      </c>
      <c r="BI459" s="26">
        <v>0</v>
      </c>
      <c r="BJ459" s="27"/>
      <c r="BK459" s="27"/>
      <c r="BL459" s="27"/>
      <c r="BM459" s="27" t="s">
        <v>5228</v>
      </c>
      <c r="BN459" s="26"/>
      <c r="BO459" s="34"/>
      <c r="BP459" s="34"/>
      <c r="BQ459" s="34"/>
      <c r="BR459" s="34"/>
      <c r="BS459" s="34"/>
      <c r="BT459" s="34"/>
      <c r="BU459" s="34"/>
      <c r="BV459" s="34"/>
      <c r="BW459" s="34"/>
      <c r="BX459" s="34"/>
      <c r="BY459" s="34"/>
      <c r="BZ459" s="34"/>
      <c r="CA459" s="20"/>
      <c r="CB459" s="20"/>
      <c r="CC459" s="218">
        <v>46044</v>
      </c>
      <c r="CD459" s="51" t="s">
        <v>7326</v>
      </c>
    </row>
    <row r="460" spans="1:82" s="18" customFormat="1" ht="66.75" customHeight="1" x14ac:dyDescent="0.2">
      <c r="A460" s="121">
        <v>456</v>
      </c>
      <c r="B460" s="141" t="s">
        <v>5229</v>
      </c>
      <c r="C460" s="6" t="s">
        <v>5230</v>
      </c>
      <c r="D460" s="214" t="s">
        <v>5231</v>
      </c>
      <c r="E460" s="75" t="s">
        <v>174</v>
      </c>
      <c r="F460" s="4" t="s">
        <v>4197</v>
      </c>
      <c r="G460" s="5" t="s">
        <v>84</v>
      </c>
      <c r="H460" s="6" t="s">
        <v>775</v>
      </c>
      <c r="I460" s="90" t="s">
        <v>4198</v>
      </c>
      <c r="J460" s="90"/>
      <c r="K460" s="90"/>
      <c r="L460" s="90"/>
      <c r="M460" s="82" t="s">
        <v>88</v>
      </c>
      <c r="N460" s="82" t="s">
        <v>245</v>
      </c>
      <c r="O460" s="82" t="s">
        <v>246</v>
      </c>
      <c r="P460" s="82" t="s">
        <v>5232</v>
      </c>
      <c r="Q460" s="82"/>
      <c r="R460" s="82" t="s">
        <v>175</v>
      </c>
      <c r="S460" s="5" t="s">
        <v>92</v>
      </c>
      <c r="T460" s="82" t="s">
        <v>93</v>
      </c>
      <c r="U460" s="91">
        <v>100</v>
      </c>
      <c r="V460" s="5" t="s">
        <v>94</v>
      </c>
      <c r="W460" s="5" t="s">
        <v>95</v>
      </c>
      <c r="X460" s="5">
        <v>2025</v>
      </c>
      <c r="Y460" s="5" t="s">
        <v>117</v>
      </c>
      <c r="Z460" s="5" t="s">
        <v>97</v>
      </c>
      <c r="AA460" s="5" t="s">
        <v>973</v>
      </c>
      <c r="AB460" s="6" t="s">
        <v>99</v>
      </c>
      <c r="AC460" s="79" t="s">
        <v>5233</v>
      </c>
      <c r="AD460" s="79" t="s">
        <v>5234</v>
      </c>
      <c r="AE460" s="49" t="s">
        <v>5235</v>
      </c>
      <c r="AF460" s="189" t="s">
        <v>5236</v>
      </c>
      <c r="AG460" s="96" t="s">
        <v>5219</v>
      </c>
      <c r="AH460" s="93" t="s">
        <v>5220</v>
      </c>
      <c r="AI460" s="47" t="s">
        <v>5237</v>
      </c>
      <c r="AJ460" s="190" t="s">
        <v>5238</v>
      </c>
      <c r="AK460" s="33"/>
      <c r="AL460" s="6" t="s">
        <v>5239</v>
      </c>
      <c r="AM460" s="198" t="s">
        <v>5224</v>
      </c>
      <c r="AN460" s="5"/>
      <c r="AO460" s="5" t="s">
        <v>5240</v>
      </c>
      <c r="AP460" s="5" t="s">
        <v>5241</v>
      </c>
      <c r="AQ460" s="82" t="s">
        <v>5242</v>
      </c>
      <c r="AR460" s="20" t="s">
        <v>97</v>
      </c>
      <c r="AS460" s="20" t="s">
        <v>107</v>
      </c>
      <c r="AT460" s="20"/>
      <c r="AU460" s="24">
        <v>0.5</v>
      </c>
      <c r="AV460" s="24">
        <f t="shared" si="90"/>
        <v>0.4</v>
      </c>
      <c r="AW460" s="24">
        <f t="shared" si="91"/>
        <v>0.3</v>
      </c>
      <c r="AX460" s="25">
        <v>1E-4</v>
      </c>
      <c r="AY460" s="24">
        <v>0</v>
      </c>
      <c r="AZ460" s="24">
        <f t="shared" si="92"/>
        <v>0.45</v>
      </c>
      <c r="BA460" s="24">
        <f t="shared" si="93"/>
        <v>0.36000000000000004</v>
      </c>
      <c r="BB460" s="24">
        <f t="shared" si="94"/>
        <v>0.27</v>
      </c>
      <c r="BC460" s="25">
        <v>1E-4</v>
      </c>
      <c r="BD460" s="24">
        <v>0</v>
      </c>
      <c r="BE460" s="34">
        <v>10</v>
      </c>
      <c r="BF460" s="34">
        <f t="shared" si="95"/>
        <v>8</v>
      </c>
      <c r="BG460" s="34">
        <f t="shared" si="96"/>
        <v>6</v>
      </c>
      <c r="BH460" s="26">
        <v>1</v>
      </c>
      <c r="BI460" s="26">
        <v>0</v>
      </c>
      <c r="BJ460" s="27"/>
      <c r="BK460" s="27"/>
      <c r="BL460" s="27"/>
      <c r="BM460" s="27" t="s">
        <v>5243</v>
      </c>
      <c r="BN460" s="26"/>
      <c r="BO460" s="34"/>
      <c r="BP460" s="34"/>
      <c r="BQ460" s="34"/>
      <c r="BR460" s="34"/>
      <c r="BS460" s="34"/>
      <c r="BT460" s="34"/>
      <c r="BU460" s="34"/>
      <c r="BV460" s="34"/>
      <c r="BW460" s="34"/>
      <c r="BX460" s="34"/>
      <c r="BY460" s="34"/>
      <c r="BZ460" s="34"/>
      <c r="CA460" s="20"/>
      <c r="CB460" s="20"/>
      <c r="CC460" s="218">
        <v>46044</v>
      </c>
      <c r="CD460" s="71" t="s">
        <v>7327</v>
      </c>
    </row>
    <row r="461" spans="1:82" s="18" customFormat="1" ht="66.75" customHeight="1" x14ac:dyDescent="0.2">
      <c r="A461" s="87">
        <v>457</v>
      </c>
      <c r="B461" s="141" t="s">
        <v>5244</v>
      </c>
      <c r="C461" s="82" t="s">
        <v>5245</v>
      </c>
      <c r="D461" s="6" t="s">
        <v>5246</v>
      </c>
      <c r="E461" s="75" t="s">
        <v>113</v>
      </c>
      <c r="F461" s="4" t="s">
        <v>4197</v>
      </c>
      <c r="G461" s="5" t="s">
        <v>84</v>
      </c>
      <c r="H461" s="6" t="s">
        <v>775</v>
      </c>
      <c r="I461" s="90" t="s">
        <v>4198</v>
      </c>
      <c r="J461" s="90"/>
      <c r="K461" s="90"/>
      <c r="L461" s="90"/>
      <c r="M461" s="82" t="s">
        <v>88</v>
      </c>
      <c r="N461" s="82" t="s">
        <v>245</v>
      </c>
      <c r="O461" s="82" t="s">
        <v>246</v>
      </c>
      <c r="P461" s="82" t="s">
        <v>5247</v>
      </c>
      <c r="Q461" s="82"/>
      <c r="R461" s="82" t="s">
        <v>175</v>
      </c>
      <c r="S461" s="5" t="s">
        <v>92</v>
      </c>
      <c r="T461" s="82" t="s">
        <v>93</v>
      </c>
      <c r="U461" s="91">
        <v>100</v>
      </c>
      <c r="V461" s="5" t="s">
        <v>94</v>
      </c>
      <c r="W461" s="5" t="s">
        <v>95</v>
      </c>
      <c r="X461" s="5">
        <v>2025</v>
      </c>
      <c r="Y461" s="5" t="s">
        <v>117</v>
      </c>
      <c r="Z461" s="5" t="s">
        <v>97</v>
      </c>
      <c r="AA461" s="5" t="s">
        <v>98</v>
      </c>
      <c r="AB461" s="6" t="s">
        <v>99</v>
      </c>
      <c r="AC461" s="79" t="s">
        <v>5233</v>
      </c>
      <c r="AD461" s="79" t="s">
        <v>5248</v>
      </c>
      <c r="AE461" s="49" t="s">
        <v>5249</v>
      </c>
      <c r="AF461" s="49" t="s">
        <v>5250</v>
      </c>
      <c r="AG461" s="33" t="s">
        <v>5219</v>
      </c>
      <c r="AH461" s="93" t="s">
        <v>5220</v>
      </c>
      <c r="AI461" s="49" t="s">
        <v>5251</v>
      </c>
      <c r="AJ461" s="6" t="s">
        <v>5252</v>
      </c>
      <c r="AK461" s="33"/>
      <c r="AL461" s="5" t="s">
        <v>5253</v>
      </c>
      <c r="AM461" s="5" t="s">
        <v>5254</v>
      </c>
      <c r="AN461" s="5"/>
      <c r="AO461" s="5" t="s">
        <v>5255</v>
      </c>
      <c r="AP461" s="5" t="s">
        <v>5256</v>
      </c>
      <c r="AQ461" s="82" t="s">
        <v>5257</v>
      </c>
      <c r="AR461" s="20" t="s">
        <v>97</v>
      </c>
      <c r="AS461" s="20" t="s">
        <v>107</v>
      </c>
      <c r="AT461" s="20"/>
      <c r="AU461" s="24">
        <v>0.2</v>
      </c>
      <c r="AV461" s="24">
        <f t="shared" si="90"/>
        <v>0.16000000000000003</v>
      </c>
      <c r="AW461" s="24">
        <f t="shared" si="91"/>
        <v>0.12</v>
      </c>
      <c r="AX461" s="25">
        <v>1E-4</v>
      </c>
      <c r="AY461" s="24">
        <v>0</v>
      </c>
      <c r="AZ461" s="24">
        <f t="shared" si="92"/>
        <v>0.18000000000000002</v>
      </c>
      <c r="BA461" s="24">
        <f t="shared" si="93"/>
        <v>0.14400000000000002</v>
      </c>
      <c r="BB461" s="24">
        <f t="shared" si="94"/>
        <v>0.10800000000000001</v>
      </c>
      <c r="BC461" s="25">
        <v>1E-4</v>
      </c>
      <c r="BD461" s="24">
        <v>0</v>
      </c>
      <c r="BE461" s="26">
        <v>0</v>
      </c>
      <c r="BF461" s="34">
        <f t="shared" si="95"/>
        <v>0</v>
      </c>
      <c r="BG461" s="34">
        <f t="shared" si="96"/>
        <v>0</v>
      </c>
      <c r="BH461" s="26">
        <v>0</v>
      </c>
      <c r="BI461" s="26">
        <v>0</v>
      </c>
      <c r="BJ461" s="27"/>
      <c r="BK461" s="27"/>
      <c r="BL461" s="27"/>
      <c r="BM461" s="27" t="s">
        <v>5258</v>
      </c>
      <c r="BN461" s="26"/>
      <c r="BO461" s="34"/>
      <c r="BP461" s="34"/>
      <c r="BQ461" s="34"/>
      <c r="BR461" s="34"/>
      <c r="BS461" s="34"/>
      <c r="BT461" s="34"/>
      <c r="BU461" s="34"/>
      <c r="BV461" s="34"/>
      <c r="BW461" s="34"/>
      <c r="BX461" s="34"/>
      <c r="BY461" s="34"/>
      <c r="BZ461" s="34"/>
      <c r="CA461" s="20"/>
      <c r="CB461" s="20"/>
      <c r="CC461" s="218">
        <v>46044</v>
      </c>
      <c r="CD461" s="71" t="s">
        <v>7328</v>
      </c>
    </row>
    <row r="462" spans="1:82" s="18" customFormat="1" ht="66.75" customHeight="1" x14ac:dyDescent="0.2">
      <c r="A462" s="87">
        <v>458</v>
      </c>
      <c r="B462" s="141" t="s">
        <v>5259</v>
      </c>
      <c r="C462" s="82" t="s">
        <v>5260</v>
      </c>
      <c r="D462" s="6" t="s">
        <v>5261</v>
      </c>
      <c r="E462" s="75" t="s">
        <v>113</v>
      </c>
      <c r="F462" s="4" t="s">
        <v>4197</v>
      </c>
      <c r="G462" s="5" t="s">
        <v>84</v>
      </c>
      <c r="H462" s="6" t="s">
        <v>775</v>
      </c>
      <c r="I462" s="90" t="s">
        <v>4198</v>
      </c>
      <c r="J462" s="90"/>
      <c r="K462" s="90"/>
      <c r="L462" s="90"/>
      <c r="M462" s="82" t="s">
        <v>88</v>
      </c>
      <c r="N462" s="82" t="s">
        <v>245</v>
      </c>
      <c r="O462" s="82" t="s">
        <v>246</v>
      </c>
      <c r="P462" s="82" t="s">
        <v>5262</v>
      </c>
      <c r="Q462" s="82"/>
      <c r="R462" s="82" t="s">
        <v>175</v>
      </c>
      <c r="S462" s="5" t="s">
        <v>92</v>
      </c>
      <c r="T462" s="82" t="s">
        <v>93</v>
      </c>
      <c r="U462" s="91">
        <v>100</v>
      </c>
      <c r="V462" s="5" t="s">
        <v>94</v>
      </c>
      <c r="W462" s="5" t="s">
        <v>95</v>
      </c>
      <c r="X462" s="5">
        <v>2025</v>
      </c>
      <c r="Y462" s="5" t="s">
        <v>117</v>
      </c>
      <c r="Z462" s="5" t="s">
        <v>97</v>
      </c>
      <c r="AA462" s="5" t="s">
        <v>1011</v>
      </c>
      <c r="AB462" s="6" t="s">
        <v>99</v>
      </c>
      <c r="AC462" s="79" t="s">
        <v>5233</v>
      </c>
      <c r="AD462" s="79" t="s">
        <v>5263</v>
      </c>
      <c r="AE462" s="49" t="s">
        <v>5264</v>
      </c>
      <c r="AF462" s="49" t="s">
        <v>5265</v>
      </c>
      <c r="AG462" s="33" t="s">
        <v>5219</v>
      </c>
      <c r="AH462" s="93" t="s">
        <v>5220</v>
      </c>
      <c r="AI462" s="49" t="s">
        <v>5266</v>
      </c>
      <c r="AJ462" s="6" t="s">
        <v>5267</v>
      </c>
      <c r="AK462" s="33"/>
      <c r="AL462" s="49" t="s">
        <v>5268</v>
      </c>
      <c r="AM462" s="5" t="s">
        <v>5254</v>
      </c>
      <c r="AN462" s="5"/>
      <c r="AO462" s="5" t="s">
        <v>5269</v>
      </c>
      <c r="AP462" s="5" t="s">
        <v>5270</v>
      </c>
      <c r="AQ462" s="82" t="s">
        <v>5271</v>
      </c>
      <c r="AR462" s="20" t="s">
        <v>97</v>
      </c>
      <c r="AS462" s="20" t="s">
        <v>107</v>
      </c>
      <c r="AT462" s="20"/>
      <c r="AU462" s="59">
        <v>0.2</v>
      </c>
      <c r="AV462" s="24">
        <f t="shared" si="90"/>
        <v>0.16000000000000003</v>
      </c>
      <c r="AW462" s="24">
        <f t="shared" si="91"/>
        <v>0.12</v>
      </c>
      <c r="AX462" s="25">
        <v>1E-4</v>
      </c>
      <c r="AY462" s="24">
        <v>0</v>
      </c>
      <c r="AZ462" s="24">
        <f t="shared" si="92"/>
        <v>0.18000000000000002</v>
      </c>
      <c r="BA462" s="24">
        <f t="shared" si="93"/>
        <v>0.14400000000000002</v>
      </c>
      <c r="BB462" s="24">
        <f t="shared" si="94"/>
        <v>0.10800000000000001</v>
      </c>
      <c r="BC462" s="25">
        <v>1E-4</v>
      </c>
      <c r="BD462" s="24">
        <v>0</v>
      </c>
      <c r="BE462" s="26">
        <v>0</v>
      </c>
      <c r="BF462" s="34">
        <f t="shared" si="95"/>
        <v>0</v>
      </c>
      <c r="BG462" s="34">
        <f t="shared" si="96"/>
        <v>0</v>
      </c>
      <c r="BH462" s="26">
        <v>0</v>
      </c>
      <c r="BI462" s="26">
        <v>0</v>
      </c>
      <c r="BJ462" s="27"/>
      <c r="BK462" s="27"/>
      <c r="BL462" s="27"/>
      <c r="BM462" s="27" t="s">
        <v>5272</v>
      </c>
      <c r="BN462" s="26"/>
      <c r="BO462" s="34"/>
      <c r="BP462" s="34"/>
      <c r="BQ462" s="34"/>
      <c r="BR462" s="34"/>
      <c r="BS462" s="34"/>
      <c r="BT462" s="34"/>
      <c r="BU462" s="34"/>
      <c r="BV462" s="34"/>
      <c r="BW462" s="34"/>
      <c r="BX462" s="34"/>
      <c r="BY462" s="34"/>
      <c r="BZ462" s="34"/>
      <c r="CA462" s="20"/>
      <c r="CB462" s="20"/>
      <c r="CC462" s="218">
        <v>46044</v>
      </c>
      <c r="CD462" s="71" t="s">
        <v>7329</v>
      </c>
    </row>
    <row r="463" spans="1:82" s="18" customFormat="1" ht="66.75" customHeight="1" x14ac:dyDescent="0.25">
      <c r="A463" s="121">
        <v>459</v>
      </c>
      <c r="B463" s="141" t="s">
        <v>5273</v>
      </c>
      <c r="C463" s="82" t="s">
        <v>5274</v>
      </c>
      <c r="D463" s="190" t="s">
        <v>5275</v>
      </c>
      <c r="E463" s="75" t="s">
        <v>174</v>
      </c>
      <c r="F463" s="4" t="s">
        <v>4197</v>
      </c>
      <c r="G463" s="5" t="s">
        <v>84</v>
      </c>
      <c r="H463" s="6" t="s">
        <v>775</v>
      </c>
      <c r="I463" s="90" t="s">
        <v>4198</v>
      </c>
      <c r="J463" s="90"/>
      <c r="K463" s="90"/>
      <c r="L463" s="90"/>
      <c r="M463" s="82" t="s">
        <v>88</v>
      </c>
      <c r="N463" s="82" t="s">
        <v>245</v>
      </c>
      <c r="O463" s="6" t="s">
        <v>116</v>
      </c>
      <c r="P463" s="82" t="s">
        <v>5276</v>
      </c>
      <c r="Q463" s="82"/>
      <c r="R463" s="82" t="s">
        <v>175</v>
      </c>
      <c r="S463" s="5" t="s">
        <v>92</v>
      </c>
      <c r="T463" s="82" t="s">
        <v>93</v>
      </c>
      <c r="U463" s="91">
        <v>100</v>
      </c>
      <c r="V463" s="5" t="s">
        <v>94</v>
      </c>
      <c r="W463" s="5" t="s">
        <v>95</v>
      </c>
      <c r="X463" s="5">
        <v>2025</v>
      </c>
      <c r="Y463" s="5" t="s">
        <v>117</v>
      </c>
      <c r="Z463" s="5" t="s">
        <v>97</v>
      </c>
      <c r="AA463" s="5" t="s">
        <v>973</v>
      </c>
      <c r="AB463" s="6" t="s">
        <v>99</v>
      </c>
      <c r="AC463" s="79" t="s">
        <v>5277</v>
      </c>
      <c r="AD463" s="79" t="s">
        <v>5278</v>
      </c>
      <c r="AE463" s="88" t="s">
        <v>5279</v>
      </c>
      <c r="AF463" s="47" t="s">
        <v>5280</v>
      </c>
      <c r="AG463" s="96" t="s">
        <v>5219</v>
      </c>
      <c r="AH463" s="191" t="s">
        <v>5220</v>
      </c>
      <c r="AI463" s="6" t="s">
        <v>5281</v>
      </c>
      <c r="AJ463" s="190" t="s">
        <v>5282</v>
      </c>
      <c r="AK463" s="5"/>
      <c r="AL463" s="75" t="s">
        <v>5283</v>
      </c>
      <c r="AM463" s="198" t="s">
        <v>5224</v>
      </c>
      <c r="AN463" s="5"/>
      <c r="AO463" s="5" t="s">
        <v>5284</v>
      </c>
      <c r="AP463" s="5" t="s">
        <v>5285</v>
      </c>
      <c r="AQ463" s="82" t="s">
        <v>5286</v>
      </c>
      <c r="AR463" s="20" t="s">
        <v>97</v>
      </c>
      <c r="AS463" s="20" t="s">
        <v>107</v>
      </c>
      <c r="AT463" s="20"/>
      <c r="AU463" s="59">
        <v>0.45</v>
      </c>
      <c r="AV463" s="24">
        <f t="shared" si="90"/>
        <v>0.36000000000000004</v>
      </c>
      <c r="AW463" s="24">
        <f t="shared" si="91"/>
        <v>0.27</v>
      </c>
      <c r="AX463" s="25">
        <v>1E-4</v>
      </c>
      <c r="AY463" s="24">
        <v>0</v>
      </c>
      <c r="AZ463" s="24">
        <f t="shared" si="92"/>
        <v>0.40500000000000003</v>
      </c>
      <c r="BA463" s="24">
        <f t="shared" si="93"/>
        <v>0.32400000000000007</v>
      </c>
      <c r="BB463" s="24">
        <f t="shared" si="94"/>
        <v>0.24299999999999999</v>
      </c>
      <c r="BC463" s="25">
        <v>1E-4</v>
      </c>
      <c r="BD463" s="24">
        <v>0</v>
      </c>
      <c r="BE463" s="20">
        <v>10</v>
      </c>
      <c r="BF463" s="34">
        <f t="shared" si="95"/>
        <v>8</v>
      </c>
      <c r="BG463" s="34">
        <f t="shared" si="96"/>
        <v>6</v>
      </c>
      <c r="BH463" s="26">
        <v>1</v>
      </c>
      <c r="BI463" s="20">
        <v>0</v>
      </c>
      <c r="BJ463" s="20"/>
      <c r="BK463" s="20"/>
      <c r="BL463" s="27"/>
      <c r="BM463" s="27" t="s">
        <v>5287</v>
      </c>
      <c r="BN463" s="26"/>
      <c r="BO463" s="34"/>
      <c r="BP463" s="34"/>
      <c r="BQ463" s="34"/>
      <c r="BR463" s="34"/>
      <c r="BS463" s="34"/>
      <c r="BT463" s="34"/>
      <c r="BU463" s="34"/>
      <c r="BV463" s="34"/>
      <c r="BW463" s="34"/>
      <c r="BX463" s="34"/>
      <c r="BY463" s="34"/>
      <c r="BZ463" s="34"/>
      <c r="CA463" s="20"/>
      <c r="CB463" s="20"/>
      <c r="CC463" s="218">
        <v>46044</v>
      </c>
      <c r="CD463" s="51" t="s">
        <v>7330</v>
      </c>
    </row>
    <row r="464" spans="1:82" s="18" customFormat="1" ht="66.75" customHeight="1" x14ac:dyDescent="0.25">
      <c r="A464" s="87">
        <v>460</v>
      </c>
      <c r="B464" s="142" t="s">
        <v>5288</v>
      </c>
      <c r="C464" s="11" t="s">
        <v>5289</v>
      </c>
      <c r="D464" s="42" t="s">
        <v>7380</v>
      </c>
      <c r="E464" s="75" t="s">
        <v>174</v>
      </c>
      <c r="F464" s="12" t="s">
        <v>4197</v>
      </c>
      <c r="G464" s="7" t="s">
        <v>84</v>
      </c>
      <c r="H464" s="14" t="s">
        <v>114</v>
      </c>
      <c r="I464" s="90" t="s">
        <v>4198</v>
      </c>
      <c r="J464" s="90"/>
      <c r="K464" s="90"/>
      <c r="L464" s="90"/>
      <c r="M464" s="11" t="s">
        <v>88</v>
      </c>
      <c r="N464" s="11" t="s">
        <v>245</v>
      </c>
      <c r="O464" s="2" t="s">
        <v>116</v>
      </c>
      <c r="P464" s="11" t="s">
        <v>578</v>
      </c>
      <c r="Q464" s="11"/>
      <c r="R464" s="11" t="s">
        <v>175</v>
      </c>
      <c r="S464" s="5" t="s">
        <v>92</v>
      </c>
      <c r="T464" s="11" t="s">
        <v>93</v>
      </c>
      <c r="U464" s="181">
        <v>100</v>
      </c>
      <c r="V464" s="7" t="s">
        <v>94</v>
      </c>
      <c r="W464" s="7" t="s">
        <v>95</v>
      </c>
      <c r="X464" s="7">
        <v>2025</v>
      </c>
      <c r="Y464" s="5" t="s">
        <v>117</v>
      </c>
      <c r="Z464" s="7" t="s">
        <v>97</v>
      </c>
      <c r="AA464" s="7" t="s">
        <v>98</v>
      </c>
      <c r="AB464" s="2" t="s">
        <v>99</v>
      </c>
      <c r="AC464" s="177" t="s">
        <v>7577</v>
      </c>
      <c r="AD464" s="177" t="s">
        <v>7399</v>
      </c>
      <c r="AE464" s="192" t="s">
        <v>5290</v>
      </c>
      <c r="AF464" s="193" t="s">
        <v>7580</v>
      </c>
      <c r="AG464" s="7" t="s">
        <v>5219</v>
      </c>
      <c r="AH464" s="70" t="s">
        <v>5220</v>
      </c>
      <c r="AI464" s="2" t="s">
        <v>7582</v>
      </c>
      <c r="AJ464" s="2" t="s">
        <v>7583</v>
      </c>
      <c r="AK464" s="21"/>
      <c r="AL464" s="196" t="s">
        <v>5291</v>
      </c>
      <c r="AM464" s="198" t="s">
        <v>5224</v>
      </c>
      <c r="AN464" s="7"/>
      <c r="AO464" s="7" t="s">
        <v>5292</v>
      </c>
      <c r="AP464" s="7" t="s">
        <v>5293</v>
      </c>
      <c r="AQ464" s="11" t="s">
        <v>5294</v>
      </c>
      <c r="AR464" s="20" t="s">
        <v>97</v>
      </c>
      <c r="AS464" s="20" t="s">
        <v>107</v>
      </c>
      <c r="AT464" s="20"/>
      <c r="AU464" s="59">
        <v>0.8</v>
      </c>
      <c r="AV464" s="24">
        <f t="shared" si="90"/>
        <v>0.64000000000000012</v>
      </c>
      <c r="AW464" s="24">
        <f t="shared" si="91"/>
        <v>0.48</v>
      </c>
      <c r="AX464" s="25">
        <v>1E-4</v>
      </c>
      <c r="AY464" s="24">
        <v>0</v>
      </c>
      <c r="AZ464" s="24">
        <f t="shared" si="92"/>
        <v>0.72000000000000008</v>
      </c>
      <c r="BA464" s="24">
        <f t="shared" si="93"/>
        <v>0.57600000000000007</v>
      </c>
      <c r="BB464" s="24">
        <f t="shared" si="94"/>
        <v>0.43200000000000005</v>
      </c>
      <c r="BC464" s="25">
        <v>1E-4</v>
      </c>
      <c r="BD464" s="24">
        <v>0</v>
      </c>
      <c r="BE464" s="20">
        <v>20</v>
      </c>
      <c r="BF464" s="34">
        <f t="shared" si="95"/>
        <v>16</v>
      </c>
      <c r="BG464" s="34">
        <f t="shared" si="96"/>
        <v>12</v>
      </c>
      <c r="BH464" s="26">
        <v>1</v>
      </c>
      <c r="BI464" s="20">
        <v>0</v>
      </c>
      <c r="BJ464" s="33"/>
      <c r="BK464" s="33"/>
      <c r="BL464" s="33"/>
      <c r="BM464" s="27" t="s">
        <v>5295</v>
      </c>
      <c r="BN464" s="26"/>
      <c r="BO464" s="34"/>
      <c r="BP464" s="34"/>
      <c r="BQ464" s="34"/>
      <c r="BR464" s="34"/>
      <c r="BS464" s="34"/>
      <c r="BT464" s="34"/>
      <c r="BU464" s="34"/>
      <c r="BV464" s="34"/>
      <c r="BW464" s="34"/>
      <c r="BX464" s="34"/>
      <c r="BY464" s="34"/>
      <c r="BZ464" s="34"/>
      <c r="CA464" s="20"/>
      <c r="CB464" s="33"/>
      <c r="CC464" s="218">
        <v>46044</v>
      </c>
      <c r="CD464" s="51" t="s">
        <v>7331</v>
      </c>
    </row>
    <row r="465" spans="1:82" s="18" customFormat="1" ht="66.75" customHeight="1" x14ac:dyDescent="0.25">
      <c r="A465" s="87">
        <v>461</v>
      </c>
      <c r="B465" s="141" t="s">
        <v>5296</v>
      </c>
      <c r="C465" s="6" t="s">
        <v>5297</v>
      </c>
      <c r="D465" s="6" t="s">
        <v>5298</v>
      </c>
      <c r="E465" s="75" t="s">
        <v>174</v>
      </c>
      <c r="F465" s="4" t="s">
        <v>81</v>
      </c>
      <c r="G465" s="5" t="s">
        <v>84</v>
      </c>
      <c r="H465" s="6" t="s">
        <v>775</v>
      </c>
      <c r="I465" s="6" t="s">
        <v>1948</v>
      </c>
      <c r="J465" s="6" t="s">
        <v>115</v>
      </c>
      <c r="K465" s="6"/>
      <c r="L465" s="6"/>
      <c r="M465" s="6" t="s">
        <v>88</v>
      </c>
      <c r="N465" s="6" t="s">
        <v>89</v>
      </c>
      <c r="O465" s="6" t="s">
        <v>116</v>
      </c>
      <c r="P465" s="6" t="s">
        <v>1949</v>
      </c>
      <c r="Q465" s="6"/>
      <c r="R465" s="82" t="s">
        <v>175</v>
      </c>
      <c r="S465" s="5" t="s">
        <v>92</v>
      </c>
      <c r="T465" s="5" t="s">
        <v>93</v>
      </c>
      <c r="U465" s="91">
        <v>100</v>
      </c>
      <c r="V465" s="5" t="s">
        <v>94</v>
      </c>
      <c r="W465" s="5" t="s">
        <v>95</v>
      </c>
      <c r="X465" s="5">
        <v>2023</v>
      </c>
      <c r="Y465" s="5" t="s">
        <v>117</v>
      </c>
      <c r="Z465" s="5" t="s">
        <v>95</v>
      </c>
      <c r="AA465" s="5" t="s">
        <v>98</v>
      </c>
      <c r="AB465" s="6" t="s">
        <v>99</v>
      </c>
      <c r="AC465" s="79" t="s">
        <v>5299</v>
      </c>
      <c r="AD465" s="79" t="s">
        <v>7556</v>
      </c>
      <c r="AE465" s="47" t="s">
        <v>5300</v>
      </c>
      <c r="AF465" s="6" t="s">
        <v>121</v>
      </c>
      <c r="AG465" s="49" t="s">
        <v>178</v>
      </c>
      <c r="AH465" s="6" t="s">
        <v>123</v>
      </c>
      <c r="AI465" s="6" t="s">
        <v>5301</v>
      </c>
      <c r="AJ465" s="6" t="s">
        <v>5302</v>
      </c>
      <c r="AK465" s="5" t="s">
        <v>97</v>
      </c>
      <c r="AL465" s="33" t="s">
        <v>97</v>
      </c>
      <c r="AM465" s="5" t="s">
        <v>5303</v>
      </c>
      <c r="AN465" s="5" t="s">
        <v>5304</v>
      </c>
      <c r="AO465" s="5"/>
      <c r="AP465" s="5"/>
      <c r="AQ465" s="6" t="s">
        <v>1956</v>
      </c>
      <c r="AR465" s="20" t="s">
        <v>95</v>
      </c>
      <c r="AS465" s="20" t="s">
        <v>185</v>
      </c>
      <c r="AT465" s="7" t="s">
        <v>5305</v>
      </c>
      <c r="AU465" s="24">
        <v>0.35</v>
      </c>
      <c r="AV465" s="24">
        <f t="shared" si="90"/>
        <v>0.27999999999999997</v>
      </c>
      <c r="AW465" s="24">
        <f t="shared" si="91"/>
        <v>0.21</v>
      </c>
      <c r="AX465" s="25">
        <v>1E-4</v>
      </c>
      <c r="AY465" s="24">
        <v>0</v>
      </c>
      <c r="AZ465" s="24">
        <f t="shared" si="92"/>
        <v>0.315</v>
      </c>
      <c r="BA465" s="24">
        <f t="shared" si="93"/>
        <v>0.252</v>
      </c>
      <c r="BB465" s="24">
        <f t="shared" si="94"/>
        <v>0.189</v>
      </c>
      <c r="BC465" s="25">
        <v>1E-4</v>
      </c>
      <c r="BD465" s="24">
        <v>0</v>
      </c>
      <c r="BE465" s="26">
        <v>20</v>
      </c>
      <c r="BF465" s="34">
        <f t="shared" si="95"/>
        <v>16</v>
      </c>
      <c r="BG465" s="34">
        <f t="shared" si="96"/>
        <v>12</v>
      </c>
      <c r="BH465" s="26">
        <v>1</v>
      </c>
      <c r="BI465" s="26">
        <v>0</v>
      </c>
      <c r="BJ465" s="27"/>
      <c r="BK465" s="27"/>
      <c r="BL465" s="27"/>
      <c r="BM465" s="27" t="s">
        <v>5306</v>
      </c>
      <c r="BN465" s="26"/>
      <c r="BO465" s="34"/>
      <c r="BP465" s="34"/>
      <c r="BQ465" s="34"/>
      <c r="BR465" s="34"/>
      <c r="BS465" s="34"/>
      <c r="BT465" s="34"/>
      <c r="BU465" s="34"/>
      <c r="BV465" s="34"/>
      <c r="BW465" s="34"/>
      <c r="BX465" s="34"/>
      <c r="BY465" s="34"/>
      <c r="BZ465" s="34">
        <v>1</v>
      </c>
      <c r="CA465" s="20" t="s">
        <v>1948</v>
      </c>
      <c r="CB465" s="20" t="s">
        <v>1948</v>
      </c>
      <c r="CC465" s="219">
        <v>46097</v>
      </c>
      <c r="CD465" s="42" t="s">
        <v>7569</v>
      </c>
    </row>
    <row r="466" spans="1:82" s="18" customFormat="1" ht="141.75" customHeight="1" x14ac:dyDescent="0.25">
      <c r="A466" s="121">
        <v>462</v>
      </c>
      <c r="B466" s="141" t="s">
        <v>5307</v>
      </c>
      <c r="C466" s="6" t="s">
        <v>5308</v>
      </c>
      <c r="D466" s="6" t="s">
        <v>5309</v>
      </c>
      <c r="E466" s="75" t="s">
        <v>174</v>
      </c>
      <c r="F466" s="4" t="s">
        <v>81</v>
      </c>
      <c r="G466" s="5">
        <v>51</v>
      </c>
      <c r="H466" s="6" t="s">
        <v>775</v>
      </c>
      <c r="I466" s="6" t="s">
        <v>1948</v>
      </c>
      <c r="J466" s="6" t="s">
        <v>1975</v>
      </c>
      <c r="K466" s="6"/>
      <c r="L466" s="6"/>
      <c r="M466" s="6" t="s">
        <v>136</v>
      </c>
      <c r="N466" s="6" t="s">
        <v>89</v>
      </c>
      <c r="O466" s="6" t="s">
        <v>579</v>
      </c>
      <c r="P466" s="6" t="s">
        <v>5310</v>
      </c>
      <c r="Q466" s="6"/>
      <c r="R466" s="82" t="s">
        <v>91</v>
      </c>
      <c r="S466" s="5" t="s">
        <v>92</v>
      </c>
      <c r="T466" s="5" t="s">
        <v>93</v>
      </c>
      <c r="U466" s="91">
        <v>100</v>
      </c>
      <c r="V466" s="5" t="s">
        <v>94</v>
      </c>
      <c r="W466" s="5" t="s">
        <v>95</v>
      </c>
      <c r="X466" s="5">
        <v>2018</v>
      </c>
      <c r="Y466" s="5" t="s">
        <v>117</v>
      </c>
      <c r="Z466" s="5" t="s">
        <v>95</v>
      </c>
      <c r="AA466" s="5" t="s">
        <v>98</v>
      </c>
      <c r="AB466" s="6" t="s">
        <v>99</v>
      </c>
      <c r="AC466" s="79" t="s">
        <v>7530</v>
      </c>
      <c r="AD466" s="79" t="s">
        <v>5311</v>
      </c>
      <c r="AE466" s="6" t="s">
        <v>5312</v>
      </c>
      <c r="AF466" s="49" t="s">
        <v>121</v>
      </c>
      <c r="AG466" s="6" t="s">
        <v>1042</v>
      </c>
      <c r="AH466" s="6" t="s">
        <v>123</v>
      </c>
      <c r="AI466" s="6" t="s">
        <v>7531</v>
      </c>
      <c r="AJ466" s="6" t="s">
        <v>5314</v>
      </c>
      <c r="AK466" s="33" t="s">
        <v>97</v>
      </c>
      <c r="AL466" s="33" t="s">
        <v>97</v>
      </c>
      <c r="AM466" s="5" t="s">
        <v>5315</v>
      </c>
      <c r="AN466" s="5"/>
      <c r="AO466" s="5"/>
      <c r="AP466" s="5"/>
      <c r="AQ466" s="6" t="s">
        <v>1956</v>
      </c>
      <c r="AR466" s="20" t="s">
        <v>95</v>
      </c>
      <c r="AS466" s="20" t="s">
        <v>185</v>
      </c>
      <c r="AT466" s="7" t="s">
        <v>5316</v>
      </c>
      <c r="AU466" s="68">
        <v>0.25</v>
      </c>
      <c r="AV466" s="24">
        <f t="shared" si="90"/>
        <v>0.2</v>
      </c>
      <c r="AW466" s="24">
        <f t="shared" si="91"/>
        <v>0.15</v>
      </c>
      <c r="AX466" s="25">
        <v>1E-4</v>
      </c>
      <c r="AY466" s="24">
        <v>0</v>
      </c>
      <c r="AZ466" s="24">
        <f t="shared" si="92"/>
        <v>0.22500000000000001</v>
      </c>
      <c r="BA466" s="24">
        <f t="shared" si="93"/>
        <v>0.18000000000000002</v>
      </c>
      <c r="BB466" s="24">
        <f t="shared" si="94"/>
        <v>0.13500000000000001</v>
      </c>
      <c r="BC466" s="25">
        <v>1E-4</v>
      </c>
      <c r="BD466" s="24">
        <v>0</v>
      </c>
      <c r="BE466" s="26">
        <v>20</v>
      </c>
      <c r="BF466" s="34">
        <f t="shared" si="95"/>
        <v>16</v>
      </c>
      <c r="BG466" s="34">
        <f t="shared" si="96"/>
        <v>12</v>
      </c>
      <c r="BH466" s="26">
        <v>1</v>
      </c>
      <c r="BI466" s="26">
        <v>0</v>
      </c>
      <c r="BJ466" s="27"/>
      <c r="BK466" s="27"/>
      <c r="BL466" s="27" t="s">
        <v>5317</v>
      </c>
      <c r="BM466" s="27" t="s">
        <v>5318</v>
      </c>
      <c r="BN466" s="26"/>
      <c r="BO466" s="34"/>
      <c r="BP466" s="34"/>
      <c r="BQ466" s="34"/>
      <c r="BR466" s="34"/>
      <c r="BS466" s="34"/>
      <c r="BT466" s="34"/>
      <c r="BU466" s="34"/>
      <c r="BV466" s="34"/>
      <c r="BW466" s="34"/>
      <c r="BX466" s="34"/>
      <c r="BY466" s="34"/>
      <c r="BZ466" s="34"/>
      <c r="CA466" s="20"/>
      <c r="CB466" s="20"/>
      <c r="CC466" s="28">
        <v>46086</v>
      </c>
      <c r="CD466" s="42" t="s">
        <v>7468</v>
      </c>
    </row>
    <row r="467" spans="1:82" s="18" customFormat="1" ht="66.75" customHeight="1" x14ac:dyDescent="0.25">
      <c r="A467" s="87">
        <v>463</v>
      </c>
      <c r="B467" s="141" t="s">
        <v>5319</v>
      </c>
      <c r="C467" s="6" t="s">
        <v>5320</v>
      </c>
      <c r="D467" s="6" t="s">
        <v>5321</v>
      </c>
      <c r="E467" s="75" t="s">
        <v>174</v>
      </c>
      <c r="F467" s="4" t="s">
        <v>81</v>
      </c>
      <c r="G467" s="5">
        <v>99</v>
      </c>
      <c r="H467" s="6" t="s">
        <v>775</v>
      </c>
      <c r="I467" s="6" t="s">
        <v>2295</v>
      </c>
      <c r="J467" s="6"/>
      <c r="K467" s="6"/>
      <c r="L467" s="6"/>
      <c r="M467" s="6" t="s">
        <v>136</v>
      </c>
      <c r="N467" s="6" t="s">
        <v>89</v>
      </c>
      <c r="O467" s="6" t="s">
        <v>116</v>
      </c>
      <c r="P467" s="6" t="s">
        <v>2382</v>
      </c>
      <c r="Q467" s="6"/>
      <c r="R467" s="82" t="s">
        <v>91</v>
      </c>
      <c r="S467" s="5" t="s">
        <v>92</v>
      </c>
      <c r="T467" s="5" t="s">
        <v>93</v>
      </c>
      <c r="U467" s="91">
        <v>100</v>
      </c>
      <c r="V467" s="5" t="s">
        <v>94</v>
      </c>
      <c r="W467" s="5" t="s">
        <v>95</v>
      </c>
      <c r="X467" s="5">
        <v>2021</v>
      </c>
      <c r="Y467" s="5" t="s">
        <v>117</v>
      </c>
      <c r="Z467" s="5" t="s">
        <v>185</v>
      </c>
      <c r="AA467" s="5" t="s">
        <v>973</v>
      </c>
      <c r="AB467" s="6" t="s">
        <v>99</v>
      </c>
      <c r="AC467" s="79" t="s">
        <v>5322</v>
      </c>
      <c r="AD467" s="79" t="s">
        <v>2331</v>
      </c>
      <c r="AE467" s="6" t="s">
        <v>5323</v>
      </c>
      <c r="AF467" s="6" t="s">
        <v>5324</v>
      </c>
      <c r="AG467" s="6" t="s">
        <v>218</v>
      </c>
      <c r="AH467" s="6" t="s">
        <v>123</v>
      </c>
      <c r="AI467" s="6" t="s">
        <v>5325</v>
      </c>
      <c r="AJ467" s="6" t="s">
        <v>5326</v>
      </c>
      <c r="AK467" s="5" t="s">
        <v>5327</v>
      </c>
      <c r="AL467" s="5" t="s">
        <v>5328</v>
      </c>
      <c r="AM467" s="5" t="s">
        <v>2321</v>
      </c>
      <c r="AN467" s="5" t="s">
        <v>470</v>
      </c>
      <c r="AO467" s="5" t="s">
        <v>5329</v>
      </c>
      <c r="AP467" s="5" t="s">
        <v>5330</v>
      </c>
      <c r="AQ467" s="6" t="s">
        <v>2390</v>
      </c>
      <c r="AR467" s="20" t="s">
        <v>97</v>
      </c>
      <c r="AS467" s="20" t="s">
        <v>107</v>
      </c>
      <c r="AT467" s="20"/>
      <c r="AU467" s="24">
        <v>0.6</v>
      </c>
      <c r="AV467" s="24">
        <f t="shared" si="90"/>
        <v>0.48</v>
      </c>
      <c r="AW467" s="24">
        <f t="shared" si="91"/>
        <v>0.36</v>
      </c>
      <c r="AX467" s="25">
        <v>1E-4</v>
      </c>
      <c r="AY467" s="24">
        <v>0</v>
      </c>
      <c r="AZ467" s="24">
        <f t="shared" si="92"/>
        <v>0.54</v>
      </c>
      <c r="BA467" s="24">
        <f t="shared" si="93"/>
        <v>0.43200000000000005</v>
      </c>
      <c r="BB467" s="24">
        <f t="shared" si="94"/>
        <v>0.32400000000000001</v>
      </c>
      <c r="BC467" s="25">
        <v>1E-4</v>
      </c>
      <c r="BD467" s="24">
        <v>0</v>
      </c>
      <c r="BE467" s="34">
        <v>10</v>
      </c>
      <c r="BF467" s="34">
        <f t="shared" si="95"/>
        <v>8</v>
      </c>
      <c r="BG467" s="34">
        <f t="shared" si="96"/>
        <v>6</v>
      </c>
      <c r="BH467" s="26">
        <v>1</v>
      </c>
      <c r="BI467" s="26">
        <v>0</v>
      </c>
      <c r="BJ467" s="27">
        <v>0.51200000000000001</v>
      </c>
      <c r="BK467" s="27">
        <v>0.51637250686506109</v>
      </c>
      <c r="BL467" s="27" t="s">
        <v>5331</v>
      </c>
      <c r="BM467" s="27" t="s">
        <v>5332</v>
      </c>
      <c r="BN467" s="26"/>
      <c r="BO467" s="34"/>
      <c r="BP467" s="34"/>
      <c r="BQ467" s="34"/>
      <c r="BR467" s="34"/>
      <c r="BS467" s="34"/>
      <c r="BT467" s="34"/>
      <c r="BU467" s="34"/>
      <c r="BV467" s="34"/>
      <c r="BW467" s="34"/>
      <c r="BX467" s="34"/>
      <c r="BY467" s="34"/>
      <c r="BZ467" s="34">
        <v>1</v>
      </c>
      <c r="CA467" s="20" t="s">
        <v>2295</v>
      </c>
      <c r="CB467" s="20" t="s">
        <v>2295</v>
      </c>
      <c r="CC467" s="29">
        <v>46003</v>
      </c>
      <c r="CD467" s="35" t="s">
        <v>5333</v>
      </c>
    </row>
    <row r="468" spans="1:82" s="18" customFormat="1" ht="66.75" customHeight="1" x14ac:dyDescent="0.25">
      <c r="A468" s="87">
        <v>464</v>
      </c>
      <c r="B468" s="141" t="s">
        <v>5334</v>
      </c>
      <c r="C468" s="6" t="s">
        <v>5335</v>
      </c>
      <c r="D468" s="6" t="s">
        <v>5336</v>
      </c>
      <c r="E468" s="75" t="s">
        <v>174</v>
      </c>
      <c r="F468" s="4" t="s">
        <v>81</v>
      </c>
      <c r="G468" s="5">
        <v>100</v>
      </c>
      <c r="H468" s="6" t="s">
        <v>775</v>
      </c>
      <c r="I468" s="6" t="s">
        <v>2295</v>
      </c>
      <c r="J468" s="6"/>
      <c r="K468" s="6"/>
      <c r="L468" s="6"/>
      <c r="M468" s="6" t="s">
        <v>136</v>
      </c>
      <c r="N468" s="6" t="s">
        <v>89</v>
      </c>
      <c r="O468" s="6" t="s">
        <v>116</v>
      </c>
      <c r="P468" s="6" t="s">
        <v>2382</v>
      </c>
      <c r="Q468" s="6"/>
      <c r="R468" s="82" t="s">
        <v>91</v>
      </c>
      <c r="S468" s="5" t="s">
        <v>92</v>
      </c>
      <c r="T468" s="5" t="s">
        <v>93</v>
      </c>
      <c r="U468" s="91">
        <v>100</v>
      </c>
      <c r="V468" s="5" t="s">
        <v>94</v>
      </c>
      <c r="W468" s="5" t="s">
        <v>95</v>
      </c>
      <c r="X468" s="5">
        <v>2021</v>
      </c>
      <c r="Y468" s="5" t="s">
        <v>117</v>
      </c>
      <c r="Z468" s="5" t="s">
        <v>185</v>
      </c>
      <c r="AA468" s="5" t="s">
        <v>973</v>
      </c>
      <c r="AB468" s="6" t="s">
        <v>99</v>
      </c>
      <c r="AC468" s="79" t="s">
        <v>5337</v>
      </c>
      <c r="AD468" s="79" t="s">
        <v>2331</v>
      </c>
      <c r="AE468" s="6" t="s">
        <v>2385</v>
      </c>
      <c r="AF468" s="6" t="s">
        <v>5324</v>
      </c>
      <c r="AG468" s="6" t="s">
        <v>1042</v>
      </c>
      <c r="AH468" s="6" t="s">
        <v>123</v>
      </c>
      <c r="AI468" s="6" t="s">
        <v>5338</v>
      </c>
      <c r="AJ468" s="6" t="s">
        <v>5339</v>
      </c>
      <c r="AK468" s="5" t="s">
        <v>5328</v>
      </c>
      <c r="AL468" s="5" t="s">
        <v>5328</v>
      </c>
      <c r="AM468" s="5" t="s">
        <v>2321</v>
      </c>
      <c r="AN468" s="5" t="s">
        <v>470</v>
      </c>
      <c r="AO468" s="5" t="s">
        <v>5340</v>
      </c>
      <c r="AP468" s="5" t="s">
        <v>5330</v>
      </c>
      <c r="AQ468" s="49" t="s">
        <v>2390</v>
      </c>
      <c r="AR468" s="20" t="s">
        <v>95</v>
      </c>
      <c r="AS468" s="20" t="s">
        <v>107</v>
      </c>
      <c r="AT468" s="7"/>
      <c r="AU468" s="24">
        <v>0.35</v>
      </c>
      <c r="AV468" s="24">
        <f t="shared" si="90"/>
        <v>0.27999999999999997</v>
      </c>
      <c r="AW468" s="24">
        <f t="shared" si="91"/>
        <v>0.21</v>
      </c>
      <c r="AX468" s="25">
        <v>1E-4</v>
      </c>
      <c r="AY468" s="24">
        <v>0</v>
      </c>
      <c r="AZ468" s="24">
        <f t="shared" si="92"/>
        <v>0.315</v>
      </c>
      <c r="BA468" s="24">
        <f t="shared" si="93"/>
        <v>0.252</v>
      </c>
      <c r="BB468" s="24">
        <f t="shared" si="94"/>
        <v>0.189</v>
      </c>
      <c r="BC468" s="25">
        <v>1E-4</v>
      </c>
      <c r="BD468" s="24">
        <v>0</v>
      </c>
      <c r="BE468" s="34">
        <v>15</v>
      </c>
      <c r="BF468" s="34">
        <f t="shared" si="95"/>
        <v>12</v>
      </c>
      <c r="BG468" s="34">
        <f t="shared" si="96"/>
        <v>9</v>
      </c>
      <c r="BH468" s="26">
        <v>1</v>
      </c>
      <c r="BI468" s="26">
        <v>0</v>
      </c>
      <c r="BJ468" s="27">
        <v>0.26600000000000001</v>
      </c>
      <c r="BK468" s="27">
        <v>0.27195863090496608</v>
      </c>
      <c r="BL468" s="27" t="s">
        <v>5341</v>
      </c>
      <c r="BM468" s="27" t="s">
        <v>5342</v>
      </c>
      <c r="BN468" s="26"/>
      <c r="BO468" s="34"/>
      <c r="BP468" s="34"/>
      <c r="BQ468" s="34"/>
      <c r="BR468" s="34"/>
      <c r="BS468" s="34"/>
      <c r="BT468" s="34"/>
      <c r="BU468" s="34"/>
      <c r="BV468" s="34"/>
      <c r="BW468" s="34"/>
      <c r="BX468" s="34"/>
      <c r="BY468" s="34"/>
      <c r="BZ468" s="34">
        <v>1</v>
      </c>
      <c r="CA468" s="20" t="s">
        <v>2295</v>
      </c>
      <c r="CB468" s="20" t="s">
        <v>2295</v>
      </c>
      <c r="CC468" s="29">
        <v>46003</v>
      </c>
      <c r="CD468" s="42" t="s">
        <v>5343</v>
      </c>
    </row>
    <row r="469" spans="1:82" s="18" customFormat="1" ht="138" customHeight="1" x14ac:dyDescent="0.25">
      <c r="A469" s="121">
        <v>465</v>
      </c>
      <c r="B469" s="141" t="s">
        <v>5344</v>
      </c>
      <c r="C469" s="6" t="s">
        <v>5345</v>
      </c>
      <c r="D469" s="6" t="s">
        <v>5346</v>
      </c>
      <c r="E469" s="75" t="s">
        <v>174</v>
      </c>
      <c r="F469" s="4" t="s">
        <v>81</v>
      </c>
      <c r="G469" s="5" t="s">
        <v>84</v>
      </c>
      <c r="H469" s="6" t="s">
        <v>775</v>
      </c>
      <c r="I469" s="6" t="s">
        <v>2295</v>
      </c>
      <c r="J469" s="6"/>
      <c r="K469" s="6"/>
      <c r="L469" s="6"/>
      <c r="M469" s="6" t="s">
        <v>88</v>
      </c>
      <c r="N469" s="6" t="s">
        <v>89</v>
      </c>
      <c r="O469" s="6" t="s">
        <v>1444</v>
      </c>
      <c r="P469" s="6" t="s">
        <v>2675</v>
      </c>
      <c r="Q469" s="6"/>
      <c r="R469" s="82" t="s">
        <v>91</v>
      </c>
      <c r="S469" s="5" t="s">
        <v>92</v>
      </c>
      <c r="T469" s="5" t="s">
        <v>93</v>
      </c>
      <c r="U469" s="91">
        <v>100</v>
      </c>
      <c r="V469" s="5" t="s">
        <v>94</v>
      </c>
      <c r="W469" s="5" t="s">
        <v>95</v>
      </c>
      <c r="X469" s="5">
        <v>2021</v>
      </c>
      <c r="Y469" s="5" t="s">
        <v>117</v>
      </c>
      <c r="Z469" s="5" t="s">
        <v>95</v>
      </c>
      <c r="AA469" s="5" t="s">
        <v>98</v>
      </c>
      <c r="AB469" s="6" t="s">
        <v>99</v>
      </c>
      <c r="AC469" s="79" t="s">
        <v>5347</v>
      </c>
      <c r="AD469" s="79" t="s">
        <v>5348</v>
      </c>
      <c r="AE469" s="6" t="s">
        <v>5349</v>
      </c>
      <c r="AF469" s="47" t="s">
        <v>5350</v>
      </c>
      <c r="AG469" s="6" t="s">
        <v>5351</v>
      </c>
      <c r="AH469" s="6" t="s">
        <v>5352</v>
      </c>
      <c r="AI469" s="6" t="s">
        <v>5353</v>
      </c>
      <c r="AJ469" s="6" t="s">
        <v>5354</v>
      </c>
      <c r="AK469" s="33" t="s">
        <v>97</v>
      </c>
      <c r="AL469" s="33" t="s">
        <v>97</v>
      </c>
      <c r="AM469" s="5" t="s">
        <v>5355</v>
      </c>
      <c r="AN469" s="5" t="s">
        <v>470</v>
      </c>
      <c r="AO469" s="5" t="s">
        <v>5356</v>
      </c>
      <c r="AP469" s="5" t="s">
        <v>5357</v>
      </c>
      <c r="AQ469" s="49" t="s">
        <v>5358</v>
      </c>
      <c r="AR469" s="20" t="s">
        <v>97</v>
      </c>
      <c r="AS469" s="20" t="s">
        <v>107</v>
      </c>
      <c r="AT469" s="20"/>
      <c r="AU469" s="24">
        <v>0.55000000000000004</v>
      </c>
      <c r="AV469" s="24">
        <f t="shared" si="90"/>
        <v>0.44000000000000006</v>
      </c>
      <c r="AW469" s="24">
        <f t="shared" si="91"/>
        <v>0.33</v>
      </c>
      <c r="AX469" s="25">
        <v>1E-4</v>
      </c>
      <c r="AY469" s="24">
        <v>0</v>
      </c>
      <c r="AZ469" s="24">
        <f t="shared" si="92"/>
        <v>0.49500000000000005</v>
      </c>
      <c r="BA469" s="24">
        <f t="shared" si="93"/>
        <v>0.39600000000000007</v>
      </c>
      <c r="BB469" s="24">
        <f t="shared" si="94"/>
        <v>0.29700000000000004</v>
      </c>
      <c r="BC469" s="25">
        <v>1E-4</v>
      </c>
      <c r="BD469" s="24">
        <v>0</v>
      </c>
      <c r="BE469" s="34">
        <v>5</v>
      </c>
      <c r="BF469" s="34">
        <f t="shared" si="95"/>
        <v>4</v>
      </c>
      <c r="BG469" s="34">
        <f t="shared" si="96"/>
        <v>3</v>
      </c>
      <c r="BH469" s="26">
        <v>1</v>
      </c>
      <c r="BI469" s="26">
        <v>0</v>
      </c>
      <c r="BJ469" s="27">
        <v>0.23799999999999999</v>
      </c>
      <c r="BK469" s="27">
        <v>0.46978132816912771</v>
      </c>
      <c r="BL469" s="27" t="s">
        <v>5359</v>
      </c>
      <c r="BM469" s="27" t="s">
        <v>5360</v>
      </c>
      <c r="BN469" s="26"/>
      <c r="BO469" s="34"/>
      <c r="BP469" s="34"/>
      <c r="BQ469" s="34"/>
      <c r="BR469" s="34"/>
      <c r="BS469" s="34"/>
      <c r="BT469" s="34"/>
      <c r="BU469" s="34"/>
      <c r="BV469" s="34"/>
      <c r="BW469" s="34"/>
      <c r="BX469" s="34"/>
      <c r="BY469" s="34"/>
      <c r="BZ469" s="34">
        <v>1</v>
      </c>
      <c r="CA469" s="20" t="s">
        <v>2295</v>
      </c>
      <c r="CB469" s="20" t="s">
        <v>2295</v>
      </c>
      <c r="CC469" s="29">
        <v>46003</v>
      </c>
      <c r="CD469" s="42" t="s">
        <v>5361</v>
      </c>
    </row>
    <row r="470" spans="1:82" s="18" customFormat="1" ht="66.75" customHeight="1" x14ac:dyDescent="0.25">
      <c r="A470" s="87">
        <v>466</v>
      </c>
      <c r="B470" s="141" t="s">
        <v>5362</v>
      </c>
      <c r="C470" s="6" t="s">
        <v>5363</v>
      </c>
      <c r="D470" s="6" t="s">
        <v>5364</v>
      </c>
      <c r="E470" s="75" t="s">
        <v>174</v>
      </c>
      <c r="F470" s="4" t="s">
        <v>81</v>
      </c>
      <c r="G470" s="5" t="s">
        <v>84</v>
      </c>
      <c r="H470" s="6" t="s">
        <v>775</v>
      </c>
      <c r="I470" s="6" t="s">
        <v>2295</v>
      </c>
      <c r="J470" s="6"/>
      <c r="K470" s="6"/>
      <c r="L470" s="6"/>
      <c r="M470" s="6" t="s">
        <v>88</v>
      </c>
      <c r="N470" s="6" t="s">
        <v>89</v>
      </c>
      <c r="O470" s="6" t="s">
        <v>1520</v>
      </c>
      <c r="P470" s="6" t="s">
        <v>2688</v>
      </c>
      <c r="Q470" s="6"/>
      <c r="R470" s="82" t="s">
        <v>91</v>
      </c>
      <c r="S470" s="5" t="s">
        <v>92</v>
      </c>
      <c r="T470" s="5" t="s">
        <v>93</v>
      </c>
      <c r="U470" s="91">
        <v>100</v>
      </c>
      <c r="V470" s="5" t="s">
        <v>94</v>
      </c>
      <c r="W470" s="5" t="s">
        <v>95</v>
      </c>
      <c r="X470" s="5">
        <v>2021</v>
      </c>
      <c r="Y470" s="5" t="s">
        <v>117</v>
      </c>
      <c r="Z470" s="5" t="s">
        <v>95</v>
      </c>
      <c r="AA470" s="5" t="s">
        <v>98</v>
      </c>
      <c r="AB470" s="6" t="s">
        <v>99</v>
      </c>
      <c r="AC470" s="79" t="s">
        <v>5365</v>
      </c>
      <c r="AD470" s="79" t="s">
        <v>5366</v>
      </c>
      <c r="AE470" s="49" t="s">
        <v>5367</v>
      </c>
      <c r="AF470" s="49" t="s">
        <v>121</v>
      </c>
      <c r="AG470" s="49" t="s">
        <v>218</v>
      </c>
      <c r="AH470" s="49" t="s">
        <v>123</v>
      </c>
      <c r="AI470" s="49" t="s">
        <v>5368</v>
      </c>
      <c r="AJ470" s="6" t="s">
        <v>5369</v>
      </c>
      <c r="AK470" s="33" t="s">
        <v>97</v>
      </c>
      <c r="AL470" s="33" t="s">
        <v>97</v>
      </c>
      <c r="AM470" s="5" t="s">
        <v>221</v>
      </c>
      <c r="AN470" s="5" t="s">
        <v>470</v>
      </c>
      <c r="AO470" s="5" t="s">
        <v>5370</v>
      </c>
      <c r="AP470" s="5" t="s">
        <v>5371</v>
      </c>
      <c r="AQ470" s="49" t="s">
        <v>5372</v>
      </c>
      <c r="AR470" s="20" t="s">
        <v>97</v>
      </c>
      <c r="AS470" s="20" t="s">
        <v>107</v>
      </c>
      <c r="AT470" s="20"/>
      <c r="AU470" s="24">
        <v>0.4</v>
      </c>
      <c r="AV470" s="24">
        <f t="shared" si="90"/>
        <v>0.32000000000000006</v>
      </c>
      <c r="AW470" s="24">
        <f t="shared" si="91"/>
        <v>0.24</v>
      </c>
      <c r="AX470" s="25">
        <v>1E-4</v>
      </c>
      <c r="AY470" s="24">
        <v>0</v>
      </c>
      <c r="AZ470" s="24">
        <f t="shared" si="92"/>
        <v>0.36000000000000004</v>
      </c>
      <c r="BA470" s="24">
        <f t="shared" si="93"/>
        <v>0.28800000000000003</v>
      </c>
      <c r="BB470" s="24">
        <f t="shared" si="94"/>
        <v>0.21600000000000003</v>
      </c>
      <c r="BC470" s="25">
        <v>1E-4</v>
      </c>
      <c r="BD470" s="24">
        <v>0</v>
      </c>
      <c r="BE470" s="34">
        <v>10</v>
      </c>
      <c r="BF470" s="34">
        <f t="shared" si="95"/>
        <v>8</v>
      </c>
      <c r="BG470" s="34">
        <f t="shared" si="96"/>
        <v>6</v>
      </c>
      <c r="BH470" s="26">
        <v>1</v>
      </c>
      <c r="BI470" s="26">
        <v>0</v>
      </c>
      <c r="BJ470" s="27">
        <v>5.8999999999999997E-2</v>
      </c>
      <c r="BK470" s="27">
        <v>0.10116462478408879</v>
      </c>
      <c r="BL470" s="27" t="s">
        <v>5373</v>
      </c>
      <c r="BM470" s="27" t="s">
        <v>5374</v>
      </c>
      <c r="BN470" s="26"/>
      <c r="BO470" s="34"/>
      <c r="BP470" s="34"/>
      <c r="BQ470" s="34"/>
      <c r="BR470" s="34"/>
      <c r="BS470" s="34"/>
      <c r="BT470" s="34"/>
      <c r="BU470" s="34"/>
      <c r="BV470" s="34"/>
      <c r="BW470" s="34"/>
      <c r="BX470" s="34"/>
      <c r="BY470" s="34"/>
      <c r="BZ470" s="34"/>
      <c r="CA470" s="20"/>
      <c r="CB470" s="20"/>
      <c r="CC470" s="46">
        <v>46006</v>
      </c>
      <c r="CD470" s="57" t="s">
        <v>5375</v>
      </c>
    </row>
    <row r="471" spans="1:82" s="18" customFormat="1" ht="66.75" customHeight="1" x14ac:dyDescent="0.25">
      <c r="A471" s="87">
        <v>467</v>
      </c>
      <c r="B471" s="141" t="s">
        <v>5376</v>
      </c>
      <c r="C471" s="6" t="s">
        <v>5377</v>
      </c>
      <c r="D471" s="6" t="s">
        <v>5378</v>
      </c>
      <c r="E471" s="75" t="s">
        <v>174</v>
      </c>
      <c r="F471" s="4" t="s">
        <v>81</v>
      </c>
      <c r="G471" s="5" t="s">
        <v>84</v>
      </c>
      <c r="H471" s="6" t="s">
        <v>775</v>
      </c>
      <c r="I471" s="6" t="s">
        <v>2295</v>
      </c>
      <c r="J471" s="6"/>
      <c r="K471" s="6"/>
      <c r="L471" s="6"/>
      <c r="M471" s="6" t="s">
        <v>88</v>
      </c>
      <c r="N471" s="6" t="s">
        <v>89</v>
      </c>
      <c r="O471" s="6" t="s">
        <v>1520</v>
      </c>
      <c r="P471" s="6" t="s">
        <v>2688</v>
      </c>
      <c r="Q471" s="6"/>
      <c r="R471" s="82" t="s">
        <v>175</v>
      </c>
      <c r="S471" s="5" t="s">
        <v>92</v>
      </c>
      <c r="T471" s="5" t="s">
        <v>93</v>
      </c>
      <c r="U471" s="91">
        <v>100</v>
      </c>
      <c r="V471" s="5" t="s">
        <v>94</v>
      </c>
      <c r="W471" s="5" t="s">
        <v>95</v>
      </c>
      <c r="X471" s="5">
        <v>2023</v>
      </c>
      <c r="Y471" s="5" t="s">
        <v>117</v>
      </c>
      <c r="Z471" s="5" t="s">
        <v>95</v>
      </c>
      <c r="AA471" s="5" t="s">
        <v>98</v>
      </c>
      <c r="AB471" s="6" t="s">
        <v>99</v>
      </c>
      <c r="AC471" s="79" t="s">
        <v>5379</v>
      </c>
      <c r="AD471" s="79" t="s">
        <v>5380</v>
      </c>
      <c r="AE471" s="6" t="s">
        <v>5381</v>
      </c>
      <c r="AF471" s="6" t="s">
        <v>121</v>
      </c>
      <c r="AG471" s="49" t="s">
        <v>178</v>
      </c>
      <c r="AH471" s="6" t="s">
        <v>123</v>
      </c>
      <c r="AI471" s="6" t="s">
        <v>5368</v>
      </c>
      <c r="AJ471" s="6" t="s">
        <v>5382</v>
      </c>
      <c r="AK471" s="33" t="s">
        <v>97</v>
      </c>
      <c r="AL471" s="33" t="s">
        <v>97</v>
      </c>
      <c r="AM471" s="5" t="s">
        <v>221</v>
      </c>
      <c r="AN471" s="5" t="s">
        <v>470</v>
      </c>
      <c r="AO471" s="5" t="s">
        <v>5383</v>
      </c>
      <c r="AP471" s="5" t="s">
        <v>5384</v>
      </c>
      <c r="AQ471" s="6" t="s">
        <v>5372</v>
      </c>
      <c r="AR471" s="20" t="s">
        <v>95</v>
      </c>
      <c r="AS471" s="20" t="s">
        <v>185</v>
      </c>
      <c r="AT471" s="7">
        <v>906225</v>
      </c>
      <c r="AU471" s="24">
        <v>0.2</v>
      </c>
      <c r="AV471" s="24">
        <f t="shared" si="90"/>
        <v>0.16000000000000003</v>
      </c>
      <c r="AW471" s="24">
        <f t="shared" si="91"/>
        <v>0.12</v>
      </c>
      <c r="AX471" s="25">
        <v>1E-4</v>
      </c>
      <c r="AY471" s="24">
        <v>0</v>
      </c>
      <c r="AZ471" s="24">
        <f t="shared" si="92"/>
        <v>0.18000000000000002</v>
      </c>
      <c r="BA471" s="24">
        <f t="shared" si="93"/>
        <v>0.14400000000000002</v>
      </c>
      <c r="BB471" s="24">
        <f t="shared" si="94"/>
        <v>0.10800000000000001</v>
      </c>
      <c r="BC471" s="25">
        <v>1E-4</v>
      </c>
      <c r="BD471" s="24">
        <v>0</v>
      </c>
      <c r="BE471" s="34">
        <v>30</v>
      </c>
      <c r="BF471" s="34">
        <f t="shared" si="95"/>
        <v>24</v>
      </c>
      <c r="BG471" s="34">
        <f t="shared" si="96"/>
        <v>18</v>
      </c>
      <c r="BH471" s="26">
        <v>1</v>
      </c>
      <c r="BI471" s="26">
        <v>0</v>
      </c>
      <c r="BJ471" s="27">
        <v>5.3999999999999999E-2</v>
      </c>
      <c r="BK471" s="27">
        <v>6.6727988088437357E-2</v>
      </c>
      <c r="BL471" s="27" t="s">
        <v>5385</v>
      </c>
      <c r="BM471" s="27" t="s">
        <v>2731</v>
      </c>
      <c r="BN471" s="26"/>
      <c r="BO471" s="34"/>
      <c r="BP471" s="34"/>
      <c r="BQ471" s="34"/>
      <c r="BR471" s="34"/>
      <c r="BS471" s="34"/>
      <c r="BT471" s="34"/>
      <c r="BU471" s="34"/>
      <c r="BV471" s="34"/>
      <c r="BW471" s="34"/>
      <c r="BX471" s="34"/>
      <c r="BY471" s="34"/>
      <c r="BZ471" s="34">
        <v>1</v>
      </c>
      <c r="CA471" s="20" t="s">
        <v>2295</v>
      </c>
      <c r="CB471" s="20" t="s">
        <v>2295</v>
      </c>
      <c r="CC471" s="29">
        <v>46003</v>
      </c>
      <c r="CD471" s="42" t="s">
        <v>5386</v>
      </c>
    </row>
    <row r="472" spans="1:82" s="18" customFormat="1" ht="66.75" customHeight="1" x14ac:dyDescent="0.25">
      <c r="A472" s="121">
        <v>468</v>
      </c>
      <c r="B472" s="141" t="s">
        <v>5387</v>
      </c>
      <c r="C472" s="6" t="s">
        <v>5388</v>
      </c>
      <c r="D472" s="6" t="s">
        <v>5389</v>
      </c>
      <c r="E472" s="75" t="s">
        <v>174</v>
      </c>
      <c r="F472" s="4" t="s">
        <v>81</v>
      </c>
      <c r="G472" s="5" t="s">
        <v>84</v>
      </c>
      <c r="H472" s="6" t="s">
        <v>775</v>
      </c>
      <c r="I472" s="6" t="s">
        <v>2295</v>
      </c>
      <c r="J472" s="6" t="s">
        <v>115</v>
      </c>
      <c r="K472" s="6"/>
      <c r="L472" s="6"/>
      <c r="M472" s="6" t="s">
        <v>88</v>
      </c>
      <c r="N472" s="6" t="s">
        <v>89</v>
      </c>
      <c r="O472" s="6" t="s">
        <v>246</v>
      </c>
      <c r="P472" s="6" t="s">
        <v>5390</v>
      </c>
      <c r="Q472" s="6"/>
      <c r="R472" s="82" t="s">
        <v>91</v>
      </c>
      <c r="S472" s="5" t="s">
        <v>92</v>
      </c>
      <c r="T472" s="5" t="s">
        <v>93</v>
      </c>
      <c r="U472" s="91">
        <v>100</v>
      </c>
      <c r="V472" s="5" t="s">
        <v>94</v>
      </c>
      <c r="W472" s="5" t="s">
        <v>95</v>
      </c>
      <c r="X472" s="5">
        <v>2023</v>
      </c>
      <c r="Y472" s="5" t="s">
        <v>117</v>
      </c>
      <c r="Z472" s="5" t="s">
        <v>97</v>
      </c>
      <c r="AA472" s="5" t="s">
        <v>98</v>
      </c>
      <c r="AB472" s="6" t="s">
        <v>99</v>
      </c>
      <c r="AC472" s="79" t="s">
        <v>5391</v>
      </c>
      <c r="AD472" s="79" t="s">
        <v>5392</v>
      </c>
      <c r="AE472" s="6" t="s">
        <v>5393</v>
      </c>
      <c r="AF472" s="6" t="s">
        <v>5394</v>
      </c>
      <c r="AG472" s="6" t="s">
        <v>1042</v>
      </c>
      <c r="AH472" s="6" t="s">
        <v>1042</v>
      </c>
      <c r="AI472" s="6" t="s">
        <v>2713</v>
      </c>
      <c r="AJ472" s="6" t="s">
        <v>2714</v>
      </c>
      <c r="AK472" s="33" t="s">
        <v>97</v>
      </c>
      <c r="AL472" s="33" t="s">
        <v>97</v>
      </c>
      <c r="AM472" s="5"/>
      <c r="AN472" s="5" t="s">
        <v>470</v>
      </c>
      <c r="AO472" s="5" t="s">
        <v>2694</v>
      </c>
      <c r="AP472" s="5" t="s">
        <v>2694</v>
      </c>
      <c r="AQ472" s="6" t="s">
        <v>5395</v>
      </c>
      <c r="AR472" s="20" t="s">
        <v>97</v>
      </c>
      <c r="AS472" s="20" t="s">
        <v>107</v>
      </c>
      <c r="AT472" s="20"/>
      <c r="AU472" s="24">
        <v>0.9</v>
      </c>
      <c r="AV472" s="24">
        <f t="shared" si="90"/>
        <v>0.72000000000000008</v>
      </c>
      <c r="AW472" s="24">
        <f t="shared" si="91"/>
        <v>0.54</v>
      </c>
      <c r="AX472" s="25">
        <v>1E-4</v>
      </c>
      <c r="AY472" s="24">
        <v>0</v>
      </c>
      <c r="AZ472" s="24">
        <f t="shared" si="92"/>
        <v>0.81</v>
      </c>
      <c r="BA472" s="24">
        <f t="shared" si="93"/>
        <v>0.64800000000000013</v>
      </c>
      <c r="BB472" s="24">
        <f t="shared" si="94"/>
        <v>0.48599999999999999</v>
      </c>
      <c r="BC472" s="25">
        <v>1E-4</v>
      </c>
      <c r="BD472" s="24">
        <v>0</v>
      </c>
      <c r="BE472" s="34">
        <v>20</v>
      </c>
      <c r="BF472" s="34">
        <f t="shared" si="95"/>
        <v>16</v>
      </c>
      <c r="BG472" s="34">
        <f t="shared" si="96"/>
        <v>12</v>
      </c>
      <c r="BH472" s="26">
        <v>1</v>
      </c>
      <c r="BI472" s="26">
        <v>0</v>
      </c>
      <c r="BJ472" s="20" t="s">
        <v>496</v>
      </c>
      <c r="BK472" s="27">
        <v>0.62298850574712639</v>
      </c>
      <c r="BL472" s="27" t="s">
        <v>4321</v>
      </c>
      <c r="BM472" s="27" t="s">
        <v>5396</v>
      </c>
      <c r="BN472" s="26"/>
      <c r="BO472" s="34"/>
      <c r="BP472" s="34"/>
      <c r="BQ472" s="34"/>
      <c r="BR472" s="34"/>
      <c r="BS472" s="34"/>
      <c r="BT472" s="34"/>
      <c r="BU472" s="34"/>
      <c r="BV472" s="34"/>
      <c r="BW472" s="34"/>
      <c r="BX472" s="34"/>
      <c r="BY472" s="34"/>
      <c r="BZ472" s="34">
        <v>1</v>
      </c>
      <c r="CA472" s="20" t="s">
        <v>2295</v>
      </c>
      <c r="CB472" s="20" t="s">
        <v>2295</v>
      </c>
      <c r="CC472" s="46">
        <v>46006</v>
      </c>
      <c r="CD472" s="42" t="s">
        <v>5397</v>
      </c>
    </row>
    <row r="473" spans="1:82" s="18" customFormat="1" ht="66.75" customHeight="1" x14ac:dyDescent="0.25">
      <c r="A473" s="87">
        <v>469</v>
      </c>
      <c r="B473" s="141" t="s">
        <v>5398</v>
      </c>
      <c r="C473" s="6" t="s">
        <v>5399</v>
      </c>
      <c r="D473" s="6" t="s">
        <v>5400</v>
      </c>
      <c r="E473" s="75" t="s">
        <v>113</v>
      </c>
      <c r="F473" s="4" t="s">
        <v>81</v>
      </c>
      <c r="G473" s="5" t="s">
        <v>84</v>
      </c>
      <c r="H473" s="6" t="s">
        <v>775</v>
      </c>
      <c r="I473" s="6" t="s">
        <v>2295</v>
      </c>
      <c r="J473" s="6"/>
      <c r="K473" s="6"/>
      <c r="L473" s="6"/>
      <c r="M473" s="6" t="s">
        <v>88</v>
      </c>
      <c r="N473" s="6" t="s">
        <v>89</v>
      </c>
      <c r="O473" s="6" t="s">
        <v>1520</v>
      </c>
      <c r="P473" s="6" t="s">
        <v>2688</v>
      </c>
      <c r="Q473" s="6"/>
      <c r="R473" s="82" t="s">
        <v>91</v>
      </c>
      <c r="S473" s="5" t="s">
        <v>92</v>
      </c>
      <c r="T473" s="5" t="s">
        <v>93</v>
      </c>
      <c r="U473" s="91">
        <v>100</v>
      </c>
      <c r="V473" s="5" t="s">
        <v>94</v>
      </c>
      <c r="W473" s="5" t="s">
        <v>95</v>
      </c>
      <c r="X473" s="5">
        <v>2023</v>
      </c>
      <c r="Y473" s="5" t="s">
        <v>117</v>
      </c>
      <c r="Z473" s="5" t="s">
        <v>95</v>
      </c>
      <c r="AA473" s="5" t="s">
        <v>98</v>
      </c>
      <c r="AB473" s="6" t="s">
        <v>99</v>
      </c>
      <c r="AC473" s="79" t="s">
        <v>5401</v>
      </c>
      <c r="AD473" s="79" t="s">
        <v>2250</v>
      </c>
      <c r="AE473" s="49" t="s">
        <v>5402</v>
      </c>
      <c r="AF473" s="49" t="s">
        <v>121</v>
      </c>
      <c r="AG473" s="49" t="s">
        <v>218</v>
      </c>
      <c r="AH473" s="49" t="s">
        <v>123</v>
      </c>
      <c r="AI473" s="49" t="s">
        <v>5403</v>
      </c>
      <c r="AJ473" s="49" t="s">
        <v>5404</v>
      </c>
      <c r="AK473" s="33" t="s">
        <v>97</v>
      </c>
      <c r="AL473" s="33" t="s">
        <v>97</v>
      </c>
      <c r="AM473" s="5" t="s">
        <v>5405</v>
      </c>
      <c r="AN473" s="5" t="s">
        <v>470</v>
      </c>
      <c r="AO473" s="5" t="s">
        <v>5406</v>
      </c>
      <c r="AP473" s="5" t="s">
        <v>5407</v>
      </c>
      <c r="AQ473" s="49" t="s">
        <v>5408</v>
      </c>
      <c r="AR473" s="20" t="s">
        <v>97</v>
      </c>
      <c r="AS473" s="20" t="s">
        <v>107</v>
      </c>
      <c r="AT473" s="20"/>
      <c r="AU473" s="24">
        <v>0.35</v>
      </c>
      <c r="AV473" s="24">
        <f t="shared" si="90"/>
        <v>0.27999999999999997</v>
      </c>
      <c r="AW473" s="24">
        <f t="shared" si="91"/>
        <v>0.21</v>
      </c>
      <c r="AX473" s="25">
        <v>1E-4</v>
      </c>
      <c r="AY473" s="24">
        <v>0</v>
      </c>
      <c r="AZ473" s="24">
        <f t="shared" si="92"/>
        <v>0.315</v>
      </c>
      <c r="BA473" s="24">
        <f t="shared" si="93"/>
        <v>0.252</v>
      </c>
      <c r="BB473" s="24">
        <f t="shared" si="94"/>
        <v>0.189</v>
      </c>
      <c r="BC473" s="25">
        <v>1E-4</v>
      </c>
      <c r="BD473" s="24">
        <v>0</v>
      </c>
      <c r="BE473" s="26">
        <v>0</v>
      </c>
      <c r="BF473" s="34">
        <f t="shared" si="95"/>
        <v>0</v>
      </c>
      <c r="BG473" s="34">
        <f t="shared" si="96"/>
        <v>0</v>
      </c>
      <c r="BH473" s="26">
        <v>0</v>
      </c>
      <c r="BI473" s="26">
        <v>0</v>
      </c>
      <c r="BJ473" s="27">
        <v>7.0000000000000007E-2</v>
      </c>
      <c r="BK473" s="27">
        <v>0.18648950530295286</v>
      </c>
      <c r="BL473" s="27" t="s">
        <v>5409</v>
      </c>
      <c r="BM473" s="27" t="s">
        <v>5410</v>
      </c>
      <c r="BN473" s="26"/>
      <c r="BO473" s="34"/>
      <c r="BP473" s="34"/>
      <c r="BQ473" s="34"/>
      <c r="BR473" s="34"/>
      <c r="BS473" s="34"/>
      <c r="BT473" s="34"/>
      <c r="BU473" s="34"/>
      <c r="BV473" s="34"/>
      <c r="BW473" s="34"/>
      <c r="BX473" s="34"/>
      <c r="BY473" s="34"/>
      <c r="BZ473" s="34"/>
      <c r="CA473" s="20"/>
      <c r="CB473" s="20"/>
      <c r="CC473" s="29">
        <v>46003</v>
      </c>
      <c r="CD473" s="2" t="s">
        <v>5411</v>
      </c>
    </row>
    <row r="474" spans="1:82" s="18" customFormat="1" ht="66.75" customHeight="1" x14ac:dyDescent="0.25">
      <c r="A474" s="87">
        <v>470</v>
      </c>
      <c r="B474" s="141" t="s">
        <v>5412</v>
      </c>
      <c r="C474" s="6" t="s">
        <v>5413</v>
      </c>
      <c r="D474" s="6" t="s">
        <v>5414</v>
      </c>
      <c r="E474" s="75" t="s">
        <v>174</v>
      </c>
      <c r="F474" s="4" t="s">
        <v>81</v>
      </c>
      <c r="G474" s="5" t="s">
        <v>84</v>
      </c>
      <c r="H474" s="6" t="s">
        <v>775</v>
      </c>
      <c r="I474" s="6" t="s">
        <v>2295</v>
      </c>
      <c r="J474" s="6"/>
      <c r="K474" s="6"/>
      <c r="L474" s="6"/>
      <c r="M474" s="6" t="s">
        <v>88</v>
      </c>
      <c r="N474" s="6" t="s">
        <v>89</v>
      </c>
      <c r="O474" s="6" t="s">
        <v>1520</v>
      </c>
      <c r="P474" s="6" t="s">
        <v>2688</v>
      </c>
      <c r="Q474" s="6"/>
      <c r="R474" s="82" t="s">
        <v>175</v>
      </c>
      <c r="S474" s="5" t="s">
        <v>92</v>
      </c>
      <c r="T474" s="5" t="s">
        <v>93</v>
      </c>
      <c r="U474" s="91">
        <v>100</v>
      </c>
      <c r="V474" s="5" t="s">
        <v>94</v>
      </c>
      <c r="W474" s="5" t="s">
        <v>95</v>
      </c>
      <c r="X474" s="5">
        <v>2021</v>
      </c>
      <c r="Y474" s="5" t="s">
        <v>117</v>
      </c>
      <c r="Z474" s="5" t="s">
        <v>95</v>
      </c>
      <c r="AA474" s="5" t="s">
        <v>98</v>
      </c>
      <c r="AB474" s="6" t="s">
        <v>99</v>
      </c>
      <c r="AC474" s="79" t="s">
        <v>5415</v>
      </c>
      <c r="AD474" s="79" t="s">
        <v>5416</v>
      </c>
      <c r="AE474" s="6" t="s">
        <v>2704</v>
      </c>
      <c r="AF474" s="6" t="s">
        <v>121</v>
      </c>
      <c r="AG474" s="49" t="s">
        <v>178</v>
      </c>
      <c r="AH474" s="6" t="s">
        <v>123</v>
      </c>
      <c r="AI474" s="6" t="s">
        <v>5417</v>
      </c>
      <c r="AJ474" s="6" t="s">
        <v>5418</v>
      </c>
      <c r="AK474" s="33" t="s">
        <v>97</v>
      </c>
      <c r="AL474" s="33" t="s">
        <v>97</v>
      </c>
      <c r="AM474" s="5" t="s">
        <v>5405</v>
      </c>
      <c r="AN474" s="5" t="s">
        <v>470</v>
      </c>
      <c r="AO474" s="5" t="s">
        <v>5419</v>
      </c>
      <c r="AP474" s="5" t="s">
        <v>5420</v>
      </c>
      <c r="AQ474" s="6" t="s">
        <v>5408</v>
      </c>
      <c r="AR474" s="54" t="s">
        <v>95</v>
      </c>
      <c r="AS474" s="20" t="s">
        <v>185</v>
      </c>
      <c r="AT474" s="39">
        <v>906249</v>
      </c>
      <c r="AU474" s="24">
        <v>0.2</v>
      </c>
      <c r="AV474" s="24">
        <f t="shared" si="90"/>
        <v>0.16000000000000003</v>
      </c>
      <c r="AW474" s="24">
        <f t="shared" si="91"/>
        <v>0.12</v>
      </c>
      <c r="AX474" s="25">
        <v>1E-4</v>
      </c>
      <c r="AY474" s="24">
        <v>0</v>
      </c>
      <c r="AZ474" s="24">
        <f t="shared" si="92"/>
        <v>0.18000000000000002</v>
      </c>
      <c r="BA474" s="24">
        <f t="shared" si="93"/>
        <v>0.14400000000000002</v>
      </c>
      <c r="BB474" s="24">
        <f t="shared" si="94"/>
        <v>0.10800000000000001</v>
      </c>
      <c r="BC474" s="25">
        <v>1E-4</v>
      </c>
      <c r="BD474" s="24">
        <v>0</v>
      </c>
      <c r="BE474" s="34">
        <v>30</v>
      </c>
      <c r="BF474" s="34">
        <f t="shared" si="95"/>
        <v>24</v>
      </c>
      <c r="BG474" s="34">
        <f t="shared" si="96"/>
        <v>18</v>
      </c>
      <c r="BH474" s="26">
        <v>1</v>
      </c>
      <c r="BI474" s="26">
        <v>0</v>
      </c>
      <c r="BJ474" s="27">
        <v>3.0000000000000001E-3</v>
      </c>
      <c r="BK474" s="27">
        <v>0.10028220958863096</v>
      </c>
      <c r="BL474" s="27" t="s">
        <v>5421</v>
      </c>
      <c r="BM474" s="27" t="s">
        <v>5422</v>
      </c>
      <c r="BN474" s="26"/>
      <c r="BO474" s="34"/>
      <c r="BP474" s="34"/>
      <c r="BQ474" s="34"/>
      <c r="BR474" s="34"/>
      <c r="BS474" s="34"/>
      <c r="BT474" s="34"/>
      <c r="BU474" s="34"/>
      <c r="BV474" s="34"/>
      <c r="BW474" s="34"/>
      <c r="BX474" s="34"/>
      <c r="BY474" s="34"/>
      <c r="BZ474" s="34">
        <v>1</v>
      </c>
      <c r="CA474" s="20" t="s">
        <v>2295</v>
      </c>
      <c r="CB474" s="20" t="s">
        <v>2295</v>
      </c>
      <c r="CC474" s="46">
        <v>46006</v>
      </c>
      <c r="CD474" s="42" t="s">
        <v>5423</v>
      </c>
    </row>
    <row r="475" spans="1:82" s="18" customFormat="1" ht="66.75" customHeight="1" x14ac:dyDescent="0.25">
      <c r="A475" s="121">
        <v>471</v>
      </c>
      <c r="B475" s="141" t="s">
        <v>5424</v>
      </c>
      <c r="C475" s="6" t="s">
        <v>5425</v>
      </c>
      <c r="D475" s="6" t="s">
        <v>5426</v>
      </c>
      <c r="E475" s="75" t="s">
        <v>113</v>
      </c>
      <c r="F475" s="4" t="s">
        <v>81</v>
      </c>
      <c r="G475" s="5" t="s">
        <v>84</v>
      </c>
      <c r="H475" s="6" t="s">
        <v>775</v>
      </c>
      <c r="I475" s="6" t="s">
        <v>2295</v>
      </c>
      <c r="J475" s="6"/>
      <c r="K475" s="6"/>
      <c r="L475" s="6"/>
      <c r="M475" s="6" t="s">
        <v>88</v>
      </c>
      <c r="N475" s="6" t="s">
        <v>89</v>
      </c>
      <c r="O475" s="6" t="s">
        <v>1520</v>
      </c>
      <c r="P475" s="6" t="s">
        <v>2722</v>
      </c>
      <c r="Q475" s="6"/>
      <c r="R475" s="82" t="s">
        <v>91</v>
      </c>
      <c r="S475" s="5" t="s">
        <v>92</v>
      </c>
      <c r="T475" s="5" t="s">
        <v>93</v>
      </c>
      <c r="U475" s="91">
        <v>100</v>
      </c>
      <c r="V475" s="5" t="s">
        <v>94</v>
      </c>
      <c r="W475" s="5" t="s">
        <v>95</v>
      </c>
      <c r="X475" s="5">
        <v>2023</v>
      </c>
      <c r="Y475" s="5" t="s">
        <v>117</v>
      </c>
      <c r="Z475" s="5" t="s">
        <v>95</v>
      </c>
      <c r="AA475" s="5" t="s">
        <v>98</v>
      </c>
      <c r="AB475" s="6" t="s">
        <v>99</v>
      </c>
      <c r="AC475" s="79" t="s">
        <v>5427</v>
      </c>
      <c r="AD475" s="79" t="s">
        <v>5428</v>
      </c>
      <c r="AE475" s="49" t="s">
        <v>5429</v>
      </c>
      <c r="AF475" s="49" t="s">
        <v>121</v>
      </c>
      <c r="AG475" s="49" t="s">
        <v>218</v>
      </c>
      <c r="AH475" s="49" t="s">
        <v>123</v>
      </c>
      <c r="AI475" s="49" t="s">
        <v>5430</v>
      </c>
      <c r="AJ475" s="49" t="s">
        <v>5431</v>
      </c>
      <c r="AK475" s="33" t="s">
        <v>97</v>
      </c>
      <c r="AL475" s="33" t="s">
        <v>97</v>
      </c>
      <c r="AM475" s="5" t="s">
        <v>221</v>
      </c>
      <c r="AN475" s="5" t="s">
        <v>470</v>
      </c>
      <c r="AO475" s="5" t="s">
        <v>5432</v>
      </c>
      <c r="AP475" s="5" t="s">
        <v>5433</v>
      </c>
      <c r="AQ475" s="49" t="s">
        <v>2758</v>
      </c>
      <c r="AR475" s="20" t="s">
        <v>97</v>
      </c>
      <c r="AS475" s="20" t="s">
        <v>107</v>
      </c>
      <c r="AT475" s="20"/>
      <c r="AU475" s="24">
        <v>0.25</v>
      </c>
      <c r="AV475" s="24">
        <f t="shared" ref="AV475:AV506" si="97">+AU475*80%</f>
        <v>0.2</v>
      </c>
      <c r="AW475" s="24">
        <f t="shared" ref="AW475:AW506" si="98">+AU475*60%</f>
        <v>0.15</v>
      </c>
      <c r="AX475" s="25">
        <v>1E-4</v>
      </c>
      <c r="AY475" s="24">
        <v>0</v>
      </c>
      <c r="AZ475" s="24">
        <f t="shared" ref="AZ475:AZ506" si="99">+AU475*90%</f>
        <v>0.22500000000000001</v>
      </c>
      <c r="BA475" s="24">
        <f t="shared" ref="BA475:BA506" si="100">AZ475*80%</f>
        <v>0.18000000000000002</v>
      </c>
      <c r="BB475" s="24">
        <f t="shared" ref="BB475:BB506" si="101">AZ475*60%</f>
        <v>0.13500000000000001</v>
      </c>
      <c r="BC475" s="25">
        <v>1E-4</v>
      </c>
      <c r="BD475" s="24">
        <v>0</v>
      </c>
      <c r="BE475" s="26">
        <v>0</v>
      </c>
      <c r="BF475" s="34">
        <f t="shared" si="95"/>
        <v>0</v>
      </c>
      <c r="BG475" s="34">
        <f t="shared" si="96"/>
        <v>0</v>
      </c>
      <c r="BH475" s="26">
        <v>0</v>
      </c>
      <c r="BI475" s="26">
        <v>0</v>
      </c>
      <c r="BJ475" s="27">
        <v>3.5000000000000003E-2</v>
      </c>
      <c r="BK475" s="27">
        <v>0.12096939536197575</v>
      </c>
      <c r="BL475" s="27" t="s">
        <v>5434</v>
      </c>
      <c r="BM475" s="27" t="s">
        <v>5435</v>
      </c>
      <c r="BN475" s="26"/>
      <c r="BO475" s="34"/>
      <c r="BP475" s="34"/>
      <c r="BQ475" s="34"/>
      <c r="BR475" s="34"/>
      <c r="BS475" s="34"/>
      <c r="BT475" s="34"/>
      <c r="BU475" s="34"/>
      <c r="BV475" s="34"/>
      <c r="BW475" s="34"/>
      <c r="BX475" s="34"/>
      <c r="BY475" s="34"/>
      <c r="BZ475" s="34"/>
      <c r="CA475" s="20"/>
      <c r="CB475" s="20"/>
      <c r="CC475" s="29">
        <v>46003</v>
      </c>
      <c r="CD475" s="2" t="s">
        <v>5436</v>
      </c>
    </row>
    <row r="476" spans="1:82" s="18" customFormat="1" ht="66.75" customHeight="1" x14ac:dyDescent="0.25">
      <c r="A476" s="87">
        <v>472</v>
      </c>
      <c r="B476" s="141" t="s">
        <v>5437</v>
      </c>
      <c r="C476" s="6" t="s">
        <v>5438</v>
      </c>
      <c r="D476" s="6" t="s">
        <v>5439</v>
      </c>
      <c r="E476" s="75" t="s">
        <v>113</v>
      </c>
      <c r="F476" s="4" t="s">
        <v>81</v>
      </c>
      <c r="G476" s="5" t="s">
        <v>84</v>
      </c>
      <c r="H476" s="6" t="s">
        <v>775</v>
      </c>
      <c r="I476" s="6" t="s">
        <v>2295</v>
      </c>
      <c r="J476" s="6"/>
      <c r="K476" s="6"/>
      <c r="L476" s="6"/>
      <c r="M476" s="6" t="s">
        <v>88</v>
      </c>
      <c r="N476" s="6" t="s">
        <v>89</v>
      </c>
      <c r="O476" s="6" t="s">
        <v>1520</v>
      </c>
      <c r="P476" s="6" t="s">
        <v>2688</v>
      </c>
      <c r="Q476" s="6"/>
      <c r="R476" s="82" t="s">
        <v>91</v>
      </c>
      <c r="S476" s="5" t="s">
        <v>92</v>
      </c>
      <c r="T476" s="5" t="s">
        <v>93</v>
      </c>
      <c r="U476" s="91">
        <v>100</v>
      </c>
      <c r="V476" s="5" t="s">
        <v>94</v>
      </c>
      <c r="W476" s="5" t="s">
        <v>95</v>
      </c>
      <c r="X476" s="5">
        <v>2023</v>
      </c>
      <c r="Y476" s="5" t="s">
        <v>117</v>
      </c>
      <c r="Z476" s="5" t="s">
        <v>95</v>
      </c>
      <c r="AA476" s="5" t="s">
        <v>98</v>
      </c>
      <c r="AB476" s="6" t="s">
        <v>99</v>
      </c>
      <c r="AC476" s="79" t="s">
        <v>5440</v>
      </c>
      <c r="AD476" s="79" t="s">
        <v>5428</v>
      </c>
      <c r="AE476" s="49" t="s">
        <v>5441</v>
      </c>
      <c r="AF476" s="49" t="s">
        <v>121</v>
      </c>
      <c r="AG476" s="49" t="s">
        <v>218</v>
      </c>
      <c r="AH476" s="49" t="s">
        <v>123</v>
      </c>
      <c r="AI476" s="49" t="s">
        <v>5430</v>
      </c>
      <c r="AJ476" s="49" t="s">
        <v>5431</v>
      </c>
      <c r="AK476" s="33" t="s">
        <v>97</v>
      </c>
      <c r="AL476" s="33" t="s">
        <v>97</v>
      </c>
      <c r="AM476" s="5" t="s">
        <v>221</v>
      </c>
      <c r="AN476" s="5" t="s">
        <v>470</v>
      </c>
      <c r="AO476" s="5" t="s">
        <v>5442</v>
      </c>
      <c r="AP476" s="5" t="s">
        <v>5433</v>
      </c>
      <c r="AQ476" s="49" t="s">
        <v>2758</v>
      </c>
      <c r="AR476" s="20" t="s">
        <v>97</v>
      </c>
      <c r="AS476" s="20" t="s">
        <v>107</v>
      </c>
      <c r="AT476" s="20"/>
      <c r="AU476" s="24">
        <v>0.35</v>
      </c>
      <c r="AV476" s="24">
        <f t="shared" si="97"/>
        <v>0.27999999999999997</v>
      </c>
      <c r="AW476" s="24">
        <f t="shared" si="98"/>
        <v>0.21</v>
      </c>
      <c r="AX476" s="25">
        <v>1E-4</v>
      </c>
      <c r="AY476" s="24">
        <v>0</v>
      </c>
      <c r="AZ476" s="24">
        <f t="shared" si="99"/>
        <v>0.315</v>
      </c>
      <c r="BA476" s="24">
        <f t="shared" si="100"/>
        <v>0.252</v>
      </c>
      <c r="BB476" s="24">
        <f t="shared" si="101"/>
        <v>0.189</v>
      </c>
      <c r="BC476" s="25">
        <v>1E-4</v>
      </c>
      <c r="BD476" s="24">
        <v>0</v>
      </c>
      <c r="BE476" s="26">
        <v>0</v>
      </c>
      <c r="BF476" s="34">
        <f t="shared" si="95"/>
        <v>0</v>
      </c>
      <c r="BG476" s="34">
        <f t="shared" si="96"/>
        <v>0</v>
      </c>
      <c r="BH476" s="26">
        <v>0</v>
      </c>
      <c r="BI476" s="26">
        <v>0</v>
      </c>
      <c r="BJ476" s="27">
        <v>4.9000000000000002E-2</v>
      </c>
      <c r="BK476" s="27">
        <v>0.15260607052761779</v>
      </c>
      <c r="BL476" s="27" t="s">
        <v>5443</v>
      </c>
      <c r="BM476" s="27" t="s">
        <v>419</v>
      </c>
      <c r="BN476" s="26"/>
      <c r="BO476" s="34"/>
      <c r="BP476" s="34"/>
      <c r="BQ476" s="34"/>
      <c r="BR476" s="34"/>
      <c r="BS476" s="34"/>
      <c r="BT476" s="34"/>
      <c r="BU476" s="34"/>
      <c r="BV476" s="34"/>
      <c r="BW476" s="34"/>
      <c r="BX476" s="34"/>
      <c r="BY476" s="34"/>
      <c r="BZ476" s="34"/>
      <c r="CA476" s="20"/>
      <c r="CB476" s="20"/>
      <c r="CC476" s="46">
        <v>46003</v>
      </c>
      <c r="CD476" s="2" t="s">
        <v>5444</v>
      </c>
    </row>
    <row r="477" spans="1:82" s="18" customFormat="1" ht="66.75" customHeight="1" x14ac:dyDescent="0.25">
      <c r="A477" s="87">
        <v>473</v>
      </c>
      <c r="B477" s="141" t="s">
        <v>5445</v>
      </c>
      <c r="C477" s="6" t="s">
        <v>5446</v>
      </c>
      <c r="D477" s="6" t="s">
        <v>5447</v>
      </c>
      <c r="E477" s="75" t="s">
        <v>113</v>
      </c>
      <c r="F477" s="4" t="s">
        <v>81</v>
      </c>
      <c r="G477" s="5" t="s">
        <v>84</v>
      </c>
      <c r="H477" s="6" t="s">
        <v>775</v>
      </c>
      <c r="I477" s="6" t="s">
        <v>2295</v>
      </c>
      <c r="J477" s="6"/>
      <c r="K477" s="6"/>
      <c r="L477" s="6"/>
      <c r="M477" s="6" t="s">
        <v>136</v>
      </c>
      <c r="N477" s="6" t="s">
        <v>89</v>
      </c>
      <c r="O477" s="6" t="s">
        <v>213</v>
      </c>
      <c r="P477" s="6" t="s">
        <v>5448</v>
      </c>
      <c r="Q477" s="6"/>
      <c r="R477" s="82" t="s">
        <v>91</v>
      </c>
      <c r="S477" s="5" t="s">
        <v>92</v>
      </c>
      <c r="T477" s="5" t="s">
        <v>93</v>
      </c>
      <c r="U477" s="91">
        <v>100</v>
      </c>
      <c r="V477" s="5" t="s">
        <v>94</v>
      </c>
      <c r="W477" s="5" t="s">
        <v>95</v>
      </c>
      <c r="X477" s="5">
        <v>2024</v>
      </c>
      <c r="Y477" s="5" t="s">
        <v>117</v>
      </c>
      <c r="Z477" s="5" t="s">
        <v>95</v>
      </c>
      <c r="AA477" s="5" t="s">
        <v>973</v>
      </c>
      <c r="AB477" s="6" t="s">
        <v>99</v>
      </c>
      <c r="AC477" s="79" t="s">
        <v>5449</v>
      </c>
      <c r="AD477" s="79" t="s">
        <v>5450</v>
      </c>
      <c r="AE477" s="49" t="s">
        <v>5451</v>
      </c>
      <c r="AF477" s="49" t="s">
        <v>121</v>
      </c>
      <c r="AG477" s="49" t="s">
        <v>218</v>
      </c>
      <c r="AH477" s="49" t="s">
        <v>123</v>
      </c>
      <c r="AI477" s="49" t="s">
        <v>5452</v>
      </c>
      <c r="AJ477" s="49" t="s">
        <v>5453</v>
      </c>
      <c r="AK477" s="33" t="s">
        <v>5454</v>
      </c>
      <c r="AL477" s="33" t="s">
        <v>5455</v>
      </c>
      <c r="AM477" s="5" t="s">
        <v>221</v>
      </c>
      <c r="AN477" s="5" t="s">
        <v>5456</v>
      </c>
      <c r="AO477" s="5" t="s">
        <v>5457</v>
      </c>
      <c r="AP477" s="5" t="s">
        <v>5458</v>
      </c>
      <c r="AQ477" s="49" t="s">
        <v>5459</v>
      </c>
      <c r="AR477" s="20" t="s">
        <v>97</v>
      </c>
      <c r="AS477" s="20" t="s">
        <v>107</v>
      </c>
      <c r="AT477" s="20"/>
      <c r="AU477" s="24">
        <v>0.26</v>
      </c>
      <c r="AV477" s="24">
        <f t="shared" si="97"/>
        <v>0.20800000000000002</v>
      </c>
      <c r="AW477" s="24">
        <f t="shared" si="98"/>
        <v>0.156</v>
      </c>
      <c r="AX477" s="25">
        <v>1E-4</v>
      </c>
      <c r="AY477" s="24">
        <v>0</v>
      </c>
      <c r="AZ477" s="24">
        <f t="shared" si="99"/>
        <v>0.23400000000000001</v>
      </c>
      <c r="BA477" s="24">
        <f t="shared" si="100"/>
        <v>0.18720000000000003</v>
      </c>
      <c r="BB477" s="24">
        <f t="shared" si="101"/>
        <v>0.1404</v>
      </c>
      <c r="BC477" s="25">
        <v>1E-4</v>
      </c>
      <c r="BD477" s="24">
        <v>0</v>
      </c>
      <c r="BE477" s="26">
        <v>0</v>
      </c>
      <c r="BF477" s="34">
        <f t="shared" si="95"/>
        <v>0</v>
      </c>
      <c r="BG477" s="34">
        <f t="shared" si="96"/>
        <v>0</v>
      </c>
      <c r="BH477" s="26">
        <v>0</v>
      </c>
      <c r="BI477" s="26">
        <v>0</v>
      </c>
      <c r="BJ477" s="20" t="s">
        <v>496</v>
      </c>
      <c r="BK477" s="20" t="s">
        <v>496</v>
      </c>
      <c r="BL477" s="27" t="s">
        <v>5460</v>
      </c>
      <c r="BM477" s="27" t="s">
        <v>5461</v>
      </c>
      <c r="BN477" s="26">
        <v>1</v>
      </c>
      <c r="BO477" s="34"/>
      <c r="BP477" s="34"/>
      <c r="BQ477" s="34"/>
      <c r="BR477" s="34"/>
      <c r="BS477" s="34"/>
      <c r="BT477" s="34"/>
      <c r="BU477" s="34"/>
      <c r="BV477" s="34"/>
      <c r="BW477" s="34"/>
      <c r="BX477" s="34"/>
      <c r="BY477" s="34"/>
      <c r="BZ477" s="34"/>
      <c r="CA477" s="20"/>
      <c r="CB477" s="20"/>
      <c r="CC477" s="35">
        <v>46003</v>
      </c>
      <c r="CD477" s="35" t="s">
        <v>5462</v>
      </c>
    </row>
    <row r="478" spans="1:82" s="18" customFormat="1" ht="142.5" customHeight="1" x14ac:dyDescent="0.25">
      <c r="A478" s="121">
        <v>474</v>
      </c>
      <c r="B478" s="141" t="s">
        <v>5463</v>
      </c>
      <c r="C478" s="6" t="s">
        <v>5464</v>
      </c>
      <c r="D478" s="6" t="s">
        <v>5465</v>
      </c>
      <c r="E478" s="75" t="s">
        <v>174</v>
      </c>
      <c r="F478" s="4" t="s">
        <v>81</v>
      </c>
      <c r="G478" s="5" t="s">
        <v>2782</v>
      </c>
      <c r="H478" s="6" t="s">
        <v>775</v>
      </c>
      <c r="I478" s="6" t="s">
        <v>2295</v>
      </c>
      <c r="J478" s="6"/>
      <c r="K478" s="6"/>
      <c r="L478" s="6"/>
      <c r="M478" s="6" t="s">
        <v>136</v>
      </c>
      <c r="N478" s="6" t="s">
        <v>89</v>
      </c>
      <c r="O478" s="6" t="s">
        <v>213</v>
      </c>
      <c r="P478" s="6" t="s">
        <v>5448</v>
      </c>
      <c r="Q478" s="6"/>
      <c r="R478" s="82" t="s">
        <v>175</v>
      </c>
      <c r="S478" s="5" t="s">
        <v>92</v>
      </c>
      <c r="T478" s="5" t="s">
        <v>93</v>
      </c>
      <c r="U478" s="91">
        <v>100</v>
      </c>
      <c r="V478" s="5" t="s">
        <v>94</v>
      </c>
      <c r="W478" s="5" t="s">
        <v>95</v>
      </c>
      <c r="X478" s="5">
        <v>2022</v>
      </c>
      <c r="Y478" s="5" t="s">
        <v>117</v>
      </c>
      <c r="Z478" s="5" t="s">
        <v>95</v>
      </c>
      <c r="AA478" s="5" t="s">
        <v>973</v>
      </c>
      <c r="AB478" s="6" t="s">
        <v>99</v>
      </c>
      <c r="AC478" s="79" t="s">
        <v>5466</v>
      </c>
      <c r="AD478" s="79" t="s">
        <v>5467</v>
      </c>
      <c r="AE478" s="6" t="s">
        <v>5468</v>
      </c>
      <c r="AF478" s="6" t="s">
        <v>2398</v>
      </c>
      <c r="AG478" s="6" t="s">
        <v>178</v>
      </c>
      <c r="AH478" s="6" t="s">
        <v>123</v>
      </c>
      <c r="AI478" s="6" t="s">
        <v>5469</v>
      </c>
      <c r="AJ478" s="6" t="s">
        <v>5470</v>
      </c>
      <c r="AK478" s="5" t="s">
        <v>5471</v>
      </c>
      <c r="AL478" s="5" t="s">
        <v>5472</v>
      </c>
      <c r="AM478" s="5" t="s">
        <v>221</v>
      </c>
      <c r="AN478" s="5"/>
      <c r="AO478" s="5" t="s">
        <v>5473</v>
      </c>
      <c r="AP478" s="5" t="s">
        <v>5474</v>
      </c>
      <c r="AQ478" s="6" t="s">
        <v>5459</v>
      </c>
      <c r="AR478" s="20" t="s">
        <v>97</v>
      </c>
      <c r="AS478" s="20" t="s">
        <v>107</v>
      </c>
      <c r="AT478" s="20"/>
      <c r="AU478" s="41">
        <v>0.2</v>
      </c>
      <c r="AV478" s="24">
        <f t="shared" si="97"/>
        <v>0.16000000000000003</v>
      </c>
      <c r="AW478" s="24">
        <f t="shared" si="98"/>
        <v>0.12</v>
      </c>
      <c r="AX478" s="25">
        <v>1E-4</v>
      </c>
      <c r="AY478" s="24">
        <v>0</v>
      </c>
      <c r="AZ478" s="24">
        <f t="shared" si="99"/>
        <v>0.18000000000000002</v>
      </c>
      <c r="BA478" s="24">
        <f t="shared" si="100"/>
        <v>0.14400000000000002</v>
      </c>
      <c r="BB478" s="24">
        <f t="shared" si="101"/>
        <v>0.10800000000000001</v>
      </c>
      <c r="BC478" s="25">
        <v>1E-4</v>
      </c>
      <c r="BD478" s="24">
        <v>0</v>
      </c>
      <c r="BE478" s="34">
        <v>5</v>
      </c>
      <c r="BF478" s="34">
        <f t="shared" si="95"/>
        <v>4</v>
      </c>
      <c r="BG478" s="34">
        <f t="shared" si="96"/>
        <v>3</v>
      </c>
      <c r="BH478" s="26">
        <v>1</v>
      </c>
      <c r="BI478" s="26">
        <v>0</v>
      </c>
      <c r="BJ478" s="27">
        <v>1.0999999999999999E-2</v>
      </c>
      <c r="BK478" s="27">
        <v>3.4875383636707669E-2</v>
      </c>
      <c r="BL478" s="27" t="s">
        <v>5475</v>
      </c>
      <c r="BM478" s="27" t="s">
        <v>5476</v>
      </c>
      <c r="BN478" s="26"/>
      <c r="BO478" s="34"/>
      <c r="BP478" s="34"/>
      <c r="BQ478" s="34"/>
      <c r="BR478" s="34"/>
      <c r="BS478" s="34"/>
      <c r="BT478" s="34"/>
      <c r="BU478" s="34"/>
      <c r="BV478" s="34"/>
      <c r="BW478" s="34"/>
      <c r="BX478" s="34"/>
      <c r="BY478" s="34"/>
      <c r="BZ478" s="34">
        <v>1</v>
      </c>
      <c r="CA478" s="20" t="s">
        <v>2295</v>
      </c>
      <c r="CB478" s="20" t="s">
        <v>2295</v>
      </c>
      <c r="CC478" s="29">
        <v>46003</v>
      </c>
      <c r="CD478" s="42" t="s">
        <v>5477</v>
      </c>
    </row>
    <row r="479" spans="1:82" s="18" customFormat="1" ht="66.75" customHeight="1" x14ac:dyDescent="0.25">
      <c r="A479" s="87">
        <v>475</v>
      </c>
      <c r="B479" s="141" t="s">
        <v>5478</v>
      </c>
      <c r="C479" s="6" t="s">
        <v>5479</v>
      </c>
      <c r="D479" s="6" t="s">
        <v>5480</v>
      </c>
      <c r="E479" s="75" t="s">
        <v>113</v>
      </c>
      <c r="F479" s="4" t="s">
        <v>2782</v>
      </c>
      <c r="G479" s="5" t="s">
        <v>84</v>
      </c>
      <c r="H479" s="6" t="s">
        <v>775</v>
      </c>
      <c r="I479" s="6" t="s">
        <v>1046</v>
      </c>
      <c r="J479" s="6"/>
      <c r="K479" s="6"/>
      <c r="L479" s="6"/>
      <c r="M479" s="6" t="s">
        <v>88</v>
      </c>
      <c r="N479" s="6" t="s">
        <v>89</v>
      </c>
      <c r="O479" s="6" t="s">
        <v>116</v>
      </c>
      <c r="P479" s="6" t="s">
        <v>5448</v>
      </c>
      <c r="Q479" s="6"/>
      <c r="R479" s="82" t="s">
        <v>91</v>
      </c>
      <c r="S479" s="5" t="s">
        <v>92</v>
      </c>
      <c r="T479" s="5" t="s">
        <v>93</v>
      </c>
      <c r="U479" s="91">
        <v>100</v>
      </c>
      <c r="V479" s="5" t="s">
        <v>94</v>
      </c>
      <c r="W479" s="5" t="s">
        <v>95</v>
      </c>
      <c r="X479" s="5">
        <v>2023</v>
      </c>
      <c r="Y479" s="5" t="s">
        <v>117</v>
      </c>
      <c r="Z479" s="5" t="s">
        <v>97</v>
      </c>
      <c r="AA479" s="5" t="s">
        <v>973</v>
      </c>
      <c r="AB479" s="6" t="s">
        <v>99</v>
      </c>
      <c r="AC479" s="79" t="s">
        <v>5481</v>
      </c>
      <c r="AD479" s="79" t="s">
        <v>2785</v>
      </c>
      <c r="AE479" s="49" t="s">
        <v>5451</v>
      </c>
      <c r="AF479" s="49" t="s">
        <v>2787</v>
      </c>
      <c r="AG479" s="49" t="s">
        <v>5482</v>
      </c>
      <c r="AH479" s="49" t="s">
        <v>1043</v>
      </c>
      <c r="AI479" s="49" t="s">
        <v>5483</v>
      </c>
      <c r="AJ479" s="49" t="s">
        <v>2789</v>
      </c>
      <c r="AK479" s="33" t="s">
        <v>97</v>
      </c>
      <c r="AL479" s="33" t="s">
        <v>97</v>
      </c>
      <c r="AM479" s="5"/>
      <c r="AN479" s="5"/>
      <c r="AO479" s="5"/>
      <c r="AP479" s="5"/>
      <c r="AQ479" s="49" t="s">
        <v>1046</v>
      </c>
      <c r="AR479" s="20" t="s">
        <v>97</v>
      </c>
      <c r="AS479" s="20" t="s">
        <v>107</v>
      </c>
      <c r="AT479" s="20"/>
      <c r="AU479" s="24">
        <v>0.2</v>
      </c>
      <c r="AV479" s="24">
        <f t="shared" si="97"/>
        <v>0.16000000000000003</v>
      </c>
      <c r="AW479" s="24">
        <f t="shared" si="98"/>
        <v>0.12</v>
      </c>
      <c r="AX479" s="25">
        <v>1E-4</v>
      </c>
      <c r="AY479" s="24">
        <v>0</v>
      </c>
      <c r="AZ479" s="24">
        <f t="shared" si="99"/>
        <v>0.18000000000000002</v>
      </c>
      <c r="BA479" s="24">
        <f t="shared" si="100"/>
        <v>0.14400000000000002</v>
      </c>
      <c r="BB479" s="24">
        <f t="shared" si="101"/>
        <v>0.10800000000000001</v>
      </c>
      <c r="BC479" s="25">
        <v>1E-4</v>
      </c>
      <c r="BD479" s="24">
        <v>0</v>
      </c>
      <c r="BE479" s="26">
        <v>0</v>
      </c>
      <c r="BF479" s="34">
        <f t="shared" si="95"/>
        <v>0</v>
      </c>
      <c r="BG479" s="34">
        <f t="shared" si="96"/>
        <v>0</v>
      </c>
      <c r="BH479" s="26">
        <v>0</v>
      </c>
      <c r="BI479" s="26">
        <v>0</v>
      </c>
      <c r="BJ479" s="27">
        <v>3.4000000000000002E-2</v>
      </c>
      <c r="BK479" s="27">
        <v>5.2022972520538772E-2</v>
      </c>
      <c r="BL479" s="27" t="s">
        <v>5484</v>
      </c>
      <c r="BM479" s="27" t="s">
        <v>5485</v>
      </c>
      <c r="BN479" s="26"/>
      <c r="BO479" s="34"/>
      <c r="BP479" s="34"/>
      <c r="BQ479" s="34"/>
      <c r="BR479" s="34"/>
      <c r="BS479" s="34"/>
      <c r="BT479" s="34"/>
      <c r="BU479" s="34"/>
      <c r="BV479" s="34"/>
      <c r="BW479" s="34"/>
      <c r="BX479" s="34"/>
      <c r="BY479" s="34"/>
      <c r="BZ479" s="34">
        <v>1</v>
      </c>
      <c r="CA479" s="20" t="s">
        <v>2295</v>
      </c>
      <c r="CB479" s="20" t="s">
        <v>2295</v>
      </c>
      <c r="CC479" s="46">
        <v>46003</v>
      </c>
      <c r="CD479" s="2" t="s">
        <v>2802</v>
      </c>
    </row>
    <row r="480" spans="1:82" s="18" customFormat="1" ht="66.75" customHeight="1" x14ac:dyDescent="0.25">
      <c r="A480" s="87">
        <v>476</v>
      </c>
      <c r="B480" s="141" t="s">
        <v>5486</v>
      </c>
      <c r="C480" s="6" t="s">
        <v>5487</v>
      </c>
      <c r="D480" s="6" t="s">
        <v>5488</v>
      </c>
      <c r="E480" s="75" t="s">
        <v>113</v>
      </c>
      <c r="F480" s="4" t="s">
        <v>2782</v>
      </c>
      <c r="G480" s="5" t="s">
        <v>84</v>
      </c>
      <c r="H480" s="6" t="s">
        <v>775</v>
      </c>
      <c r="I480" s="6" t="s">
        <v>1046</v>
      </c>
      <c r="J480" s="6"/>
      <c r="K480" s="6"/>
      <c r="L480" s="6"/>
      <c r="M480" s="6" t="s">
        <v>136</v>
      </c>
      <c r="N480" s="6" t="s">
        <v>89</v>
      </c>
      <c r="O480" s="6" t="s">
        <v>1444</v>
      </c>
      <c r="P480" s="6" t="s">
        <v>1445</v>
      </c>
      <c r="Q480" s="6"/>
      <c r="R480" s="82" t="s">
        <v>91</v>
      </c>
      <c r="S480" s="5" t="s">
        <v>92</v>
      </c>
      <c r="T480" s="5" t="s">
        <v>93</v>
      </c>
      <c r="U480" s="91">
        <v>100</v>
      </c>
      <c r="V480" s="5" t="s">
        <v>94</v>
      </c>
      <c r="W480" s="5" t="s">
        <v>95</v>
      </c>
      <c r="X480" s="5">
        <v>2023</v>
      </c>
      <c r="Y480" s="5" t="s">
        <v>117</v>
      </c>
      <c r="Z480" s="5" t="s">
        <v>97</v>
      </c>
      <c r="AA480" s="5" t="s">
        <v>973</v>
      </c>
      <c r="AB480" s="6" t="s">
        <v>99</v>
      </c>
      <c r="AC480" s="79" t="s">
        <v>5489</v>
      </c>
      <c r="AD480" s="79" t="s">
        <v>2785</v>
      </c>
      <c r="AE480" s="49" t="s">
        <v>5490</v>
      </c>
      <c r="AF480" s="49" t="s">
        <v>2787</v>
      </c>
      <c r="AG480" s="49" t="s">
        <v>218</v>
      </c>
      <c r="AH480" s="49" t="s">
        <v>1043</v>
      </c>
      <c r="AI480" s="49" t="s">
        <v>5491</v>
      </c>
      <c r="AJ480" s="49" t="s">
        <v>2789</v>
      </c>
      <c r="AK480" s="33" t="s">
        <v>97</v>
      </c>
      <c r="AL480" s="33" t="s">
        <v>97</v>
      </c>
      <c r="AM480" s="5"/>
      <c r="AN480" s="5" t="s">
        <v>470</v>
      </c>
      <c r="AO480" s="5"/>
      <c r="AP480" s="5"/>
      <c r="AQ480" s="49" t="s">
        <v>1046</v>
      </c>
      <c r="AR480" s="20" t="s">
        <v>97</v>
      </c>
      <c r="AS480" s="20" t="s">
        <v>107</v>
      </c>
      <c r="AT480" s="20"/>
      <c r="AU480" s="24">
        <v>0.3</v>
      </c>
      <c r="AV480" s="24">
        <f t="shared" si="97"/>
        <v>0.24</v>
      </c>
      <c r="AW480" s="24">
        <f t="shared" si="98"/>
        <v>0.18</v>
      </c>
      <c r="AX480" s="25">
        <v>1E-4</v>
      </c>
      <c r="AY480" s="24">
        <v>0</v>
      </c>
      <c r="AZ480" s="24">
        <f t="shared" si="99"/>
        <v>0.27</v>
      </c>
      <c r="BA480" s="24">
        <f t="shared" si="100"/>
        <v>0.21600000000000003</v>
      </c>
      <c r="BB480" s="24">
        <f t="shared" si="101"/>
        <v>0.16200000000000001</v>
      </c>
      <c r="BC480" s="25">
        <v>1E-4</v>
      </c>
      <c r="BD480" s="24">
        <v>0</v>
      </c>
      <c r="BE480" s="26">
        <v>0</v>
      </c>
      <c r="BF480" s="34">
        <f t="shared" si="95"/>
        <v>0</v>
      </c>
      <c r="BG480" s="34">
        <f t="shared" si="96"/>
        <v>0</v>
      </c>
      <c r="BH480" s="26">
        <v>0</v>
      </c>
      <c r="BI480" s="26">
        <v>0</v>
      </c>
      <c r="BJ480" s="27">
        <v>8.8999999999999996E-2</v>
      </c>
      <c r="BK480" s="27">
        <v>0.16709160678874038</v>
      </c>
      <c r="BL480" s="27" t="s">
        <v>5492</v>
      </c>
      <c r="BM480" s="27" t="s">
        <v>5493</v>
      </c>
      <c r="BN480" s="26"/>
      <c r="BO480" s="34"/>
      <c r="BP480" s="34"/>
      <c r="BQ480" s="34"/>
      <c r="BR480" s="34"/>
      <c r="BS480" s="34"/>
      <c r="BT480" s="34"/>
      <c r="BU480" s="34"/>
      <c r="BV480" s="34"/>
      <c r="BW480" s="34"/>
      <c r="BX480" s="34"/>
      <c r="BY480" s="34"/>
      <c r="BZ480" s="34">
        <v>1</v>
      </c>
      <c r="CA480" s="20" t="s">
        <v>2295</v>
      </c>
      <c r="CB480" s="20" t="s">
        <v>2295</v>
      </c>
      <c r="CC480" s="46">
        <v>46003</v>
      </c>
      <c r="CD480" s="2" t="s">
        <v>5494</v>
      </c>
    </row>
    <row r="481" spans="1:82" s="18" customFormat="1" ht="66.75" customHeight="1" x14ac:dyDescent="0.25">
      <c r="A481" s="121">
        <v>477</v>
      </c>
      <c r="B481" s="141" t="s">
        <v>5495</v>
      </c>
      <c r="C481" s="6" t="s">
        <v>5496</v>
      </c>
      <c r="D481" s="6" t="s">
        <v>5497</v>
      </c>
      <c r="E481" s="75" t="s">
        <v>113</v>
      </c>
      <c r="F481" s="4" t="s">
        <v>2782</v>
      </c>
      <c r="G481" s="5" t="s">
        <v>2782</v>
      </c>
      <c r="H481" s="6" t="s">
        <v>775</v>
      </c>
      <c r="I481" s="6" t="s">
        <v>1046</v>
      </c>
      <c r="J481" s="6" t="s">
        <v>115</v>
      </c>
      <c r="K481" s="6"/>
      <c r="L481" s="6"/>
      <c r="M481" s="6" t="s">
        <v>136</v>
      </c>
      <c r="N481" s="6" t="s">
        <v>89</v>
      </c>
      <c r="O481" s="6" t="s">
        <v>116</v>
      </c>
      <c r="P481" s="6" t="s">
        <v>1654</v>
      </c>
      <c r="Q481" s="6"/>
      <c r="R481" s="82" t="s">
        <v>91</v>
      </c>
      <c r="S481" s="5" t="s">
        <v>92</v>
      </c>
      <c r="T481" s="5" t="s">
        <v>93</v>
      </c>
      <c r="U481" s="91">
        <v>100</v>
      </c>
      <c r="V481" s="5" t="s">
        <v>94</v>
      </c>
      <c r="W481" s="5" t="s">
        <v>95</v>
      </c>
      <c r="X481" s="5">
        <v>2024</v>
      </c>
      <c r="Y481" s="5" t="s">
        <v>117</v>
      </c>
      <c r="Z481" s="5" t="s">
        <v>97</v>
      </c>
      <c r="AA481" s="5" t="s">
        <v>973</v>
      </c>
      <c r="AB481" s="6" t="s">
        <v>99</v>
      </c>
      <c r="AC481" s="79" t="s">
        <v>5498</v>
      </c>
      <c r="AD481" s="79" t="s">
        <v>2785</v>
      </c>
      <c r="AE481" s="49" t="s">
        <v>5499</v>
      </c>
      <c r="AF481" s="49" t="s">
        <v>2787</v>
      </c>
      <c r="AG481" s="49" t="s">
        <v>2840</v>
      </c>
      <c r="AH481" s="49" t="s">
        <v>1043</v>
      </c>
      <c r="AI481" s="49" t="s">
        <v>5500</v>
      </c>
      <c r="AJ481" s="49" t="s">
        <v>2789</v>
      </c>
      <c r="AK481" s="33" t="s">
        <v>97</v>
      </c>
      <c r="AL481" s="33" t="s">
        <v>97</v>
      </c>
      <c r="AM481" s="5"/>
      <c r="AN481" s="5" t="s">
        <v>5456</v>
      </c>
      <c r="AO481" s="5"/>
      <c r="AP481" s="5"/>
      <c r="AQ481" s="49" t="s">
        <v>1046</v>
      </c>
      <c r="AR481" s="20" t="s">
        <v>97</v>
      </c>
      <c r="AS481" s="20" t="s">
        <v>107</v>
      </c>
      <c r="AT481" s="20"/>
      <c r="AU481" s="24">
        <v>0.6</v>
      </c>
      <c r="AV481" s="24">
        <f t="shared" si="97"/>
        <v>0.48</v>
      </c>
      <c r="AW481" s="24">
        <f t="shared" si="98"/>
        <v>0.36</v>
      </c>
      <c r="AX481" s="25">
        <v>1E-4</v>
      </c>
      <c r="AY481" s="24">
        <v>0</v>
      </c>
      <c r="AZ481" s="24">
        <f t="shared" si="99"/>
        <v>0.54</v>
      </c>
      <c r="BA481" s="24">
        <f t="shared" si="100"/>
        <v>0.43200000000000005</v>
      </c>
      <c r="BB481" s="24">
        <f t="shared" si="101"/>
        <v>0.32400000000000001</v>
      </c>
      <c r="BC481" s="25">
        <v>1E-4</v>
      </c>
      <c r="BD481" s="24">
        <v>0</v>
      </c>
      <c r="BE481" s="26">
        <v>0</v>
      </c>
      <c r="BF481" s="34">
        <f t="shared" si="95"/>
        <v>0</v>
      </c>
      <c r="BG481" s="34">
        <f t="shared" si="96"/>
        <v>0</v>
      </c>
      <c r="BH481" s="26">
        <v>0</v>
      </c>
      <c r="BI481" s="26">
        <v>0</v>
      </c>
      <c r="BJ481" s="20" t="s">
        <v>496</v>
      </c>
      <c r="BK481" s="20" t="s">
        <v>496</v>
      </c>
      <c r="BL481" s="27" t="s">
        <v>5501</v>
      </c>
      <c r="BM481" s="27" t="s">
        <v>5502</v>
      </c>
      <c r="BN481" s="26">
        <v>1</v>
      </c>
      <c r="BO481" s="34"/>
      <c r="BP481" s="34"/>
      <c r="BQ481" s="34"/>
      <c r="BR481" s="34"/>
      <c r="BS481" s="34"/>
      <c r="BT481" s="34"/>
      <c r="BU481" s="34"/>
      <c r="BV481" s="34"/>
      <c r="BW481" s="34"/>
      <c r="BX481" s="34"/>
      <c r="BY481" s="34"/>
      <c r="BZ481" s="34"/>
      <c r="CA481" s="20"/>
      <c r="CB481" s="20"/>
      <c r="CC481" s="46">
        <v>46006</v>
      </c>
      <c r="CD481" s="21" t="s">
        <v>5503</v>
      </c>
    </row>
    <row r="482" spans="1:82" s="18" customFormat="1" ht="66.75" customHeight="1" x14ac:dyDescent="0.25">
      <c r="A482" s="87">
        <v>478</v>
      </c>
      <c r="B482" s="141" t="s">
        <v>5504</v>
      </c>
      <c r="C482" s="6" t="s">
        <v>5505</v>
      </c>
      <c r="D482" s="6" t="s">
        <v>5506</v>
      </c>
      <c r="E482" s="75" t="s">
        <v>174</v>
      </c>
      <c r="F482" s="4" t="s">
        <v>81</v>
      </c>
      <c r="G482" s="5">
        <v>160</v>
      </c>
      <c r="H482" s="6" t="s">
        <v>423</v>
      </c>
      <c r="I482" s="6" t="s">
        <v>423</v>
      </c>
      <c r="J482" s="6"/>
      <c r="K482" s="6"/>
      <c r="L482" s="6"/>
      <c r="M482" s="6" t="s">
        <v>136</v>
      </c>
      <c r="N482" s="6" t="s">
        <v>89</v>
      </c>
      <c r="O482" s="6" t="s">
        <v>116</v>
      </c>
      <c r="P482" s="6" t="s">
        <v>115</v>
      </c>
      <c r="Q482" s="6"/>
      <c r="R482" s="82" t="s">
        <v>91</v>
      </c>
      <c r="S482" s="5" t="s">
        <v>92</v>
      </c>
      <c r="T482" s="5" t="s">
        <v>93</v>
      </c>
      <c r="U482" s="91">
        <v>100</v>
      </c>
      <c r="V482" s="5" t="s">
        <v>94</v>
      </c>
      <c r="W482" s="5" t="s">
        <v>95</v>
      </c>
      <c r="X482" s="5">
        <v>2021</v>
      </c>
      <c r="Y482" s="5" t="s">
        <v>117</v>
      </c>
      <c r="Z482" s="5" t="s">
        <v>95</v>
      </c>
      <c r="AA482" s="5" t="s">
        <v>98</v>
      </c>
      <c r="AB482" s="6" t="s">
        <v>99</v>
      </c>
      <c r="AC482" s="79" t="s">
        <v>5507</v>
      </c>
      <c r="AD482" s="117" t="s">
        <v>438</v>
      </c>
      <c r="AE482" s="6" t="s">
        <v>5508</v>
      </c>
      <c r="AF482" s="6" t="s">
        <v>121</v>
      </c>
      <c r="AG482" s="6" t="s">
        <v>122</v>
      </c>
      <c r="AH482" s="6" t="s">
        <v>123</v>
      </c>
      <c r="AI482" s="6" t="s">
        <v>5509</v>
      </c>
      <c r="AJ482" s="2" t="s">
        <v>5510</v>
      </c>
      <c r="AK482" s="33" t="s">
        <v>97</v>
      </c>
      <c r="AL482" s="33" t="s">
        <v>97</v>
      </c>
      <c r="AM482" s="5" t="s">
        <v>5511</v>
      </c>
      <c r="AN482" s="5" t="s">
        <v>5512</v>
      </c>
      <c r="AO482" s="5" t="s">
        <v>5513</v>
      </c>
      <c r="AP482" s="5" t="s">
        <v>5514</v>
      </c>
      <c r="AQ482" s="6" t="s">
        <v>143</v>
      </c>
      <c r="AR482" s="20" t="s">
        <v>97</v>
      </c>
      <c r="AS482" s="20" t="s">
        <v>107</v>
      </c>
      <c r="AT482" s="20"/>
      <c r="AU482" s="24">
        <v>0.6</v>
      </c>
      <c r="AV482" s="24">
        <f t="shared" si="97"/>
        <v>0.48</v>
      </c>
      <c r="AW482" s="24">
        <f t="shared" si="98"/>
        <v>0.36</v>
      </c>
      <c r="AX482" s="25">
        <v>1E-4</v>
      </c>
      <c r="AY482" s="24">
        <v>0</v>
      </c>
      <c r="AZ482" s="24">
        <f t="shared" si="99"/>
        <v>0.54</v>
      </c>
      <c r="BA482" s="24">
        <f t="shared" si="100"/>
        <v>0.43200000000000005</v>
      </c>
      <c r="BB482" s="24">
        <f t="shared" si="101"/>
        <v>0.32400000000000001</v>
      </c>
      <c r="BC482" s="25">
        <v>1E-4</v>
      </c>
      <c r="BD482" s="24">
        <v>0</v>
      </c>
      <c r="BE482" s="34">
        <v>10</v>
      </c>
      <c r="BF482" s="34">
        <f t="shared" si="95"/>
        <v>8</v>
      </c>
      <c r="BG482" s="34">
        <f t="shared" si="96"/>
        <v>6</v>
      </c>
      <c r="BH482" s="26">
        <v>1</v>
      </c>
      <c r="BI482" s="26">
        <v>0</v>
      </c>
      <c r="BJ482" s="27">
        <v>0.46100000000000002</v>
      </c>
      <c r="BK482" s="27">
        <v>0.46866076168655174</v>
      </c>
      <c r="BL482" s="27" t="s">
        <v>5515</v>
      </c>
      <c r="BM482" s="27" t="s">
        <v>5516</v>
      </c>
      <c r="BN482" s="26">
        <v>1</v>
      </c>
      <c r="BO482" s="34"/>
      <c r="BP482" s="34"/>
      <c r="BQ482" s="34"/>
      <c r="BR482" s="34"/>
      <c r="BS482" s="34"/>
      <c r="BT482" s="34"/>
      <c r="BU482" s="34"/>
      <c r="BV482" s="34"/>
      <c r="BW482" s="34"/>
      <c r="BX482" s="34"/>
      <c r="BY482" s="34"/>
      <c r="BZ482" s="34">
        <v>1</v>
      </c>
      <c r="CA482" s="20" t="s">
        <v>240</v>
      </c>
      <c r="CB482" s="20" t="s">
        <v>240</v>
      </c>
      <c r="CC482" s="46">
        <v>46044</v>
      </c>
      <c r="CD482" s="61" t="s">
        <v>5517</v>
      </c>
    </row>
    <row r="483" spans="1:82" s="18" customFormat="1" ht="66.75" customHeight="1" x14ac:dyDescent="0.25">
      <c r="A483" s="87">
        <v>479</v>
      </c>
      <c r="B483" s="141" t="s">
        <v>5518</v>
      </c>
      <c r="C483" s="6" t="s">
        <v>5519</v>
      </c>
      <c r="D483" s="6" t="s">
        <v>5520</v>
      </c>
      <c r="E483" s="75" t="s">
        <v>113</v>
      </c>
      <c r="F483" s="49" t="s">
        <v>81</v>
      </c>
      <c r="G483" s="5" t="s">
        <v>84</v>
      </c>
      <c r="H483" s="6" t="s">
        <v>114</v>
      </c>
      <c r="I483" s="6" t="s">
        <v>578</v>
      </c>
      <c r="J483" s="6"/>
      <c r="K483" s="6"/>
      <c r="L483" s="6"/>
      <c r="M483" s="6" t="s">
        <v>136</v>
      </c>
      <c r="N483" s="6" t="s">
        <v>89</v>
      </c>
      <c r="O483" s="6" t="s">
        <v>579</v>
      </c>
      <c r="P483" s="6" t="s">
        <v>580</v>
      </c>
      <c r="Q483" s="6"/>
      <c r="R483" s="82" t="s">
        <v>91</v>
      </c>
      <c r="S483" s="5" t="s">
        <v>92</v>
      </c>
      <c r="T483" s="5" t="s">
        <v>93</v>
      </c>
      <c r="U483" s="91">
        <v>100</v>
      </c>
      <c r="V483" s="5" t="s">
        <v>94</v>
      </c>
      <c r="W483" s="5" t="s">
        <v>95</v>
      </c>
      <c r="X483" s="5">
        <v>2025</v>
      </c>
      <c r="Y483" s="5" t="s">
        <v>117</v>
      </c>
      <c r="Z483" s="5" t="s">
        <v>97</v>
      </c>
      <c r="AA483" s="5" t="s">
        <v>98</v>
      </c>
      <c r="AB483" s="6" t="s">
        <v>99</v>
      </c>
      <c r="AC483" s="79" t="s">
        <v>5521</v>
      </c>
      <c r="AD483" s="79" t="s">
        <v>596</v>
      </c>
      <c r="AE483" s="6" t="s">
        <v>666</v>
      </c>
      <c r="AF483" s="49" t="s">
        <v>121</v>
      </c>
      <c r="AG483" s="49" t="s">
        <v>218</v>
      </c>
      <c r="AH483" s="49" t="s">
        <v>123</v>
      </c>
      <c r="AI483" s="6" t="s">
        <v>5522</v>
      </c>
      <c r="AJ483" s="49" t="s">
        <v>640</v>
      </c>
      <c r="AK483" s="33" t="s">
        <v>97</v>
      </c>
      <c r="AL483" s="33" t="s">
        <v>97</v>
      </c>
      <c r="AM483" s="5" t="s">
        <v>641</v>
      </c>
      <c r="AN483" s="82" t="s">
        <v>631</v>
      </c>
      <c r="AO483" s="5"/>
      <c r="AP483" s="5"/>
      <c r="AQ483" s="49" t="s">
        <v>589</v>
      </c>
      <c r="AR483" s="20" t="s">
        <v>97</v>
      </c>
      <c r="AS483" s="20" t="s">
        <v>107</v>
      </c>
      <c r="AT483" s="20"/>
      <c r="AU483" s="24">
        <v>0.95</v>
      </c>
      <c r="AV483" s="24">
        <f t="shared" si="97"/>
        <v>0.76</v>
      </c>
      <c r="AW483" s="24">
        <f t="shared" si="98"/>
        <v>0.56999999999999995</v>
      </c>
      <c r="AX483" s="25">
        <v>1E-4</v>
      </c>
      <c r="AY483" s="24">
        <v>0</v>
      </c>
      <c r="AZ483" s="24">
        <f t="shared" si="99"/>
        <v>0.85499999999999998</v>
      </c>
      <c r="BA483" s="24">
        <f t="shared" si="100"/>
        <v>0.68400000000000005</v>
      </c>
      <c r="BB483" s="24">
        <f t="shared" si="101"/>
        <v>0.51300000000000001</v>
      </c>
      <c r="BC483" s="25">
        <v>1E-4</v>
      </c>
      <c r="BD483" s="24">
        <v>0</v>
      </c>
      <c r="BE483" s="26">
        <v>0</v>
      </c>
      <c r="BF483" s="34">
        <f t="shared" si="95"/>
        <v>0</v>
      </c>
      <c r="BG483" s="34">
        <f t="shared" si="96"/>
        <v>0</v>
      </c>
      <c r="BH483" s="26">
        <v>0</v>
      </c>
      <c r="BI483" s="26">
        <v>0</v>
      </c>
      <c r="BJ483" s="20"/>
      <c r="BK483" s="27"/>
      <c r="BL483" s="27" t="s">
        <v>669</v>
      </c>
      <c r="BM483" s="27" t="s">
        <v>5523</v>
      </c>
      <c r="BN483" s="26"/>
      <c r="BO483" s="34"/>
      <c r="BP483" s="34"/>
      <c r="BQ483" s="34"/>
      <c r="BR483" s="34"/>
      <c r="BS483" s="34"/>
      <c r="BT483" s="34"/>
      <c r="BU483" s="34"/>
      <c r="BV483" s="34"/>
      <c r="BW483" s="34"/>
      <c r="BX483" s="34"/>
      <c r="BY483" s="34"/>
      <c r="BZ483" s="34"/>
      <c r="CA483" s="20"/>
      <c r="CB483" s="20"/>
      <c r="CC483" s="29">
        <v>46003</v>
      </c>
      <c r="CD483" s="30" t="s">
        <v>5524</v>
      </c>
    </row>
    <row r="484" spans="1:82" s="18" customFormat="1" ht="66.75" customHeight="1" x14ac:dyDescent="0.25">
      <c r="A484" s="121">
        <v>480</v>
      </c>
      <c r="B484" s="141" t="s">
        <v>5525</v>
      </c>
      <c r="C484" s="6" t="s">
        <v>5526</v>
      </c>
      <c r="D484" s="6" t="s">
        <v>5527</v>
      </c>
      <c r="E484" s="75" t="s">
        <v>113</v>
      </c>
      <c r="F484" s="49" t="s">
        <v>81</v>
      </c>
      <c r="G484" s="5" t="s">
        <v>84</v>
      </c>
      <c r="H484" s="6" t="s">
        <v>114</v>
      </c>
      <c r="I484" s="6" t="s">
        <v>578</v>
      </c>
      <c r="J484" s="6"/>
      <c r="K484" s="6"/>
      <c r="L484" s="6"/>
      <c r="M484" s="6" t="s">
        <v>88</v>
      </c>
      <c r="N484" s="6" t="s">
        <v>89</v>
      </c>
      <c r="O484" s="6" t="s">
        <v>579</v>
      </c>
      <c r="P484" s="6" t="s">
        <v>580</v>
      </c>
      <c r="Q484" s="6"/>
      <c r="R484" s="82" t="s">
        <v>91</v>
      </c>
      <c r="S484" s="5" t="s">
        <v>92</v>
      </c>
      <c r="T484" s="5" t="s">
        <v>93</v>
      </c>
      <c r="U484" s="91">
        <v>100</v>
      </c>
      <c r="V484" s="5" t="s">
        <v>94</v>
      </c>
      <c r="W484" s="5" t="s">
        <v>95</v>
      </c>
      <c r="X484" s="5">
        <v>2025</v>
      </c>
      <c r="Y484" s="5" t="s">
        <v>117</v>
      </c>
      <c r="Z484" s="5" t="s">
        <v>97</v>
      </c>
      <c r="AA484" s="5" t="s">
        <v>98</v>
      </c>
      <c r="AB484" s="6" t="s">
        <v>99</v>
      </c>
      <c r="AC484" s="79" t="s">
        <v>5528</v>
      </c>
      <c r="AD484" s="79" t="s">
        <v>596</v>
      </c>
      <c r="AE484" s="49" t="s">
        <v>675</v>
      </c>
      <c r="AF484" s="49" t="s">
        <v>121</v>
      </c>
      <c r="AG484" s="49" t="s">
        <v>218</v>
      </c>
      <c r="AH484" s="49" t="s">
        <v>123</v>
      </c>
      <c r="AI484" s="6" t="s">
        <v>5529</v>
      </c>
      <c r="AJ484" s="49" t="s">
        <v>640</v>
      </c>
      <c r="AK484" s="33" t="s">
        <v>97</v>
      </c>
      <c r="AL484" s="33" t="s">
        <v>97</v>
      </c>
      <c r="AM484" s="5" t="s">
        <v>641</v>
      </c>
      <c r="AN484" s="82" t="s">
        <v>631</v>
      </c>
      <c r="AO484" s="5"/>
      <c r="AP484" s="5"/>
      <c r="AQ484" s="49" t="s">
        <v>589</v>
      </c>
      <c r="AR484" s="20" t="s">
        <v>97</v>
      </c>
      <c r="AS484" s="20" t="s">
        <v>107</v>
      </c>
      <c r="AT484" s="20"/>
      <c r="AU484" s="24">
        <v>0.95</v>
      </c>
      <c r="AV484" s="24">
        <f t="shared" si="97"/>
        <v>0.76</v>
      </c>
      <c r="AW484" s="24">
        <f t="shared" si="98"/>
        <v>0.56999999999999995</v>
      </c>
      <c r="AX484" s="25">
        <v>1E-4</v>
      </c>
      <c r="AY484" s="24">
        <v>0</v>
      </c>
      <c r="AZ484" s="24">
        <f t="shared" si="99"/>
        <v>0.85499999999999998</v>
      </c>
      <c r="BA484" s="24">
        <f t="shared" si="100"/>
        <v>0.68400000000000005</v>
      </c>
      <c r="BB484" s="24">
        <f t="shared" si="101"/>
        <v>0.51300000000000001</v>
      </c>
      <c r="BC484" s="25">
        <v>1E-4</v>
      </c>
      <c r="BD484" s="24">
        <v>0</v>
      </c>
      <c r="BE484" s="26">
        <v>0</v>
      </c>
      <c r="BF484" s="34">
        <f t="shared" si="95"/>
        <v>0</v>
      </c>
      <c r="BG484" s="34">
        <f t="shared" si="96"/>
        <v>0</v>
      </c>
      <c r="BH484" s="26">
        <v>0</v>
      </c>
      <c r="BI484" s="26">
        <v>0</v>
      </c>
      <c r="BJ484" s="20"/>
      <c r="BK484" s="27"/>
      <c r="BL484" s="27" t="s">
        <v>676</v>
      </c>
      <c r="BM484" s="27" t="s">
        <v>5530</v>
      </c>
      <c r="BN484" s="26"/>
      <c r="BO484" s="34"/>
      <c r="BP484" s="34"/>
      <c r="BQ484" s="34"/>
      <c r="BR484" s="34"/>
      <c r="BS484" s="34"/>
      <c r="BT484" s="34"/>
      <c r="BU484" s="34"/>
      <c r="BV484" s="34"/>
      <c r="BW484" s="34"/>
      <c r="BX484" s="34"/>
      <c r="BY484" s="34"/>
      <c r="BZ484" s="34"/>
      <c r="CA484" s="20"/>
      <c r="CB484" s="20"/>
      <c r="CC484" s="29">
        <v>46003</v>
      </c>
      <c r="CD484" s="30" t="s">
        <v>5531</v>
      </c>
    </row>
    <row r="485" spans="1:82" s="18" customFormat="1" ht="66.75" customHeight="1" x14ac:dyDescent="0.25">
      <c r="A485" s="87">
        <v>481</v>
      </c>
      <c r="B485" s="144" t="s">
        <v>5532</v>
      </c>
      <c r="C485" s="11" t="s">
        <v>5533</v>
      </c>
      <c r="D485" s="11" t="s">
        <v>5534</v>
      </c>
      <c r="E485" s="75" t="s">
        <v>113</v>
      </c>
      <c r="F485" s="19" t="s">
        <v>81</v>
      </c>
      <c r="G485" s="7" t="s">
        <v>84</v>
      </c>
      <c r="H485" s="7" t="s">
        <v>114</v>
      </c>
      <c r="I485" s="7" t="s">
        <v>578</v>
      </c>
      <c r="J485" s="7"/>
      <c r="K485" s="7"/>
      <c r="L485" s="7"/>
      <c r="M485" s="7" t="s">
        <v>88</v>
      </c>
      <c r="N485" s="7" t="s">
        <v>89</v>
      </c>
      <c r="O485" s="7" t="s">
        <v>579</v>
      </c>
      <c r="P485" s="7" t="s">
        <v>580</v>
      </c>
      <c r="Q485" s="7"/>
      <c r="R485" s="7" t="s">
        <v>91</v>
      </c>
      <c r="S485" s="5" t="s">
        <v>92</v>
      </c>
      <c r="T485" s="7" t="s">
        <v>93</v>
      </c>
      <c r="U485" s="7">
        <v>100</v>
      </c>
      <c r="V485" s="7" t="s">
        <v>94</v>
      </c>
      <c r="W485" s="7" t="s">
        <v>95</v>
      </c>
      <c r="X485" s="7">
        <v>2025</v>
      </c>
      <c r="Y485" s="5" t="s">
        <v>117</v>
      </c>
      <c r="Z485" s="7" t="s">
        <v>97</v>
      </c>
      <c r="AA485" s="7" t="s">
        <v>98</v>
      </c>
      <c r="AB485" s="7" t="s">
        <v>99</v>
      </c>
      <c r="AC485" s="7" t="s">
        <v>5535</v>
      </c>
      <c r="AD485" s="7" t="s">
        <v>5536</v>
      </c>
      <c r="AE485" s="7" t="s">
        <v>627</v>
      </c>
      <c r="AF485" s="7" t="s">
        <v>121</v>
      </c>
      <c r="AG485" s="20" t="s">
        <v>218</v>
      </c>
      <c r="AH485" s="20" t="s">
        <v>123</v>
      </c>
      <c r="AI485" s="39" t="s">
        <v>5537</v>
      </c>
      <c r="AJ485" s="7" t="s">
        <v>5538</v>
      </c>
      <c r="AK485" s="20" t="s">
        <v>97</v>
      </c>
      <c r="AL485" s="20" t="s">
        <v>97</v>
      </c>
      <c r="AM485" s="5" t="s">
        <v>5539</v>
      </c>
      <c r="AN485" s="7" t="s">
        <v>631</v>
      </c>
      <c r="AO485" s="7" t="s">
        <v>5540</v>
      </c>
      <c r="AP485" s="7" t="s">
        <v>5541</v>
      </c>
      <c r="AQ485" s="33" t="s">
        <v>589</v>
      </c>
      <c r="AR485" s="20" t="s">
        <v>97</v>
      </c>
      <c r="AS485" s="20" t="s">
        <v>107</v>
      </c>
      <c r="AT485" s="20"/>
      <c r="AU485" s="59">
        <v>0.95</v>
      </c>
      <c r="AV485" s="24">
        <f t="shared" si="97"/>
        <v>0.76</v>
      </c>
      <c r="AW485" s="24">
        <f t="shared" si="98"/>
        <v>0.56999999999999995</v>
      </c>
      <c r="AX485" s="25">
        <v>1E-4</v>
      </c>
      <c r="AY485" s="24">
        <v>0</v>
      </c>
      <c r="AZ485" s="24">
        <f t="shared" si="99"/>
        <v>0.85499999999999998</v>
      </c>
      <c r="BA485" s="24">
        <f t="shared" si="100"/>
        <v>0.68400000000000005</v>
      </c>
      <c r="BB485" s="24">
        <f t="shared" si="101"/>
        <v>0.51300000000000001</v>
      </c>
      <c r="BC485" s="25">
        <v>1E-4</v>
      </c>
      <c r="BD485" s="24">
        <v>0</v>
      </c>
      <c r="BE485" s="26">
        <v>0</v>
      </c>
      <c r="BF485" s="34">
        <f t="shared" si="95"/>
        <v>0</v>
      </c>
      <c r="BG485" s="34">
        <f t="shared" si="96"/>
        <v>0</v>
      </c>
      <c r="BH485" s="26">
        <v>0</v>
      </c>
      <c r="BI485" s="26">
        <v>0</v>
      </c>
      <c r="BJ485" s="20"/>
      <c r="BK485" s="27"/>
      <c r="BL485" s="27" t="s">
        <v>682</v>
      </c>
      <c r="BM485" s="27" t="s">
        <v>5542</v>
      </c>
      <c r="BN485" s="26"/>
      <c r="BO485" s="34"/>
      <c r="BP485" s="34"/>
      <c r="BQ485" s="34"/>
      <c r="BR485" s="34"/>
      <c r="BS485" s="34"/>
      <c r="BT485" s="34"/>
      <c r="BU485" s="34"/>
      <c r="BV485" s="34"/>
      <c r="BW485" s="34"/>
      <c r="BX485" s="34"/>
      <c r="BY485" s="34"/>
      <c r="BZ485" s="34"/>
      <c r="CA485" s="20"/>
      <c r="CB485" s="33"/>
      <c r="CC485" s="29">
        <v>46003</v>
      </c>
      <c r="CD485" s="32" t="s">
        <v>5543</v>
      </c>
    </row>
    <row r="486" spans="1:82" s="18" customFormat="1" ht="66.75" customHeight="1" x14ac:dyDescent="0.25">
      <c r="A486" s="87">
        <v>482</v>
      </c>
      <c r="B486" s="141" t="s">
        <v>5544</v>
      </c>
      <c r="C486" s="6" t="s">
        <v>5545</v>
      </c>
      <c r="D486" s="6" t="s">
        <v>5546</v>
      </c>
      <c r="E486" s="75" t="s">
        <v>113</v>
      </c>
      <c r="F486" s="4" t="s">
        <v>81</v>
      </c>
      <c r="G486" s="5" t="s">
        <v>84</v>
      </c>
      <c r="H486" s="6" t="s">
        <v>114</v>
      </c>
      <c r="I486" s="6" t="s">
        <v>578</v>
      </c>
      <c r="J486" s="6"/>
      <c r="K486" s="6"/>
      <c r="L486" s="6"/>
      <c r="M486" s="6" t="s">
        <v>88</v>
      </c>
      <c r="N486" s="6" t="s">
        <v>89</v>
      </c>
      <c r="O486" s="6" t="s">
        <v>579</v>
      </c>
      <c r="P486" s="6" t="s">
        <v>580</v>
      </c>
      <c r="Q486" s="6"/>
      <c r="R486" s="82" t="s">
        <v>91</v>
      </c>
      <c r="S486" s="5" t="s">
        <v>92</v>
      </c>
      <c r="T486" s="5" t="s">
        <v>93</v>
      </c>
      <c r="U486" s="91">
        <v>100</v>
      </c>
      <c r="V486" s="5" t="s">
        <v>94</v>
      </c>
      <c r="W486" s="5" t="s">
        <v>95</v>
      </c>
      <c r="X486" s="5">
        <v>2025</v>
      </c>
      <c r="Y486" s="5" t="s">
        <v>117</v>
      </c>
      <c r="Z486" s="5" t="s">
        <v>97</v>
      </c>
      <c r="AA486" s="5" t="s">
        <v>98</v>
      </c>
      <c r="AB486" s="6" t="s">
        <v>99</v>
      </c>
      <c r="AC486" s="79" t="s">
        <v>5547</v>
      </c>
      <c r="AD486" s="79" t="s">
        <v>5548</v>
      </c>
      <c r="AE486" s="49" t="s">
        <v>627</v>
      </c>
      <c r="AF486" s="49" t="s">
        <v>121</v>
      </c>
      <c r="AG486" s="49" t="s">
        <v>218</v>
      </c>
      <c r="AH486" s="49" t="s">
        <v>123</v>
      </c>
      <c r="AI486" s="6" t="s">
        <v>5549</v>
      </c>
      <c r="AJ486" s="49" t="s">
        <v>5550</v>
      </c>
      <c r="AK486" s="33" t="s">
        <v>97</v>
      </c>
      <c r="AL486" s="33" t="s">
        <v>97</v>
      </c>
      <c r="AM486" s="5" t="s">
        <v>641</v>
      </c>
      <c r="AN486" s="82" t="s">
        <v>631</v>
      </c>
      <c r="AO486" s="6" t="s">
        <v>5551</v>
      </c>
      <c r="AP486" s="6" t="s">
        <v>5541</v>
      </c>
      <c r="AQ486" s="49" t="s">
        <v>589</v>
      </c>
      <c r="AR486" s="20" t="s">
        <v>97</v>
      </c>
      <c r="AS486" s="20" t="s">
        <v>107</v>
      </c>
      <c r="AT486" s="20"/>
      <c r="AU486" s="24">
        <v>0.95</v>
      </c>
      <c r="AV486" s="24">
        <f t="shared" si="97"/>
        <v>0.76</v>
      </c>
      <c r="AW486" s="24">
        <f t="shared" si="98"/>
        <v>0.56999999999999995</v>
      </c>
      <c r="AX486" s="25">
        <v>1E-4</v>
      </c>
      <c r="AY486" s="24">
        <v>0</v>
      </c>
      <c r="AZ486" s="24">
        <f t="shared" si="99"/>
        <v>0.85499999999999998</v>
      </c>
      <c r="BA486" s="24">
        <f t="shared" si="100"/>
        <v>0.68400000000000005</v>
      </c>
      <c r="BB486" s="24">
        <f t="shared" si="101"/>
        <v>0.51300000000000001</v>
      </c>
      <c r="BC486" s="25">
        <v>1E-4</v>
      </c>
      <c r="BD486" s="24">
        <v>0</v>
      </c>
      <c r="BE486" s="26">
        <v>0</v>
      </c>
      <c r="BF486" s="34">
        <f t="shared" si="95"/>
        <v>0</v>
      </c>
      <c r="BG486" s="34">
        <f t="shared" si="96"/>
        <v>0</v>
      </c>
      <c r="BH486" s="26">
        <v>0</v>
      </c>
      <c r="BI486" s="26">
        <v>0</v>
      </c>
      <c r="BJ486" s="20" t="s">
        <v>496</v>
      </c>
      <c r="BK486" s="27">
        <v>0.81237566513830395</v>
      </c>
      <c r="BL486" s="27" t="s">
        <v>688</v>
      </c>
      <c r="BM486" s="27" t="s">
        <v>5552</v>
      </c>
      <c r="BN486" s="26"/>
      <c r="BO486" s="34"/>
      <c r="BP486" s="34"/>
      <c r="BQ486" s="34"/>
      <c r="BR486" s="34"/>
      <c r="BS486" s="34"/>
      <c r="BT486" s="34"/>
      <c r="BU486" s="34"/>
      <c r="BV486" s="34"/>
      <c r="BW486" s="34"/>
      <c r="BX486" s="34"/>
      <c r="BY486" s="34"/>
      <c r="BZ486" s="34"/>
      <c r="CA486" s="20"/>
      <c r="CB486" s="20"/>
      <c r="CC486" s="29">
        <v>46003</v>
      </c>
      <c r="CD486" s="11" t="s">
        <v>5553</v>
      </c>
    </row>
    <row r="487" spans="1:82" s="18" customFormat="1" ht="66.75" customHeight="1" x14ac:dyDescent="0.25">
      <c r="A487" s="121">
        <v>483</v>
      </c>
      <c r="B487" s="141" t="s">
        <v>5554</v>
      </c>
      <c r="C487" s="6" t="s">
        <v>5555</v>
      </c>
      <c r="D487" s="6" t="s">
        <v>5556</v>
      </c>
      <c r="E487" s="75" t="s">
        <v>113</v>
      </c>
      <c r="F487" s="4" t="s">
        <v>81</v>
      </c>
      <c r="G487" s="5" t="s">
        <v>84</v>
      </c>
      <c r="H487" s="6" t="s">
        <v>114</v>
      </c>
      <c r="I487" s="6" t="s">
        <v>578</v>
      </c>
      <c r="J487" s="6"/>
      <c r="K487" s="6"/>
      <c r="L487" s="6"/>
      <c r="M487" s="6" t="s">
        <v>88</v>
      </c>
      <c r="N487" s="6" t="s">
        <v>89</v>
      </c>
      <c r="O487" s="6" t="s">
        <v>579</v>
      </c>
      <c r="P487" s="6" t="s">
        <v>580</v>
      </c>
      <c r="Q487" s="6"/>
      <c r="R487" s="82" t="s">
        <v>91</v>
      </c>
      <c r="S487" s="5" t="s">
        <v>92</v>
      </c>
      <c r="T487" s="5" t="s">
        <v>93</v>
      </c>
      <c r="U487" s="91">
        <v>100</v>
      </c>
      <c r="V487" s="5" t="s">
        <v>94</v>
      </c>
      <c r="W487" s="5" t="s">
        <v>95</v>
      </c>
      <c r="X487" s="5">
        <v>2025</v>
      </c>
      <c r="Y487" s="5" t="s">
        <v>117</v>
      </c>
      <c r="Z487" s="5" t="s">
        <v>97</v>
      </c>
      <c r="AA487" s="5" t="s">
        <v>98</v>
      </c>
      <c r="AB487" s="6" t="s">
        <v>99</v>
      </c>
      <c r="AC487" s="79" t="s">
        <v>5557</v>
      </c>
      <c r="AD487" s="79" t="s">
        <v>5548</v>
      </c>
      <c r="AE487" s="49" t="s">
        <v>627</v>
      </c>
      <c r="AF487" s="49" t="s">
        <v>121</v>
      </c>
      <c r="AG487" s="49" t="s">
        <v>218</v>
      </c>
      <c r="AH487" s="49" t="s">
        <v>123</v>
      </c>
      <c r="AI487" s="6" t="s">
        <v>5558</v>
      </c>
      <c r="AJ487" s="49" t="s">
        <v>5550</v>
      </c>
      <c r="AK487" s="33" t="s">
        <v>97</v>
      </c>
      <c r="AL487" s="33" t="s">
        <v>97</v>
      </c>
      <c r="AM487" s="5" t="s">
        <v>641</v>
      </c>
      <c r="AN487" s="82" t="s">
        <v>631</v>
      </c>
      <c r="AO487" s="6" t="s">
        <v>5559</v>
      </c>
      <c r="AP487" s="6" t="s">
        <v>5541</v>
      </c>
      <c r="AQ487" s="49" t="s">
        <v>589</v>
      </c>
      <c r="AR487" s="20" t="s">
        <v>97</v>
      </c>
      <c r="AS487" s="20" t="s">
        <v>107</v>
      </c>
      <c r="AT487" s="20"/>
      <c r="AU487" s="24">
        <v>0.95</v>
      </c>
      <c r="AV487" s="24">
        <f t="shared" si="97"/>
        <v>0.76</v>
      </c>
      <c r="AW487" s="24">
        <f t="shared" si="98"/>
        <v>0.56999999999999995</v>
      </c>
      <c r="AX487" s="25">
        <v>1E-4</v>
      </c>
      <c r="AY487" s="24">
        <v>0</v>
      </c>
      <c r="AZ487" s="24">
        <f t="shared" si="99"/>
        <v>0.85499999999999998</v>
      </c>
      <c r="BA487" s="24">
        <f t="shared" si="100"/>
        <v>0.68400000000000005</v>
      </c>
      <c r="BB487" s="24">
        <f t="shared" si="101"/>
        <v>0.51300000000000001</v>
      </c>
      <c r="BC487" s="25">
        <v>1E-4</v>
      </c>
      <c r="BD487" s="24">
        <v>0</v>
      </c>
      <c r="BE487" s="26">
        <v>0</v>
      </c>
      <c r="BF487" s="34">
        <f t="shared" si="95"/>
        <v>0</v>
      </c>
      <c r="BG487" s="34">
        <f t="shared" si="96"/>
        <v>0</v>
      </c>
      <c r="BH487" s="26">
        <v>0</v>
      </c>
      <c r="BI487" s="26">
        <v>0</v>
      </c>
      <c r="BJ487" s="20" t="s">
        <v>496</v>
      </c>
      <c r="BK487" s="27">
        <v>0.80213420503612509</v>
      </c>
      <c r="BL487" s="27" t="s">
        <v>694</v>
      </c>
      <c r="BM487" s="27" t="s">
        <v>5560</v>
      </c>
      <c r="BN487" s="26"/>
      <c r="BO487" s="34"/>
      <c r="BP487" s="34"/>
      <c r="BQ487" s="34"/>
      <c r="BR487" s="34"/>
      <c r="BS487" s="34"/>
      <c r="BT487" s="34"/>
      <c r="BU487" s="34"/>
      <c r="BV487" s="34"/>
      <c r="BW487" s="34"/>
      <c r="BX487" s="34"/>
      <c r="BY487" s="34"/>
      <c r="BZ487" s="34"/>
      <c r="CA487" s="20"/>
      <c r="CB487" s="20"/>
      <c r="CC487" s="29">
        <v>46003</v>
      </c>
      <c r="CD487" s="11" t="s">
        <v>5561</v>
      </c>
    </row>
    <row r="488" spans="1:82" s="18" customFormat="1" ht="66.75" customHeight="1" x14ac:dyDescent="0.25">
      <c r="A488" s="87">
        <v>484</v>
      </c>
      <c r="B488" s="141" t="s">
        <v>5562</v>
      </c>
      <c r="C488" s="6" t="s">
        <v>5563</v>
      </c>
      <c r="D488" s="6" t="s">
        <v>5564</v>
      </c>
      <c r="E488" s="75" t="s">
        <v>113</v>
      </c>
      <c r="F488" s="4" t="s">
        <v>81</v>
      </c>
      <c r="G488" s="5" t="s">
        <v>84</v>
      </c>
      <c r="H488" s="6" t="s">
        <v>114</v>
      </c>
      <c r="I488" s="6" t="s">
        <v>578</v>
      </c>
      <c r="J488" s="6"/>
      <c r="K488" s="6"/>
      <c r="L488" s="6"/>
      <c r="M488" s="6" t="s">
        <v>88</v>
      </c>
      <c r="N488" s="6" t="s">
        <v>89</v>
      </c>
      <c r="O488" s="6" t="s">
        <v>579</v>
      </c>
      <c r="P488" s="6" t="s">
        <v>580</v>
      </c>
      <c r="Q488" s="6"/>
      <c r="R488" s="82" t="s">
        <v>91</v>
      </c>
      <c r="S488" s="5" t="s">
        <v>92</v>
      </c>
      <c r="T488" s="5" t="s">
        <v>93</v>
      </c>
      <c r="U488" s="91">
        <v>100</v>
      </c>
      <c r="V488" s="5" t="s">
        <v>94</v>
      </c>
      <c r="W488" s="5" t="s">
        <v>95</v>
      </c>
      <c r="X488" s="5">
        <v>2025</v>
      </c>
      <c r="Y488" s="5" t="s">
        <v>117</v>
      </c>
      <c r="Z488" s="5" t="s">
        <v>97</v>
      </c>
      <c r="AA488" s="5" t="s">
        <v>98</v>
      </c>
      <c r="AB488" s="6" t="s">
        <v>99</v>
      </c>
      <c r="AC488" s="79" t="s">
        <v>5565</v>
      </c>
      <c r="AD488" s="79" t="s">
        <v>5548</v>
      </c>
      <c r="AE488" s="49" t="s">
        <v>627</v>
      </c>
      <c r="AF488" s="49" t="s">
        <v>121</v>
      </c>
      <c r="AG488" s="49" t="s">
        <v>218</v>
      </c>
      <c r="AH488" s="49" t="s">
        <v>123</v>
      </c>
      <c r="AI488" s="6" t="s">
        <v>5566</v>
      </c>
      <c r="AJ488" s="49" t="s">
        <v>5550</v>
      </c>
      <c r="AK488" s="33" t="s">
        <v>97</v>
      </c>
      <c r="AL488" s="33" t="s">
        <v>97</v>
      </c>
      <c r="AM488" s="5" t="s">
        <v>641</v>
      </c>
      <c r="AN488" s="82" t="s">
        <v>631</v>
      </c>
      <c r="AO488" s="6" t="s">
        <v>5567</v>
      </c>
      <c r="AP488" s="6" t="s">
        <v>5541</v>
      </c>
      <c r="AQ488" s="49" t="s">
        <v>589</v>
      </c>
      <c r="AR488" s="20" t="s">
        <v>97</v>
      </c>
      <c r="AS488" s="20" t="s">
        <v>107</v>
      </c>
      <c r="AT488" s="20"/>
      <c r="AU488" s="24">
        <v>0.95</v>
      </c>
      <c r="AV488" s="24">
        <f t="shared" si="97"/>
        <v>0.76</v>
      </c>
      <c r="AW488" s="24">
        <f t="shared" si="98"/>
        <v>0.56999999999999995</v>
      </c>
      <c r="AX488" s="25">
        <v>1E-4</v>
      </c>
      <c r="AY488" s="24">
        <v>0</v>
      </c>
      <c r="AZ488" s="24">
        <f t="shared" si="99"/>
        <v>0.85499999999999998</v>
      </c>
      <c r="BA488" s="24">
        <f t="shared" si="100"/>
        <v>0.68400000000000005</v>
      </c>
      <c r="BB488" s="24">
        <f t="shared" si="101"/>
        <v>0.51300000000000001</v>
      </c>
      <c r="BC488" s="25">
        <v>1E-4</v>
      </c>
      <c r="BD488" s="24">
        <v>0</v>
      </c>
      <c r="BE488" s="26">
        <v>0</v>
      </c>
      <c r="BF488" s="34">
        <f t="shared" si="95"/>
        <v>0</v>
      </c>
      <c r="BG488" s="34">
        <f t="shared" si="96"/>
        <v>0</v>
      </c>
      <c r="BH488" s="26">
        <v>0</v>
      </c>
      <c r="BI488" s="26">
        <v>0</v>
      </c>
      <c r="BJ488" s="20" t="s">
        <v>496</v>
      </c>
      <c r="BK488" s="27">
        <v>0.81007068179049901</v>
      </c>
      <c r="BL488" s="27" t="s">
        <v>700</v>
      </c>
      <c r="BM488" s="27" t="s">
        <v>5568</v>
      </c>
      <c r="BN488" s="26"/>
      <c r="BO488" s="34"/>
      <c r="BP488" s="34"/>
      <c r="BQ488" s="34"/>
      <c r="BR488" s="34"/>
      <c r="BS488" s="34"/>
      <c r="BT488" s="34"/>
      <c r="BU488" s="34"/>
      <c r="BV488" s="34"/>
      <c r="BW488" s="34"/>
      <c r="BX488" s="34"/>
      <c r="BY488" s="34"/>
      <c r="BZ488" s="34"/>
      <c r="CA488" s="20"/>
      <c r="CB488" s="20"/>
      <c r="CC488" s="29">
        <v>46003</v>
      </c>
      <c r="CD488" s="11" t="s">
        <v>5569</v>
      </c>
    </row>
    <row r="489" spans="1:82" s="18" customFormat="1" ht="66.75" customHeight="1" x14ac:dyDescent="0.25">
      <c r="A489" s="87">
        <v>485</v>
      </c>
      <c r="B489" s="144" t="s">
        <v>5570</v>
      </c>
      <c r="C489" s="11" t="s">
        <v>5571</v>
      </c>
      <c r="D489" s="11" t="s">
        <v>5572</v>
      </c>
      <c r="E489" s="75" t="s">
        <v>113</v>
      </c>
      <c r="F489" s="19" t="s">
        <v>81</v>
      </c>
      <c r="G489" s="7" t="s">
        <v>84</v>
      </c>
      <c r="H489" s="7" t="s">
        <v>114</v>
      </c>
      <c r="I489" s="7" t="s">
        <v>578</v>
      </c>
      <c r="J489" s="7"/>
      <c r="K489" s="7"/>
      <c r="L489" s="7"/>
      <c r="M489" s="7" t="s">
        <v>88</v>
      </c>
      <c r="N489" s="7" t="s">
        <v>89</v>
      </c>
      <c r="O489" s="7" t="s">
        <v>579</v>
      </c>
      <c r="P489" s="7" t="s">
        <v>580</v>
      </c>
      <c r="Q489" s="7"/>
      <c r="R489" s="7" t="s">
        <v>91</v>
      </c>
      <c r="S489" s="5" t="s">
        <v>92</v>
      </c>
      <c r="T489" s="7" t="s">
        <v>93</v>
      </c>
      <c r="U489" s="7">
        <v>100</v>
      </c>
      <c r="V489" s="7" t="s">
        <v>94</v>
      </c>
      <c r="W489" s="7" t="s">
        <v>95</v>
      </c>
      <c r="X489" s="7">
        <v>2025</v>
      </c>
      <c r="Y489" s="5" t="s">
        <v>117</v>
      </c>
      <c r="Z489" s="7" t="s">
        <v>97</v>
      </c>
      <c r="AA489" s="7" t="s">
        <v>98</v>
      </c>
      <c r="AB489" s="7" t="s">
        <v>99</v>
      </c>
      <c r="AC489" s="7" t="s">
        <v>5573</v>
      </c>
      <c r="AD489" s="7" t="s">
        <v>5574</v>
      </c>
      <c r="AE489" s="7" t="s">
        <v>627</v>
      </c>
      <c r="AF489" s="7" t="s">
        <v>121</v>
      </c>
      <c r="AG489" s="20" t="s">
        <v>218</v>
      </c>
      <c r="AH489" s="20" t="s">
        <v>123</v>
      </c>
      <c r="AI489" s="39" t="s">
        <v>5575</v>
      </c>
      <c r="AJ489" s="7" t="s">
        <v>5576</v>
      </c>
      <c r="AK489" s="20" t="s">
        <v>97</v>
      </c>
      <c r="AL489" s="20" t="s">
        <v>97</v>
      </c>
      <c r="AM489" s="188" t="s">
        <v>5577</v>
      </c>
      <c r="AN489" s="7" t="s">
        <v>631</v>
      </c>
      <c r="AO489" s="39" t="s">
        <v>5578</v>
      </c>
      <c r="AP489" s="39" t="s">
        <v>5579</v>
      </c>
      <c r="AQ489" s="33" t="s">
        <v>589</v>
      </c>
      <c r="AR489" s="20" t="s">
        <v>97</v>
      </c>
      <c r="AS489" s="20" t="s">
        <v>107</v>
      </c>
      <c r="AT489" s="20"/>
      <c r="AU489" s="59">
        <v>0.95</v>
      </c>
      <c r="AV489" s="24">
        <f t="shared" si="97"/>
        <v>0.76</v>
      </c>
      <c r="AW489" s="24">
        <f t="shared" si="98"/>
        <v>0.56999999999999995</v>
      </c>
      <c r="AX489" s="25">
        <v>1E-4</v>
      </c>
      <c r="AY489" s="24">
        <v>0</v>
      </c>
      <c r="AZ489" s="24">
        <f t="shared" si="99"/>
        <v>0.85499999999999998</v>
      </c>
      <c r="BA489" s="24">
        <f t="shared" si="100"/>
        <v>0.68400000000000005</v>
      </c>
      <c r="BB489" s="24">
        <f t="shared" si="101"/>
        <v>0.51300000000000001</v>
      </c>
      <c r="BC489" s="25">
        <v>1E-4</v>
      </c>
      <c r="BD489" s="24">
        <v>0</v>
      </c>
      <c r="BE489" s="26">
        <v>0</v>
      </c>
      <c r="BF489" s="34">
        <f t="shared" si="95"/>
        <v>0</v>
      </c>
      <c r="BG489" s="34">
        <f t="shared" si="96"/>
        <v>0</v>
      </c>
      <c r="BH489" s="26">
        <v>0</v>
      </c>
      <c r="BI489" s="26">
        <v>0</v>
      </c>
      <c r="BJ489" s="20" t="s">
        <v>496</v>
      </c>
      <c r="BK489" s="27">
        <v>0.83338244519443549</v>
      </c>
      <c r="BL489" s="27" t="s">
        <v>706</v>
      </c>
      <c r="BM489" s="27" t="s">
        <v>5580</v>
      </c>
      <c r="BN489" s="26"/>
      <c r="BO489" s="34"/>
      <c r="BP489" s="34"/>
      <c r="BQ489" s="34"/>
      <c r="BR489" s="34"/>
      <c r="BS489" s="34"/>
      <c r="BT489" s="34"/>
      <c r="BU489" s="34"/>
      <c r="BV489" s="34"/>
      <c r="BW489" s="34"/>
      <c r="BX489" s="34"/>
      <c r="BY489" s="34"/>
      <c r="BZ489" s="34"/>
      <c r="CA489" s="20"/>
      <c r="CB489" s="33"/>
      <c r="CC489" s="29">
        <v>46003</v>
      </c>
      <c r="CD489" s="30" t="s">
        <v>5581</v>
      </c>
    </row>
    <row r="490" spans="1:82" s="18" customFormat="1" ht="66.75" customHeight="1" x14ac:dyDescent="0.25">
      <c r="A490" s="121">
        <v>486</v>
      </c>
      <c r="B490" s="141" t="s">
        <v>5582</v>
      </c>
      <c r="C490" s="6" t="s">
        <v>5583</v>
      </c>
      <c r="D490" s="6" t="s">
        <v>5584</v>
      </c>
      <c r="E490" s="75" t="s">
        <v>113</v>
      </c>
      <c r="F490" s="4" t="s">
        <v>81</v>
      </c>
      <c r="G490" s="5" t="s">
        <v>84</v>
      </c>
      <c r="H490" s="6" t="s">
        <v>114</v>
      </c>
      <c r="I490" s="6" t="s">
        <v>578</v>
      </c>
      <c r="J490" s="6"/>
      <c r="K490" s="6"/>
      <c r="L490" s="6"/>
      <c r="M490" s="6" t="s">
        <v>88</v>
      </c>
      <c r="N490" s="6" t="s">
        <v>89</v>
      </c>
      <c r="O490" s="6" t="s">
        <v>579</v>
      </c>
      <c r="P490" s="6" t="s">
        <v>580</v>
      </c>
      <c r="Q490" s="6"/>
      <c r="R490" s="82" t="s">
        <v>91</v>
      </c>
      <c r="S490" s="5" t="s">
        <v>92</v>
      </c>
      <c r="T490" s="5" t="s">
        <v>93</v>
      </c>
      <c r="U490" s="91">
        <v>100</v>
      </c>
      <c r="V490" s="5" t="s">
        <v>94</v>
      </c>
      <c r="W490" s="5" t="s">
        <v>95</v>
      </c>
      <c r="X490" s="5">
        <v>2025</v>
      </c>
      <c r="Y490" s="5" t="s">
        <v>117</v>
      </c>
      <c r="Z490" s="5" t="s">
        <v>97</v>
      </c>
      <c r="AA490" s="5" t="s">
        <v>98</v>
      </c>
      <c r="AB490" s="6" t="s">
        <v>99</v>
      </c>
      <c r="AC490" s="79" t="s">
        <v>5585</v>
      </c>
      <c r="AD490" s="79" t="s">
        <v>5586</v>
      </c>
      <c r="AE490" s="49" t="s">
        <v>627</v>
      </c>
      <c r="AF490" s="49" t="s">
        <v>121</v>
      </c>
      <c r="AG490" s="49" t="s">
        <v>218</v>
      </c>
      <c r="AH490" s="49" t="s">
        <v>123</v>
      </c>
      <c r="AI490" s="6" t="s">
        <v>5587</v>
      </c>
      <c r="AJ490" s="49" t="s">
        <v>5588</v>
      </c>
      <c r="AK490" s="33" t="s">
        <v>97</v>
      </c>
      <c r="AL490" s="33" t="s">
        <v>97</v>
      </c>
      <c r="AM490" s="5" t="s">
        <v>641</v>
      </c>
      <c r="AN490" s="82" t="s">
        <v>631</v>
      </c>
      <c r="AO490" s="6"/>
      <c r="AP490" s="6"/>
      <c r="AQ490" s="49" t="s">
        <v>589</v>
      </c>
      <c r="AR490" s="20" t="s">
        <v>97</v>
      </c>
      <c r="AS490" s="20" t="s">
        <v>107</v>
      </c>
      <c r="AT490" s="20"/>
      <c r="AU490" s="24">
        <v>0.95</v>
      </c>
      <c r="AV490" s="24">
        <f t="shared" si="97"/>
        <v>0.76</v>
      </c>
      <c r="AW490" s="24">
        <f t="shared" si="98"/>
        <v>0.56999999999999995</v>
      </c>
      <c r="AX490" s="25">
        <v>1E-4</v>
      </c>
      <c r="AY490" s="24">
        <v>0</v>
      </c>
      <c r="AZ490" s="24">
        <f t="shared" si="99"/>
        <v>0.85499999999999998</v>
      </c>
      <c r="BA490" s="24">
        <f t="shared" si="100"/>
        <v>0.68400000000000005</v>
      </c>
      <c r="BB490" s="24">
        <f t="shared" si="101"/>
        <v>0.51300000000000001</v>
      </c>
      <c r="BC490" s="25">
        <v>1E-4</v>
      </c>
      <c r="BD490" s="24">
        <v>0</v>
      </c>
      <c r="BE490" s="26">
        <v>0</v>
      </c>
      <c r="BF490" s="34">
        <f t="shared" si="95"/>
        <v>0</v>
      </c>
      <c r="BG490" s="34">
        <f t="shared" si="96"/>
        <v>0</v>
      </c>
      <c r="BH490" s="26">
        <v>0</v>
      </c>
      <c r="BI490" s="26">
        <v>0</v>
      </c>
      <c r="BJ490" s="20" t="s">
        <v>496</v>
      </c>
      <c r="BK490" s="27">
        <v>0.83431229643133409</v>
      </c>
      <c r="BL490" s="27" t="s">
        <v>712</v>
      </c>
      <c r="BM490" s="27" t="s">
        <v>5580</v>
      </c>
      <c r="BN490" s="26"/>
      <c r="BO490" s="34"/>
      <c r="BP490" s="34"/>
      <c r="BQ490" s="34"/>
      <c r="BR490" s="34"/>
      <c r="BS490" s="34"/>
      <c r="BT490" s="34"/>
      <c r="BU490" s="34"/>
      <c r="BV490" s="34"/>
      <c r="BW490" s="34"/>
      <c r="BX490" s="34"/>
      <c r="BY490" s="34"/>
      <c r="BZ490" s="34"/>
      <c r="CA490" s="20"/>
      <c r="CB490" s="20"/>
      <c r="CC490" s="29">
        <v>46003</v>
      </c>
      <c r="CD490" s="10" t="s">
        <v>5589</v>
      </c>
    </row>
    <row r="491" spans="1:82" s="18" customFormat="1" ht="66.75" customHeight="1" x14ac:dyDescent="0.25">
      <c r="A491" s="87">
        <v>487</v>
      </c>
      <c r="B491" s="141" t="s">
        <v>5590</v>
      </c>
      <c r="C491" s="6" t="s">
        <v>5591</v>
      </c>
      <c r="D491" s="6" t="s">
        <v>5592</v>
      </c>
      <c r="E491" s="75" t="s">
        <v>113</v>
      </c>
      <c r="F491" s="4" t="s">
        <v>81</v>
      </c>
      <c r="G491" s="5" t="s">
        <v>84</v>
      </c>
      <c r="H491" s="6" t="s">
        <v>114</v>
      </c>
      <c r="I491" s="6" t="s">
        <v>578</v>
      </c>
      <c r="J491" s="6"/>
      <c r="K491" s="6"/>
      <c r="L491" s="6"/>
      <c r="M491" s="6" t="s">
        <v>88</v>
      </c>
      <c r="N491" s="6" t="s">
        <v>89</v>
      </c>
      <c r="O491" s="6" t="s">
        <v>579</v>
      </c>
      <c r="P491" s="6" t="s">
        <v>580</v>
      </c>
      <c r="Q491" s="6"/>
      <c r="R491" s="82" t="s">
        <v>91</v>
      </c>
      <c r="S491" s="5" t="s">
        <v>92</v>
      </c>
      <c r="T491" s="5" t="s">
        <v>93</v>
      </c>
      <c r="U491" s="91">
        <v>100</v>
      </c>
      <c r="V491" s="5" t="s">
        <v>94</v>
      </c>
      <c r="W491" s="5" t="s">
        <v>95</v>
      </c>
      <c r="X491" s="5">
        <v>2025</v>
      </c>
      <c r="Y491" s="5" t="s">
        <v>117</v>
      </c>
      <c r="Z491" s="5" t="s">
        <v>97</v>
      </c>
      <c r="AA491" s="5" t="s">
        <v>98</v>
      </c>
      <c r="AB491" s="6" t="s">
        <v>99</v>
      </c>
      <c r="AC491" s="79" t="s">
        <v>5593</v>
      </c>
      <c r="AD491" s="79" t="s">
        <v>5586</v>
      </c>
      <c r="AE491" s="49" t="s">
        <v>627</v>
      </c>
      <c r="AF491" s="49" t="s">
        <v>121</v>
      </c>
      <c r="AG491" s="49" t="s">
        <v>218</v>
      </c>
      <c r="AH491" s="49" t="s">
        <v>123</v>
      </c>
      <c r="AI491" s="6" t="s">
        <v>5594</v>
      </c>
      <c r="AJ491" s="49" t="s">
        <v>5588</v>
      </c>
      <c r="AK491" s="33" t="s">
        <v>97</v>
      </c>
      <c r="AL491" s="33" t="s">
        <v>97</v>
      </c>
      <c r="AM491" s="5" t="s">
        <v>641</v>
      </c>
      <c r="AN491" s="82" t="s">
        <v>631</v>
      </c>
      <c r="AO491" s="6"/>
      <c r="AP491" s="6"/>
      <c r="AQ491" s="49" t="s">
        <v>589</v>
      </c>
      <c r="AR491" s="20" t="s">
        <v>97</v>
      </c>
      <c r="AS491" s="20" t="s">
        <v>107</v>
      </c>
      <c r="AT491" s="20"/>
      <c r="AU491" s="24">
        <v>0.95</v>
      </c>
      <c r="AV491" s="24">
        <f t="shared" si="97"/>
        <v>0.76</v>
      </c>
      <c r="AW491" s="24">
        <f t="shared" si="98"/>
        <v>0.56999999999999995</v>
      </c>
      <c r="AX491" s="25">
        <v>1E-4</v>
      </c>
      <c r="AY491" s="24">
        <v>0</v>
      </c>
      <c r="AZ491" s="24">
        <f t="shared" si="99"/>
        <v>0.85499999999999998</v>
      </c>
      <c r="BA491" s="24">
        <f t="shared" si="100"/>
        <v>0.68400000000000005</v>
      </c>
      <c r="BB491" s="24">
        <f t="shared" si="101"/>
        <v>0.51300000000000001</v>
      </c>
      <c r="BC491" s="25">
        <v>1E-4</v>
      </c>
      <c r="BD491" s="24">
        <v>0</v>
      </c>
      <c r="BE491" s="26">
        <v>0</v>
      </c>
      <c r="BF491" s="34">
        <f t="shared" si="95"/>
        <v>0</v>
      </c>
      <c r="BG491" s="34">
        <f t="shared" si="96"/>
        <v>0</v>
      </c>
      <c r="BH491" s="26">
        <v>0</v>
      </c>
      <c r="BI491" s="26">
        <v>0</v>
      </c>
      <c r="BJ491" s="20" t="s">
        <v>496</v>
      </c>
      <c r="BK491" s="27">
        <v>0.823756520418091</v>
      </c>
      <c r="BL491" s="27" t="s">
        <v>718</v>
      </c>
      <c r="BM491" s="27" t="s">
        <v>5595</v>
      </c>
      <c r="BN491" s="26"/>
      <c r="BO491" s="34"/>
      <c r="BP491" s="34"/>
      <c r="BQ491" s="34"/>
      <c r="BR491" s="34"/>
      <c r="BS491" s="34"/>
      <c r="BT491" s="34"/>
      <c r="BU491" s="34"/>
      <c r="BV491" s="34"/>
      <c r="BW491" s="34"/>
      <c r="BX491" s="34"/>
      <c r="BY491" s="34"/>
      <c r="BZ491" s="34"/>
      <c r="CA491" s="20"/>
      <c r="CB491" s="20"/>
      <c r="CC491" s="29">
        <v>46003</v>
      </c>
      <c r="CD491" s="11" t="s">
        <v>5596</v>
      </c>
    </row>
    <row r="492" spans="1:82" s="18" customFormat="1" ht="66.75" customHeight="1" x14ac:dyDescent="0.25">
      <c r="A492" s="87">
        <v>488</v>
      </c>
      <c r="B492" s="141" t="s">
        <v>5597</v>
      </c>
      <c r="C492" s="6" t="s">
        <v>5598</v>
      </c>
      <c r="D492" s="6" t="s">
        <v>5599</v>
      </c>
      <c r="E492" s="75" t="s">
        <v>113</v>
      </c>
      <c r="F492" s="4" t="s">
        <v>81</v>
      </c>
      <c r="G492" s="5" t="s">
        <v>84</v>
      </c>
      <c r="H492" s="6" t="s">
        <v>114</v>
      </c>
      <c r="I492" s="6" t="s">
        <v>578</v>
      </c>
      <c r="J492" s="6"/>
      <c r="K492" s="6"/>
      <c r="L492" s="6"/>
      <c r="M492" s="6" t="s">
        <v>136</v>
      </c>
      <c r="N492" s="6" t="s">
        <v>89</v>
      </c>
      <c r="O492" s="6" t="s">
        <v>579</v>
      </c>
      <c r="P492" s="6" t="s">
        <v>580</v>
      </c>
      <c r="Q492" s="6"/>
      <c r="R492" s="82" t="s">
        <v>91</v>
      </c>
      <c r="S492" s="5" t="s">
        <v>92</v>
      </c>
      <c r="T492" s="5" t="s">
        <v>93</v>
      </c>
      <c r="U492" s="91">
        <v>100</v>
      </c>
      <c r="V492" s="5" t="s">
        <v>94</v>
      </c>
      <c r="W492" s="5" t="s">
        <v>95</v>
      </c>
      <c r="X492" s="5">
        <v>2025</v>
      </c>
      <c r="Y492" s="5" t="s">
        <v>117</v>
      </c>
      <c r="Z492" s="5" t="s">
        <v>97</v>
      </c>
      <c r="AA492" s="5" t="s">
        <v>98</v>
      </c>
      <c r="AB492" s="6" t="s">
        <v>99</v>
      </c>
      <c r="AC492" s="79" t="s">
        <v>5600</v>
      </c>
      <c r="AD492" s="79" t="s">
        <v>5586</v>
      </c>
      <c r="AE492" s="49" t="s">
        <v>627</v>
      </c>
      <c r="AF492" s="49" t="s">
        <v>121</v>
      </c>
      <c r="AG492" s="49" t="s">
        <v>218</v>
      </c>
      <c r="AH492" s="49" t="s">
        <v>123</v>
      </c>
      <c r="AI492" s="6" t="s">
        <v>5601</v>
      </c>
      <c r="AJ492" s="49" t="s">
        <v>5588</v>
      </c>
      <c r="AK492" s="33" t="s">
        <v>97</v>
      </c>
      <c r="AL492" s="33" t="s">
        <v>97</v>
      </c>
      <c r="AM492" s="5" t="s">
        <v>641</v>
      </c>
      <c r="AN492" s="82" t="s">
        <v>631</v>
      </c>
      <c r="AO492" s="6"/>
      <c r="AP492" s="6"/>
      <c r="AQ492" s="49" t="s">
        <v>589</v>
      </c>
      <c r="AR492" s="20" t="s">
        <v>97</v>
      </c>
      <c r="AS492" s="20" t="s">
        <v>107</v>
      </c>
      <c r="AT492" s="20"/>
      <c r="AU492" s="24">
        <v>0.95</v>
      </c>
      <c r="AV492" s="24">
        <f t="shared" si="97"/>
        <v>0.76</v>
      </c>
      <c r="AW492" s="24">
        <f t="shared" si="98"/>
        <v>0.56999999999999995</v>
      </c>
      <c r="AX492" s="25">
        <v>1E-4</v>
      </c>
      <c r="AY492" s="24">
        <v>0</v>
      </c>
      <c r="AZ492" s="24">
        <f t="shared" si="99"/>
        <v>0.85499999999999998</v>
      </c>
      <c r="BA492" s="24">
        <f t="shared" si="100"/>
        <v>0.68400000000000005</v>
      </c>
      <c r="BB492" s="24">
        <f t="shared" si="101"/>
        <v>0.51300000000000001</v>
      </c>
      <c r="BC492" s="25">
        <v>1E-4</v>
      </c>
      <c r="BD492" s="24">
        <v>0</v>
      </c>
      <c r="BE492" s="26">
        <v>0</v>
      </c>
      <c r="BF492" s="34">
        <f t="shared" si="95"/>
        <v>0</v>
      </c>
      <c r="BG492" s="34">
        <f t="shared" si="96"/>
        <v>0</v>
      </c>
      <c r="BH492" s="26">
        <v>0</v>
      </c>
      <c r="BI492" s="26">
        <v>0</v>
      </c>
      <c r="BJ492" s="20" t="s">
        <v>496</v>
      </c>
      <c r="BK492" s="27">
        <v>0.83330386621666941</v>
      </c>
      <c r="BL492" s="27" t="s">
        <v>187</v>
      </c>
      <c r="BM492" s="27" t="s">
        <v>5602</v>
      </c>
      <c r="BN492" s="26"/>
      <c r="BO492" s="34"/>
      <c r="BP492" s="34"/>
      <c r="BQ492" s="34"/>
      <c r="BR492" s="34"/>
      <c r="BS492" s="34"/>
      <c r="BT492" s="34"/>
      <c r="BU492" s="34"/>
      <c r="BV492" s="34"/>
      <c r="BW492" s="34"/>
      <c r="BX492" s="34"/>
      <c r="BY492" s="34"/>
      <c r="BZ492" s="34"/>
      <c r="CA492" s="20"/>
      <c r="CB492" s="20"/>
      <c r="CC492" s="29">
        <v>46003</v>
      </c>
      <c r="CD492" s="11" t="s">
        <v>5603</v>
      </c>
    </row>
    <row r="493" spans="1:82" s="18" customFormat="1" ht="66.75" customHeight="1" x14ac:dyDescent="0.25">
      <c r="A493" s="121">
        <v>489</v>
      </c>
      <c r="B493" s="141" t="s">
        <v>5604</v>
      </c>
      <c r="C493" s="6" t="s">
        <v>5605</v>
      </c>
      <c r="D493" s="6" t="s">
        <v>5606</v>
      </c>
      <c r="E493" s="75" t="s">
        <v>113</v>
      </c>
      <c r="F493" s="4" t="s">
        <v>81</v>
      </c>
      <c r="G493" s="5" t="s">
        <v>84</v>
      </c>
      <c r="H493" s="6" t="s">
        <v>114</v>
      </c>
      <c r="I493" s="6" t="s">
        <v>578</v>
      </c>
      <c r="J493" s="6"/>
      <c r="K493" s="6"/>
      <c r="L493" s="6"/>
      <c r="M493" s="6" t="s">
        <v>88</v>
      </c>
      <c r="N493" s="6" t="s">
        <v>89</v>
      </c>
      <c r="O493" s="6" t="s">
        <v>579</v>
      </c>
      <c r="P493" s="6" t="s">
        <v>580</v>
      </c>
      <c r="Q493" s="6"/>
      <c r="R493" s="82" t="s">
        <v>91</v>
      </c>
      <c r="S493" s="5" t="s">
        <v>92</v>
      </c>
      <c r="T493" s="5" t="s">
        <v>93</v>
      </c>
      <c r="U493" s="91">
        <v>100</v>
      </c>
      <c r="V493" s="5" t="s">
        <v>94</v>
      </c>
      <c r="W493" s="5" t="s">
        <v>95</v>
      </c>
      <c r="X493" s="5">
        <v>2025</v>
      </c>
      <c r="Y493" s="5" t="s">
        <v>117</v>
      </c>
      <c r="Z493" s="5" t="s">
        <v>97</v>
      </c>
      <c r="AA493" s="5" t="s">
        <v>98</v>
      </c>
      <c r="AB493" s="6" t="s">
        <v>99</v>
      </c>
      <c r="AC493" s="79" t="s">
        <v>5607</v>
      </c>
      <c r="AD493" s="79" t="s">
        <v>5608</v>
      </c>
      <c r="AE493" s="6" t="s">
        <v>627</v>
      </c>
      <c r="AF493" s="6" t="s">
        <v>121</v>
      </c>
      <c r="AG493" s="49" t="s">
        <v>218</v>
      </c>
      <c r="AH493" s="6" t="s">
        <v>123</v>
      </c>
      <c r="AI493" s="6" t="s">
        <v>5609</v>
      </c>
      <c r="AJ493" s="6" t="s">
        <v>5610</v>
      </c>
      <c r="AK493" s="33" t="s">
        <v>97</v>
      </c>
      <c r="AL493" s="33" t="s">
        <v>97</v>
      </c>
      <c r="AM493" s="5" t="s">
        <v>641</v>
      </c>
      <c r="AN493" s="82" t="s">
        <v>631</v>
      </c>
      <c r="AO493" s="6"/>
      <c r="AP493" s="6"/>
      <c r="AQ493" s="49" t="s">
        <v>589</v>
      </c>
      <c r="AR493" s="20" t="s">
        <v>97</v>
      </c>
      <c r="AS493" s="20" t="s">
        <v>107</v>
      </c>
      <c r="AT493" s="20"/>
      <c r="AU493" s="24">
        <v>0.95</v>
      </c>
      <c r="AV493" s="24">
        <f t="shared" si="97"/>
        <v>0.76</v>
      </c>
      <c r="AW493" s="24">
        <f t="shared" si="98"/>
        <v>0.56999999999999995</v>
      </c>
      <c r="AX493" s="25">
        <v>1E-4</v>
      </c>
      <c r="AY493" s="24">
        <v>0</v>
      </c>
      <c r="AZ493" s="24">
        <f t="shared" si="99"/>
        <v>0.85499999999999998</v>
      </c>
      <c r="BA493" s="24">
        <f t="shared" si="100"/>
        <v>0.68400000000000005</v>
      </c>
      <c r="BB493" s="24">
        <f t="shared" si="101"/>
        <v>0.51300000000000001</v>
      </c>
      <c r="BC493" s="25">
        <v>1E-4</v>
      </c>
      <c r="BD493" s="24">
        <v>0</v>
      </c>
      <c r="BE493" s="26">
        <v>0</v>
      </c>
      <c r="BF493" s="34">
        <f t="shared" si="95"/>
        <v>0</v>
      </c>
      <c r="BG493" s="34">
        <f t="shared" si="96"/>
        <v>0</v>
      </c>
      <c r="BH493" s="26">
        <v>0</v>
      </c>
      <c r="BI493" s="26">
        <v>0</v>
      </c>
      <c r="BJ493" s="20" t="s">
        <v>496</v>
      </c>
      <c r="BK493" s="27">
        <v>0.82878557499511996</v>
      </c>
      <c r="BL493" s="27" t="s">
        <v>742</v>
      </c>
      <c r="BM493" s="27" t="s">
        <v>5611</v>
      </c>
      <c r="BN493" s="26"/>
      <c r="BO493" s="34"/>
      <c r="BP493" s="34"/>
      <c r="BQ493" s="34"/>
      <c r="BR493" s="34"/>
      <c r="BS493" s="34"/>
      <c r="BT493" s="34"/>
      <c r="BU493" s="34"/>
      <c r="BV493" s="34"/>
      <c r="BW493" s="34"/>
      <c r="BX493" s="34"/>
      <c r="BY493" s="34"/>
      <c r="BZ493" s="34"/>
      <c r="CA493" s="20"/>
      <c r="CB493" s="20"/>
      <c r="CC493" s="29">
        <v>46003</v>
      </c>
      <c r="CD493" s="11" t="s">
        <v>5612</v>
      </c>
    </row>
    <row r="494" spans="1:82" s="18" customFormat="1" ht="66.75" customHeight="1" x14ac:dyDescent="0.25">
      <c r="A494" s="87">
        <v>490</v>
      </c>
      <c r="B494" s="141" t="s">
        <v>5613</v>
      </c>
      <c r="C494" s="6" t="s">
        <v>5614</v>
      </c>
      <c r="D494" s="6" t="s">
        <v>5615</v>
      </c>
      <c r="E494" s="75" t="s">
        <v>113</v>
      </c>
      <c r="F494" s="49" t="s">
        <v>81</v>
      </c>
      <c r="G494" s="5" t="s">
        <v>84</v>
      </c>
      <c r="H494" s="6" t="s">
        <v>114</v>
      </c>
      <c r="I494" s="6" t="s">
        <v>578</v>
      </c>
      <c r="J494" s="6"/>
      <c r="K494" s="6"/>
      <c r="L494" s="6"/>
      <c r="M494" s="6" t="s">
        <v>136</v>
      </c>
      <c r="N494" s="6" t="s">
        <v>89</v>
      </c>
      <c r="O494" s="6" t="s">
        <v>579</v>
      </c>
      <c r="P494" s="6" t="s">
        <v>580</v>
      </c>
      <c r="Q494" s="6"/>
      <c r="R494" s="82" t="s">
        <v>91</v>
      </c>
      <c r="S494" s="5" t="s">
        <v>92</v>
      </c>
      <c r="T494" s="5" t="s">
        <v>93</v>
      </c>
      <c r="U494" s="91">
        <v>100</v>
      </c>
      <c r="V494" s="5" t="s">
        <v>94</v>
      </c>
      <c r="W494" s="5" t="s">
        <v>95</v>
      </c>
      <c r="X494" s="5">
        <v>2025</v>
      </c>
      <c r="Y494" s="5" t="s">
        <v>117</v>
      </c>
      <c r="Z494" s="5" t="s">
        <v>97</v>
      </c>
      <c r="AA494" s="5" t="s">
        <v>98</v>
      </c>
      <c r="AB494" s="6" t="s">
        <v>99</v>
      </c>
      <c r="AC494" s="79" t="s">
        <v>5616</v>
      </c>
      <c r="AD494" s="79" t="s">
        <v>5617</v>
      </c>
      <c r="AE494" s="49" t="s">
        <v>627</v>
      </c>
      <c r="AF494" s="49" t="s">
        <v>121</v>
      </c>
      <c r="AG494" s="49" t="s">
        <v>218</v>
      </c>
      <c r="AH494" s="49" t="s">
        <v>123</v>
      </c>
      <c r="AI494" s="6" t="s">
        <v>5618</v>
      </c>
      <c r="AJ494" s="49" t="s">
        <v>750</v>
      </c>
      <c r="AK494" s="33" t="s">
        <v>97</v>
      </c>
      <c r="AL494" s="33" t="s">
        <v>97</v>
      </c>
      <c r="AM494" s="5" t="s">
        <v>641</v>
      </c>
      <c r="AN494" s="82" t="s">
        <v>631</v>
      </c>
      <c r="AO494" s="5"/>
      <c r="AP494" s="5"/>
      <c r="AQ494" s="49" t="s">
        <v>589</v>
      </c>
      <c r="AR494" s="20" t="s">
        <v>97</v>
      </c>
      <c r="AS494" s="20" t="s">
        <v>107</v>
      </c>
      <c r="AT494" s="20"/>
      <c r="AU494" s="24">
        <v>0.95</v>
      </c>
      <c r="AV494" s="24">
        <f t="shared" si="97"/>
        <v>0.76</v>
      </c>
      <c r="AW494" s="24">
        <f t="shared" si="98"/>
        <v>0.56999999999999995</v>
      </c>
      <c r="AX494" s="25">
        <v>1E-4</v>
      </c>
      <c r="AY494" s="24">
        <v>0</v>
      </c>
      <c r="AZ494" s="24">
        <f t="shared" si="99"/>
        <v>0.85499999999999998</v>
      </c>
      <c r="BA494" s="24">
        <f t="shared" si="100"/>
        <v>0.68400000000000005</v>
      </c>
      <c r="BB494" s="24">
        <f t="shared" si="101"/>
        <v>0.51300000000000001</v>
      </c>
      <c r="BC494" s="25">
        <v>1E-4</v>
      </c>
      <c r="BD494" s="24">
        <v>0</v>
      </c>
      <c r="BE494" s="26">
        <v>0</v>
      </c>
      <c r="BF494" s="34">
        <f t="shared" si="95"/>
        <v>0</v>
      </c>
      <c r="BG494" s="34">
        <f t="shared" si="96"/>
        <v>0</v>
      </c>
      <c r="BH494" s="26">
        <v>0</v>
      </c>
      <c r="BI494" s="26">
        <v>0</v>
      </c>
      <c r="BJ494" s="20"/>
      <c r="BK494" s="27"/>
      <c r="BL494" s="27" t="s">
        <v>751</v>
      </c>
      <c r="BM494" s="27" t="s">
        <v>5619</v>
      </c>
      <c r="BN494" s="26"/>
      <c r="BO494" s="34"/>
      <c r="BP494" s="34"/>
      <c r="BQ494" s="34"/>
      <c r="BR494" s="34"/>
      <c r="BS494" s="34"/>
      <c r="BT494" s="34"/>
      <c r="BU494" s="34"/>
      <c r="BV494" s="34"/>
      <c r="BW494" s="34"/>
      <c r="BX494" s="34"/>
      <c r="BY494" s="34"/>
      <c r="BZ494" s="34"/>
      <c r="CA494" s="20"/>
      <c r="CB494" s="20"/>
      <c r="CC494" s="29">
        <v>46003</v>
      </c>
      <c r="CD494" s="11" t="s">
        <v>5620</v>
      </c>
    </row>
    <row r="495" spans="1:82" s="18" customFormat="1" ht="66.75" customHeight="1" x14ac:dyDescent="0.25">
      <c r="A495" s="87">
        <v>491</v>
      </c>
      <c r="B495" s="141" t="s">
        <v>5621</v>
      </c>
      <c r="C495" s="6" t="s">
        <v>5622</v>
      </c>
      <c r="D495" s="6" t="s">
        <v>5623</v>
      </c>
      <c r="E495" s="75" t="s">
        <v>113</v>
      </c>
      <c r="F495" s="4" t="s">
        <v>81</v>
      </c>
      <c r="G495" s="5" t="s">
        <v>84</v>
      </c>
      <c r="H495" s="6" t="s">
        <v>114</v>
      </c>
      <c r="I495" s="6" t="s">
        <v>578</v>
      </c>
      <c r="J495" s="6"/>
      <c r="K495" s="6"/>
      <c r="L495" s="6"/>
      <c r="M495" s="6" t="s">
        <v>136</v>
      </c>
      <c r="N495" s="6" t="s">
        <v>89</v>
      </c>
      <c r="O495" s="6" t="s">
        <v>579</v>
      </c>
      <c r="P495" s="6" t="s">
        <v>580</v>
      </c>
      <c r="Q495" s="6"/>
      <c r="R495" s="82" t="s">
        <v>91</v>
      </c>
      <c r="S495" s="5" t="s">
        <v>92</v>
      </c>
      <c r="T495" s="5" t="s">
        <v>93</v>
      </c>
      <c r="U495" s="91">
        <v>100</v>
      </c>
      <c r="V495" s="5" t="s">
        <v>94</v>
      </c>
      <c r="W495" s="5" t="s">
        <v>95</v>
      </c>
      <c r="X495" s="5">
        <v>2025</v>
      </c>
      <c r="Y495" s="5" t="s">
        <v>117</v>
      </c>
      <c r="Z495" s="5" t="s">
        <v>97</v>
      </c>
      <c r="AA495" s="5" t="s">
        <v>98</v>
      </c>
      <c r="AB495" s="6" t="s">
        <v>99</v>
      </c>
      <c r="AC495" s="79" t="s">
        <v>5624</v>
      </c>
      <c r="AD495" s="79" t="s">
        <v>648</v>
      </c>
      <c r="AE495" s="49" t="s">
        <v>757</v>
      </c>
      <c r="AF495" s="49" t="s">
        <v>121</v>
      </c>
      <c r="AG495" s="49" t="s">
        <v>218</v>
      </c>
      <c r="AH495" s="49" t="s">
        <v>123</v>
      </c>
      <c r="AI495" s="6" t="s">
        <v>5625</v>
      </c>
      <c r="AJ495" s="49" t="s">
        <v>750</v>
      </c>
      <c r="AK495" s="33" t="s">
        <v>97</v>
      </c>
      <c r="AL495" s="33" t="s">
        <v>97</v>
      </c>
      <c r="AM495" s="5" t="s">
        <v>641</v>
      </c>
      <c r="AN495" s="82" t="s">
        <v>631</v>
      </c>
      <c r="AO495" s="6"/>
      <c r="AP495" s="6"/>
      <c r="AQ495" s="49" t="s">
        <v>589</v>
      </c>
      <c r="AR495" s="20" t="s">
        <v>97</v>
      </c>
      <c r="AS495" s="20" t="s">
        <v>107</v>
      </c>
      <c r="AT495" s="20"/>
      <c r="AU495" s="24">
        <v>0.95</v>
      </c>
      <c r="AV495" s="24">
        <f t="shared" si="97"/>
        <v>0.76</v>
      </c>
      <c r="AW495" s="24">
        <f t="shared" si="98"/>
        <v>0.56999999999999995</v>
      </c>
      <c r="AX495" s="25">
        <v>1E-4</v>
      </c>
      <c r="AY495" s="24">
        <v>0</v>
      </c>
      <c r="AZ495" s="24">
        <f t="shared" si="99"/>
        <v>0.85499999999999998</v>
      </c>
      <c r="BA495" s="24">
        <f t="shared" si="100"/>
        <v>0.68400000000000005</v>
      </c>
      <c r="BB495" s="24">
        <f t="shared" si="101"/>
        <v>0.51300000000000001</v>
      </c>
      <c r="BC495" s="25">
        <v>1E-4</v>
      </c>
      <c r="BD495" s="24">
        <v>0</v>
      </c>
      <c r="BE495" s="26">
        <v>0</v>
      </c>
      <c r="BF495" s="34">
        <f t="shared" si="95"/>
        <v>0</v>
      </c>
      <c r="BG495" s="34">
        <f t="shared" si="96"/>
        <v>0</v>
      </c>
      <c r="BH495" s="26">
        <v>0</v>
      </c>
      <c r="BI495" s="26">
        <v>0</v>
      </c>
      <c r="BJ495" s="20"/>
      <c r="BK495" s="27"/>
      <c r="BL495" s="27" t="s">
        <v>758</v>
      </c>
      <c r="BM495" s="27" t="s">
        <v>5626</v>
      </c>
      <c r="BN495" s="26"/>
      <c r="BO495" s="34"/>
      <c r="BP495" s="34"/>
      <c r="BQ495" s="34"/>
      <c r="BR495" s="34"/>
      <c r="BS495" s="34"/>
      <c r="BT495" s="34"/>
      <c r="BU495" s="34"/>
      <c r="BV495" s="34"/>
      <c r="BW495" s="34"/>
      <c r="BX495" s="34"/>
      <c r="BY495" s="34"/>
      <c r="BZ495" s="34"/>
      <c r="CA495" s="20"/>
      <c r="CB495" s="20"/>
      <c r="CC495" s="29">
        <v>46003</v>
      </c>
      <c r="CD495" s="11" t="s">
        <v>5627</v>
      </c>
    </row>
    <row r="496" spans="1:82" s="18" customFormat="1" ht="66.75" customHeight="1" x14ac:dyDescent="0.25">
      <c r="A496" s="121">
        <v>492</v>
      </c>
      <c r="B496" s="141" t="s">
        <v>5628</v>
      </c>
      <c r="C496" s="6" t="s">
        <v>5629</v>
      </c>
      <c r="D496" s="6" t="s">
        <v>5630</v>
      </c>
      <c r="E496" s="75" t="s">
        <v>113</v>
      </c>
      <c r="F496" s="4" t="s">
        <v>81</v>
      </c>
      <c r="G496" s="5" t="s">
        <v>84</v>
      </c>
      <c r="H496" s="6" t="s">
        <v>114</v>
      </c>
      <c r="I496" s="6" t="s">
        <v>578</v>
      </c>
      <c r="J496" s="6"/>
      <c r="K496" s="6"/>
      <c r="L496" s="6"/>
      <c r="M496" s="6" t="s">
        <v>136</v>
      </c>
      <c r="N496" s="6" t="s">
        <v>89</v>
      </c>
      <c r="O496" s="6" t="s">
        <v>579</v>
      </c>
      <c r="P496" s="6" t="s">
        <v>580</v>
      </c>
      <c r="Q496" s="6"/>
      <c r="R496" s="82" t="s">
        <v>91</v>
      </c>
      <c r="S496" s="5" t="s">
        <v>92</v>
      </c>
      <c r="T496" s="5" t="s">
        <v>93</v>
      </c>
      <c r="U496" s="91">
        <v>100</v>
      </c>
      <c r="V496" s="5" t="s">
        <v>94</v>
      </c>
      <c r="W496" s="5" t="s">
        <v>95</v>
      </c>
      <c r="X496" s="5">
        <v>2025</v>
      </c>
      <c r="Y496" s="5" t="s">
        <v>117</v>
      </c>
      <c r="Z496" s="5" t="s">
        <v>97</v>
      </c>
      <c r="AA496" s="5" t="s">
        <v>98</v>
      </c>
      <c r="AB496" s="6" t="s">
        <v>99</v>
      </c>
      <c r="AC496" s="79" t="s">
        <v>5631</v>
      </c>
      <c r="AD496" s="79" t="s">
        <v>648</v>
      </c>
      <c r="AE496" s="49" t="s">
        <v>627</v>
      </c>
      <c r="AF496" s="49" t="s">
        <v>121</v>
      </c>
      <c r="AG496" s="49" t="s">
        <v>218</v>
      </c>
      <c r="AH496" s="49" t="s">
        <v>123</v>
      </c>
      <c r="AI496" s="6" t="s">
        <v>5632</v>
      </c>
      <c r="AJ496" s="49" t="s">
        <v>750</v>
      </c>
      <c r="AK496" s="33" t="s">
        <v>97</v>
      </c>
      <c r="AL496" s="33" t="s">
        <v>97</v>
      </c>
      <c r="AM496" s="5" t="s">
        <v>641</v>
      </c>
      <c r="AN496" s="82" t="s">
        <v>631</v>
      </c>
      <c r="AO496" s="6"/>
      <c r="AP496" s="6"/>
      <c r="AQ496" s="49" t="s">
        <v>589</v>
      </c>
      <c r="AR496" s="20" t="s">
        <v>97</v>
      </c>
      <c r="AS496" s="20" t="s">
        <v>107</v>
      </c>
      <c r="AT496" s="20"/>
      <c r="AU496" s="24">
        <v>0.95</v>
      </c>
      <c r="AV496" s="24">
        <f t="shared" si="97"/>
        <v>0.76</v>
      </c>
      <c r="AW496" s="24">
        <f t="shared" si="98"/>
        <v>0.56999999999999995</v>
      </c>
      <c r="AX496" s="25">
        <v>1E-4</v>
      </c>
      <c r="AY496" s="24">
        <v>0</v>
      </c>
      <c r="AZ496" s="24">
        <f t="shared" si="99"/>
        <v>0.85499999999999998</v>
      </c>
      <c r="BA496" s="24">
        <f t="shared" si="100"/>
        <v>0.68400000000000005</v>
      </c>
      <c r="BB496" s="24">
        <f t="shared" si="101"/>
        <v>0.51300000000000001</v>
      </c>
      <c r="BC496" s="25">
        <v>1E-4</v>
      </c>
      <c r="BD496" s="24">
        <v>0</v>
      </c>
      <c r="BE496" s="26">
        <v>0</v>
      </c>
      <c r="BF496" s="34">
        <f t="shared" si="95"/>
        <v>0</v>
      </c>
      <c r="BG496" s="34">
        <f t="shared" si="96"/>
        <v>0</v>
      </c>
      <c r="BH496" s="26">
        <v>0</v>
      </c>
      <c r="BI496" s="26">
        <v>0</v>
      </c>
      <c r="BJ496" s="20" t="s">
        <v>496</v>
      </c>
      <c r="BK496" s="27">
        <v>0.78440004952841513</v>
      </c>
      <c r="BL496" s="27" t="s">
        <v>764</v>
      </c>
      <c r="BM496" s="27" t="s">
        <v>5633</v>
      </c>
      <c r="BN496" s="26"/>
      <c r="BO496" s="34"/>
      <c r="BP496" s="34"/>
      <c r="BQ496" s="34"/>
      <c r="BR496" s="34"/>
      <c r="BS496" s="34"/>
      <c r="BT496" s="34"/>
      <c r="BU496" s="34"/>
      <c r="BV496" s="34"/>
      <c r="BW496" s="34"/>
      <c r="BX496" s="34"/>
      <c r="BY496" s="34"/>
      <c r="BZ496" s="34"/>
      <c r="CA496" s="20"/>
      <c r="CB496" s="20"/>
      <c r="CC496" s="29">
        <v>46003</v>
      </c>
      <c r="CD496" s="11" t="s">
        <v>5634</v>
      </c>
    </row>
    <row r="497" spans="1:82" s="18" customFormat="1" ht="66.75" customHeight="1" x14ac:dyDescent="0.25">
      <c r="A497" s="87">
        <v>493</v>
      </c>
      <c r="B497" s="141" t="s">
        <v>5635</v>
      </c>
      <c r="C497" s="6" t="s">
        <v>5636</v>
      </c>
      <c r="D497" s="6" t="s">
        <v>5637</v>
      </c>
      <c r="E497" s="75" t="s">
        <v>113</v>
      </c>
      <c r="F497" s="4" t="s">
        <v>81</v>
      </c>
      <c r="G497" s="5" t="s">
        <v>84</v>
      </c>
      <c r="H497" s="6" t="s">
        <v>114</v>
      </c>
      <c r="I497" s="6" t="s">
        <v>578</v>
      </c>
      <c r="J497" s="6"/>
      <c r="K497" s="6"/>
      <c r="L497" s="6"/>
      <c r="M497" s="6" t="s">
        <v>88</v>
      </c>
      <c r="N497" s="6" t="s">
        <v>89</v>
      </c>
      <c r="O497" s="6" t="s">
        <v>579</v>
      </c>
      <c r="P497" s="6" t="s">
        <v>580</v>
      </c>
      <c r="Q497" s="6"/>
      <c r="R497" s="82" t="s">
        <v>91</v>
      </c>
      <c r="S497" s="5" t="s">
        <v>92</v>
      </c>
      <c r="T497" s="5" t="s">
        <v>93</v>
      </c>
      <c r="U497" s="91">
        <v>100</v>
      </c>
      <c r="V497" s="5" t="s">
        <v>94</v>
      </c>
      <c r="W497" s="5" t="s">
        <v>95</v>
      </c>
      <c r="X497" s="5">
        <v>2025</v>
      </c>
      <c r="Y497" s="5" t="s">
        <v>117</v>
      </c>
      <c r="Z497" s="5" t="s">
        <v>97</v>
      </c>
      <c r="AA497" s="5" t="s">
        <v>98</v>
      </c>
      <c r="AB497" s="6" t="s">
        <v>99</v>
      </c>
      <c r="AC497" s="79" t="s">
        <v>5638</v>
      </c>
      <c r="AD497" s="79" t="s">
        <v>648</v>
      </c>
      <c r="AE497" s="49" t="s">
        <v>627</v>
      </c>
      <c r="AF497" s="49" t="s">
        <v>121</v>
      </c>
      <c r="AG497" s="49" t="s">
        <v>218</v>
      </c>
      <c r="AH497" s="49" t="s">
        <v>123</v>
      </c>
      <c r="AI497" s="6" t="s">
        <v>5639</v>
      </c>
      <c r="AJ497" s="49" t="s">
        <v>750</v>
      </c>
      <c r="AK497" s="33" t="s">
        <v>97</v>
      </c>
      <c r="AL497" s="33" t="s">
        <v>97</v>
      </c>
      <c r="AM497" s="5" t="s">
        <v>641</v>
      </c>
      <c r="AN497" s="82" t="s">
        <v>631</v>
      </c>
      <c r="AO497" s="6"/>
      <c r="AP497" s="6"/>
      <c r="AQ497" s="49" t="s">
        <v>589</v>
      </c>
      <c r="AR497" s="20" t="s">
        <v>97</v>
      </c>
      <c r="AS497" s="20" t="s">
        <v>107</v>
      </c>
      <c r="AT497" s="20"/>
      <c r="AU497" s="24">
        <v>0.95</v>
      </c>
      <c r="AV497" s="24">
        <f t="shared" si="97"/>
        <v>0.76</v>
      </c>
      <c r="AW497" s="24">
        <f t="shared" si="98"/>
        <v>0.56999999999999995</v>
      </c>
      <c r="AX497" s="25">
        <v>1E-4</v>
      </c>
      <c r="AY497" s="24">
        <v>0</v>
      </c>
      <c r="AZ497" s="24">
        <f t="shared" si="99"/>
        <v>0.85499999999999998</v>
      </c>
      <c r="BA497" s="24">
        <f t="shared" si="100"/>
        <v>0.68400000000000005</v>
      </c>
      <c r="BB497" s="24">
        <f t="shared" si="101"/>
        <v>0.51300000000000001</v>
      </c>
      <c r="BC497" s="25">
        <v>1E-4</v>
      </c>
      <c r="BD497" s="24">
        <v>0</v>
      </c>
      <c r="BE497" s="26">
        <v>0</v>
      </c>
      <c r="BF497" s="34">
        <f t="shared" si="95"/>
        <v>0</v>
      </c>
      <c r="BG497" s="34">
        <f t="shared" si="96"/>
        <v>0</v>
      </c>
      <c r="BH497" s="26">
        <v>0</v>
      </c>
      <c r="BI497" s="26">
        <v>0</v>
      </c>
      <c r="BJ497" s="20" t="s">
        <v>496</v>
      </c>
      <c r="BK497" s="27">
        <v>0.78605099675938894</v>
      </c>
      <c r="BL497" s="27" t="s">
        <v>770</v>
      </c>
      <c r="BM497" s="27" t="s">
        <v>5640</v>
      </c>
      <c r="BN497" s="26"/>
      <c r="BO497" s="34"/>
      <c r="BP497" s="34"/>
      <c r="BQ497" s="34"/>
      <c r="BR497" s="34"/>
      <c r="BS497" s="34"/>
      <c r="BT497" s="34"/>
      <c r="BU497" s="34"/>
      <c r="BV497" s="34"/>
      <c r="BW497" s="34"/>
      <c r="BX497" s="34"/>
      <c r="BY497" s="34"/>
      <c r="BZ497" s="34"/>
      <c r="CA497" s="20"/>
      <c r="CB497" s="20"/>
      <c r="CC497" s="29">
        <v>46003</v>
      </c>
      <c r="CD497" s="11" t="s">
        <v>5641</v>
      </c>
    </row>
    <row r="498" spans="1:82" s="18" customFormat="1" ht="66.75" customHeight="1" x14ac:dyDescent="0.25">
      <c r="A498" s="87">
        <v>494</v>
      </c>
      <c r="B498" s="141" t="s">
        <v>5642</v>
      </c>
      <c r="C498" s="6" t="s">
        <v>5643</v>
      </c>
      <c r="D498" s="6" t="s">
        <v>5644</v>
      </c>
      <c r="E498" s="75" t="s">
        <v>113</v>
      </c>
      <c r="F498" s="4" t="s">
        <v>81</v>
      </c>
      <c r="G498" s="5" t="s">
        <v>84</v>
      </c>
      <c r="H498" s="6" t="s">
        <v>114</v>
      </c>
      <c r="I498" s="6" t="s">
        <v>578</v>
      </c>
      <c r="J498" s="6"/>
      <c r="K498" s="6"/>
      <c r="L498" s="6"/>
      <c r="M498" s="6" t="s">
        <v>88</v>
      </c>
      <c r="N498" s="6" t="s">
        <v>89</v>
      </c>
      <c r="O498" s="6" t="s">
        <v>579</v>
      </c>
      <c r="P498" s="6" t="s">
        <v>580</v>
      </c>
      <c r="Q498" s="6"/>
      <c r="R498" s="82" t="s">
        <v>91</v>
      </c>
      <c r="S498" s="5" t="s">
        <v>92</v>
      </c>
      <c r="T498" s="5" t="s">
        <v>93</v>
      </c>
      <c r="U498" s="91">
        <v>100</v>
      </c>
      <c r="V498" s="5" t="s">
        <v>94</v>
      </c>
      <c r="W498" s="5" t="s">
        <v>95</v>
      </c>
      <c r="X498" s="5">
        <v>2025</v>
      </c>
      <c r="Y498" s="5" t="s">
        <v>117</v>
      </c>
      <c r="Z498" s="5" t="s">
        <v>97</v>
      </c>
      <c r="AA498" s="5" t="s">
        <v>98</v>
      </c>
      <c r="AB498" s="6" t="s">
        <v>99</v>
      </c>
      <c r="AC498" s="79" t="s">
        <v>5645</v>
      </c>
      <c r="AD498" s="79" t="s">
        <v>648</v>
      </c>
      <c r="AE498" s="6" t="s">
        <v>675</v>
      </c>
      <c r="AF498" s="6" t="s">
        <v>121</v>
      </c>
      <c r="AG498" s="49" t="s">
        <v>218</v>
      </c>
      <c r="AH498" s="6" t="s">
        <v>123</v>
      </c>
      <c r="AI498" s="6" t="s">
        <v>5646</v>
      </c>
      <c r="AJ498" s="6" t="s">
        <v>750</v>
      </c>
      <c r="AK498" s="33" t="s">
        <v>97</v>
      </c>
      <c r="AL498" s="33" t="s">
        <v>97</v>
      </c>
      <c r="AM498" s="5" t="s">
        <v>641</v>
      </c>
      <c r="AN498" s="82" t="s">
        <v>631</v>
      </c>
      <c r="AO498" s="6"/>
      <c r="AP498" s="6"/>
      <c r="AQ498" s="49" t="s">
        <v>589</v>
      </c>
      <c r="AR498" s="20" t="s">
        <v>97</v>
      </c>
      <c r="AS498" s="20" t="s">
        <v>107</v>
      </c>
      <c r="AT498" s="20"/>
      <c r="AU498" s="24">
        <v>0.95</v>
      </c>
      <c r="AV498" s="24">
        <f t="shared" si="97"/>
        <v>0.76</v>
      </c>
      <c r="AW498" s="24">
        <f t="shared" si="98"/>
        <v>0.56999999999999995</v>
      </c>
      <c r="AX498" s="25">
        <v>1E-4</v>
      </c>
      <c r="AY498" s="24">
        <v>0</v>
      </c>
      <c r="AZ498" s="24">
        <f t="shared" si="99"/>
        <v>0.85499999999999998</v>
      </c>
      <c r="BA498" s="24">
        <f t="shared" si="100"/>
        <v>0.68400000000000005</v>
      </c>
      <c r="BB498" s="24">
        <f t="shared" si="101"/>
        <v>0.51300000000000001</v>
      </c>
      <c r="BC498" s="25">
        <v>1E-4</v>
      </c>
      <c r="BD498" s="24">
        <v>0</v>
      </c>
      <c r="BE498" s="26">
        <v>0</v>
      </c>
      <c r="BF498" s="34">
        <f t="shared" si="95"/>
        <v>0</v>
      </c>
      <c r="BG498" s="34">
        <f t="shared" si="96"/>
        <v>0</v>
      </c>
      <c r="BH498" s="26">
        <v>0</v>
      </c>
      <c r="BI498" s="26">
        <v>0</v>
      </c>
      <c r="BJ498" s="20" t="s">
        <v>496</v>
      </c>
      <c r="BK498" s="27">
        <v>0.71472257207572687</v>
      </c>
      <c r="BL498" s="27" t="s">
        <v>790</v>
      </c>
      <c r="BM498" s="27" t="s">
        <v>5647</v>
      </c>
      <c r="BN498" s="26"/>
      <c r="BO498" s="34"/>
      <c r="BP498" s="34"/>
      <c r="BQ498" s="34"/>
      <c r="BR498" s="34"/>
      <c r="BS498" s="34"/>
      <c r="BT498" s="34"/>
      <c r="BU498" s="34"/>
      <c r="BV498" s="34"/>
      <c r="BW498" s="34"/>
      <c r="BX498" s="34"/>
      <c r="BY498" s="34"/>
      <c r="BZ498" s="34"/>
      <c r="CA498" s="20"/>
      <c r="CB498" s="20"/>
      <c r="CC498" s="29">
        <v>46003</v>
      </c>
      <c r="CD498" s="11" t="s">
        <v>5648</v>
      </c>
    </row>
    <row r="499" spans="1:82" s="18" customFormat="1" ht="66.75" customHeight="1" x14ac:dyDescent="0.25">
      <c r="A499" s="121">
        <v>495</v>
      </c>
      <c r="B499" s="141" t="s">
        <v>5649</v>
      </c>
      <c r="C499" s="6" t="s">
        <v>5650</v>
      </c>
      <c r="D499" s="6" t="s">
        <v>5651</v>
      </c>
      <c r="E499" s="75" t="s">
        <v>113</v>
      </c>
      <c r="F499" s="49" t="s">
        <v>81</v>
      </c>
      <c r="G499" s="5" t="s">
        <v>84</v>
      </c>
      <c r="H499" s="6" t="s">
        <v>114</v>
      </c>
      <c r="I499" s="6" t="s">
        <v>578</v>
      </c>
      <c r="J499" s="6"/>
      <c r="K499" s="6"/>
      <c r="L499" s="6"/>
      <c r="M499" s="6" t="s">
        <v>136</v>
      </c>
      <c r="N499" s="6" t="s">
        <v>89</v>
      </c>
      <c r="O499" s="6" t="s">
        <v>579</v>
      </c>
      <c r="P499" s="6" t="s">
        <v>580</v>
      </c>
      <c r="Q499" s="6"/>
      <c r="R499" s="82" t="s">
        <v>91</v>
      </c>
      <c r="S499" s="5" t="s">
        <v>92</v>
      </c>
      <c r="T499" s="5" t="s">
        <v>93</v>
      </c>
      <c r="U499" s="91">
        <v>100</v>
      </c>
      <c r="V499" s="5" t="s">
        <v>94</v>
      </c>
      <c r="W499" s="5" t="s">
        <v>95</v>
      </c>
      <c r="X499" s="5">
        <v>2025</v>
      </c>
      <c r="Y499" s="5" t="s">
        <v>117</v>
      </c>
      <c r="Z499" s="5" t="s">
        <v>97</v>
      </c>
      <c r="AA499" s="5" t="s">
        <v>98</v>
      </c>
      <c r="AB499" s="6" t="s">
        <v>99</v>
      </c>
      <c r="AC499" s="79" t="s">
        <v>5652</v>
      </c>
      <c r="AD499" s="79" t="s">
        <v>5617</v>
      </c>
      <c r="AE499" s="49" t="s">
        <v>627</v>
      </c>
      <c r="AF499" s="49" t="s">
        <v>121</v>
      </c>
      <c r="AG499" s="49" t="s">
        <v>218</v>
      </c>
      <c r="AH499" s="49" t="s">
        <v>123</v>
      </c>
      <c r="AI499" s="6" t="s">
        <v>5653</v>
      </c>
      <c r="AJ499" s="49" t="s">
        <v>750</v>
      </c>
      <c r="AK499" s="33" t="s">
        <v>97</v>
      </c>
      <c r="AL499" s="33" t="s">
        <v>97</v>
      </c>
      <c r="AM499" s="5" t="s">
        <v>641</v>
      </c>
      <c r="AN499" s="82" t="s">
        <v>631</v>
      </c>
      <c r="AO499" s="5"/>
      <c r="AP499" s="5"/>
      <c r="AQ499" s="49" t="s">
        <v>589</v>
      </c>
      <c r="AR499" s="20" t="s">
        <v>97</v>
      </c>
      <c r="AS499" s="20" t="s">
        <v>107</v>
      </c>
      <c r="AT499" s="20"/>
      <c r="AU499" s="24">
        <v>0.95</v>
      </c>
      <c r="AV499" s="24">
        <f t="shared" si="97"/>
        <v>0.76</v>
      </c>
      <c r="AW499" s="24">
        <f t="shared" si="98"/>
        <v>0.56999999999999995</v>
      </c>
      <c r="AX499" s="25">
        <v>1E-4</v>
      </c>
      <c r="AY499" s="24">
        <v>0</v>
      </c>
      <c r="AZ499" s="24">
        <f t="shared" si="99"/>
        <v>0.85499999999999998</v>
      </c>
      <c r="BA499" s="24">
        <f t="shared" si="100"/>
        <v>0.68400000000000005</v>
      </c>
      <c r="BB499" s="24">
        <f t="shared" si="101"/>
        <v>0.51300000000000001</v>
      </c>
      <c r="BC499" s="25">
        <v>1E-4</v>
      </c>
      <c r="BD499" s="24">
        <v>0</v>
      </c>
      <c r="BE499" s="26">
        <v>0</v>
      </c>
      <c r="BF499" s="34">
        <f t="shared" si="95"/>
        <v>0</v>
      </c>
      <c r="BG499" s="34">
        <f t="shared" si="96"/>
        <v>0</v>
      </c>
      <c r="BH499" s="26">
        <v>0</v>
      </c>
      <c r="BI499" s="26">
        <v>0</v>
      </c>
      <c r="BJ499" s="20"/>
      <c r="BK499" s="27"/>
      <c r="BL499" s="27" t="s">
        <v>797</v>
      </c>
      <c r="BM499" s="27" t="s">
        <v>5654</v>
      </c>
      <c r="BN499" s="26"/>
      <c r="BO499" s="34"/>
      <c r="BP499" s="34"/>
      <c r="BQ499" s="34"/>
      <c r="BR499" s="34"/>
      <c r="BS499" s="34"/>
      <c r="BT499" s="34"/>
      <c r="BU499" s="34"/>
      <c r="BV499" s="34"/>
      <c r="BW499" s="34"/>
      <c r="BX499" s="34"/>
      <c r="BY499" s="34"/>
      <c r="BZ499" s="34"/>
      <c r="CA499" s="20"/>
      <c r="CB499" s="20"/>
      <c r="CC499" s="29">
        <v>46003</v>
      </c>
      <c r="CD499" s="11" t="s">
        <v>5655</v>
      </c>
    </row>
    <row r="500" spans="1:82" s="18" customFormat="1" ht="66.75" customHeight="1" x14ac:dyDescent="0.25">
      <c r="A500" s="87">
        <v>496</v>
      </c>
      <c r="B500" s="141" t="s">
        <v>5656</v>
      </c>
      <c r="C500" s="6" t="s">
        <v>5657</v>
      </c>
      <c r="D500" s="6" t="s">
        <v>5658</v>
      </c>
      <c r="E500" s="75" t="s">
        <v>113</v>
      </c>
      <c r="F500" s="49" t="s">
        <v>81</v>
      </c>
      <c r="G500" s="5" t="s">
        <v>84</v>
      </c>
      <c r="H500" s="6" t="s">
        <v>114</v>
      </c>
      <c r="I500" s="6" t="s">
        <v>578</v>
      </c>
      <c r="J500" s="6"/>
      <c r="K500" s="6"/>
      <c r="L500" s="6"/>
      <c r="M500" s="6" t="s">
        <v>136</v>
      </c>
      <c r="N500" s="6" t="s">
        <v>89</v>
      </c>
      <c r="O500" s="6" t="s">
        <v>579</v>
      </c>
      <c r="P500" s="6" t="s">
        <v>580</v>
      </c>
      <c r="Q500" s="6"/>
      <c r="R500" s="82" t="s">
        <v>91</v>
      </c>
      <c r="S500" s="5" t="s">
        <v>92</v>
      </c>
      <c r="T500" s="5" t="s">
        <v>93</v>
      </c>
      <c r="U500" s="91">
        <v>100</v>
      </c>
      <c r="V500" s="5" t="s">
        <v>94</v>
      </c>
      <c r="W500" s="5" t="s">
        <v>95</v>
      </c>
      <c r="X500" s="5">
        <v>2025</v>
      </c>
      <c r="Y500" s="5" t="s">
        <v>117</v>
      </c>
      <c r="Z500" s="5" t="s">
        <v>97</v>
      </c>
      <c r="AA500" s="5" t="s">
        <v>98</v>
      </c>
      <c r="AB500" s="6" t="s">
        <v>99</v>
      </c>
      <c r="AC500" s="79" t="s">
        <v>5659</v>
      </c>
      <c r="AD500" s="79" t="s">
        <v>5617</v>
      </c>
      <c r="AE500" s="49" t="s">
        <v>627</v>
      </c>
      <c r="AF500" s="49" t="s">
        <v>121</v>
      </c>
      <c r="AG500" s="49" t="s">
        <v>218</v>
      </c>
      <c r="AH500" s="49" t="s">
        <v>123</v>
      </c>
      <c r="AI500" s="6" t="s">
        <v>5660</v>
      </c>
      <c r="AJ500" s="49" t="s">
        <v>750</v>
      </c>
      <c r="AK500" s="33" t="s">
        <v>97</v>
      </c>
      <c r="AL500" s="33" t="s">
        <v>97</v>
      </c>
      <c r="AM500" s="5" t="s">
        <v>641</v>
      </c>
      <c r="AN500" s="82" t="s">
        <v>631</v>
      </c>
      <c r="AO500" s="5"/>
      <c r="AP500" s="5"/>
      <c r="AQ500" s="49" t="s">
        <v>589</v>
      </c>
      <c r="AR500" s="20" t="s">
        <v>97</v>
      </c>
      <c r="AS500" s="20" t="s">
        <v>107</v>
      </c>
      <c r="AT500" s="20"/>
      <c r="AU500" s="24">
        <v>0.95</v>
      </c>
      <c r="AV500" s="24">
        <f t="shared" si="97"/>
        <v>0.76</v>
      </c>
      <c r="AW500" s="24">
        <f t="shared" si="98"/>
        <v>0.56999999999999995</v>
      </c>
      <c r="AX500" s="25">
        <v>1E-4</v>
      </c>
      <c r="AY500" s="24">
        <v>0</v>
      </c>
      <c r="AZ500" s="24">
        <f t="shared" si="99"/>
        <v>0.85499999999999998</v>
      </c>
      <c r="BA500" s="24">
        <f t="shared" si="100"/>
        <v>0.68400000000000005</v>
      </c>
      <c r="BB500" s="24">
        <f t="shared" si="101"/>
        <v>0.51300000000000001</v>
      </c>
      <c r="BC500" s="25">
        <v>1E-4</v>
      </c>
      <c r="BD500" s="24">
        <v>0</v>
      </c>
      <c r="BE500" s="26">
        <v>0</v>
      </c>
      <c r="BF500" s="34">
        <f t="shared" si="95"/>
        <v>0</v>
      </c>
      <c r="BG500" s="34">
        <f t="shared" si="96"/>
        <v>0</v>
      </c>
      <c r="BH500" s="26">
        <v>0</v>
      </c>
      <c r="BI500" s="26">
        <v>0</v>
      </c>
      <c r="BJ500" s="20"/>
      <c r="BK500" s="27"/>
      <c r="BL500" s="27" t="s">
        <v>803</v>
      </c>
      <c r="BM500" s="27" t="s">
        <v>5661</v>
      </c>
      <c r="BN500" s="26"/>
      <c r="BO500" s="34"/>
      <c r="BP500" s="34"/>
      <c r="BQ500" s="34"/>
      <c r="BR500" s="34"/>
      <c r="BS500" s="34"/>
      <c r="BT500" s="34"/>
      <c r="BU500" s="34"/>
      <c r="BV500" s="34"/>
      <c r="BW500" s="34"/>
      <c r="BX500" s="34"/>
      <c r="BY500" s="34"/>
      <c r="BZ500" s="34"/>
      <c r="CA500" s="20"/>
      <c r="CB500" s="20"/>
      <c r="CC500" s="29">
        <v>46003</v>
      </c>
      <c r="CD500" s="11" t="s">
        <v>5662</v>
      </c>
    </row>
    <row r="501" spans="1:82" s="18" customFormat="1" ht="66.75" customHeight="1" x14ac:dyDescent="0.25">
      <c r="A501" s="87">
        <v>497</v>
      </c>
      <c r="B501" s="141" t="s">
        <v>5663</v>
      </c>
      <c r="C501" s="6" t="s">
        <v>5664</v>
      </c>
      <c r="D501" s="6" t="s">
        <v>5665</v>
      </c>
      <c r="E501" s="75" t="s">
        <v>113</v>
      </c>
      <c r="F501" s="4" t="s">
        <v>81</v>
      </c>
      <c r="G501" s="5" t="s">
        <v>84</v>
      </c>
      <c r="H501" s="6" t="s">
        <v>114</v>
      </c>
      <c r="I501" s="6" t="s">
        <v>578</v>
      </c>
      <c r="J501" s="6"/>
      <c r="K501" s="6"/>
      <c r="L501" s="6"/>
      <c r="M501" s="6" t="s">
        <v>136</v>
      </c>
      <c r="N501" s="6" t="s">
        <v>89</v>
      </c>
      <c r="O501" s="6" t="s">
        <v>579</v>
      </c>
      <c r="P501" s="6" t="s">
        <v>580</v>
      </c>
      <c r="Q501" s="6"/>
      <c r="R501" s="82" t="s">
        <v>91</v>
      </c>
      <c r="S501" s="5" t="s">
        <v>92</v>
      </c>
      <c r="T501" s="5" t="s">
        <v>93</v>
      </c>
      <c r="U501" s="91">
        <v>100</v>
      </c>
      <c r="V501" s="5" t="s">
        <v>94</v>
      </c>
      <c r="W501" s="5" t="s">
        <v>95</v>
      </c>
      <c r="X501" s="5">
        <v>2025</v>
      </c>
      <c r="Y501" s="5" t="s">
        <v>117</v>
      </c>
      <c r="Z501" s="5" t="s">
        <v>97</v>
      </c>
      <c r="AA501" s="5" t="s">
        <v>98</v>
      </c>
      <c r="AB501" s="6" t="s">
        <v>99</v>
      </c>
      <c r="AC501" s="79" t="s">
        <v>5666</v>
      </c>
      <c r="AD501" s="79" t="s">
        <v>5667</v>
      </c>
      <c r="AE501" s="49" t="s">
        <v>627</v>
      </c>
      <c r="AF501" s="49" t="s">
        <v>121</v>
      </c>
      <c r="AG501" s="49" t="s">
        <v>218</v>
      </c>
      <c r="AH501" s="49" t="s">
        <v>123</v>
      </c>
      <c r="AI501" s="6" t="s">
        <v>5668</v>
      </c>
      <c r="AJ501" s="49" t="s">
        <v>5669</v>
      </c>
      <c r="AK501" s="33" t="s">
        <v>97</v>
      </c>
      <c r="AL501" s="33" t="s">
        <v>97</v>
      </c>
      <c r="AM501" s="5" t="s">
        <v>5670</v>
      </c>
      <c r="AN501" s="82" t="s">
        <v>631</v>
      </c>
      <c r="AO501" s="6"/>
      <c r="AP501" s="6"/>
      <c r="AQ501" s="49" t="s">
        <v>589</v>
      </c>
      <c r="AR501" s="20" t="s">
        <v>97</v>
      </c>
      <c r="AS501" s="20" t="s">
        <v>107</v>
      </c>
      <c r="AT501" s="20"/>
      <c r="AU501" s="24">
        <v>0.95</v>
      </c>
      <c r="AV501" s="24">
        <f t="shared" si="97"/>
        <v>0.76</v>
      </c>
      <c r="AW501" s="24">
        <f t="shared" si="98"/>
        <v>0.56999999999999995</v>
      </c>
      <c r="AX501" s="25">
        <v>1E-4</v>
      </c>
      <c r="AY501" s="24">
        <v>0</v>
      </c>
      <c r="AZ501" s="24">
        <f t="shared" si="99"/>
        <v>0.85499999999999998</v>
      </c>
      <c r="BA501" s="24">
        <f t="shared" si="100"/>
        <v>0.68400000000000005</v>
      </c>
      <c r="BB501" s="24">
        <f t="shared" si="101"/>
        <v>0.51300000000000001</v>
      </c>
      <c r="BC501" s="25">
        <v>1E-4</v>
      </c>
      <c r="BD501" s="24">
        <v>0</v>
      </c>
      <c r="BE501" s="26">
        <v>0</v>
      </c>
      <c r="BF501" s="34">
        <f t="shared" si="95"/>
        <v>0</v>
      </c>
      <c r="BG501" s="34">
        <f t="shared" si="96"/>
        <v>0</v>
      </c>
      <c r="BH501" s="26">
        <v>0</v>
      </c>
      <c r="BI501" s="26">
        <v>0</v>
      </c>
      <c r="BJ501" s="20" t="s">
        <v>496</v>
      </c>
      <c r="BK501" s="27">
        <v>0.46273586544503181</v>
      </c>
      <c r="BL501" s="27" t="s">
        <v>814</v>
      </c>
      <c r="BM501" s="27" t="s">
        <v>5671</v>
      </c>
      <c r="BN501" s="26"/>
      <c r="BO501" s="34"/>
      <c r="BP501" s="34"/>
      <c r="BQ501" s="34"/>
      <c r="BR501" s="34"/>
      <c r="BS501" s="34"/>
      <c r="BT501" s="34"/>
      <c r="BU501" s="34"/>
      <c r="BV501" s="34"/>
      <c r="BW501" s="34"/>
      <c r="BX501" s="34"/>
      <c r="BY501" s="34"/>
      <c r="BZ501" s="34"/>
      <c r="CA501" s="20"/>
      <c r="CB501" s="20"/>
      <c r="CC501" s="29">
        <v>46003</v>
      </c>
      <c r="CD501" s="11" t="s">
        <v>5672</v>
      </c>
    </row>
    <row r="502" spans="1:82" s="18" customFormat="1" ht="66.75" customHeight="1" x14ac:dyDescent="0.25">
      <c r="A502" s="121">
        <v>498</v>
      </c>
      <c r="B502" s="141" t="s">
        <v>5673</v>
      </c>
      <c r="C502" s="6" t="s">
        <v>5674</v>
      </c>
      <c r="D502" s="6" t="s">
        <v>5675</v>
      </c>
      <c r="E502" s="75" t="s">
        <v>113</v>
      </c>
      <c r="F502" s="4" t="s">
        <v>81</v>
      </c>
      <c r="G502" s="5" t="s">
        <v>84</v>
      </c>
      <c r="H502" s="6" t="s">
        <v>114</v>
      </c>
      <c r="I502" s="6" t="s">
        <v>578</v>
      </c>
      <c r="J502" s="6"/>
      <c r="K502" s="6"/>
      <c r="L502" s="6"/>
      <c r="M502" s="6" t="s">
        <v>88</v>
      </c>
      <c r="N502" s="6" t="s">
        <v>89</v>
      </c>
      <c r="O502" s="6" t="s">
        <v>579</v>
      </c>
      <c r="P502" s="6" t="s">
        <v>580</v>
      </c>
      <c r="Q502" s="6"/>
      <c r="R502" s="82" t="s">
        <v>91</v>
      </c>
      <c r="S502" s="5" t="s">
        <v>92</v>
      </c>
      <c r="T502" s="5" t="s">
        <v>93</v>
      </c>
      <c r="U502" s="91">
        <v>100</v>
      </c>
      <c r="V502" s="5" t="s">
        <v>94</v>
      </c>
      <c r="W502" s="5" t="s">
        <v>95</v>
      </c>
      <c r="X502" s="5">
        <v>2025</v>
      </c>
      <c r="Y502" s="5" t="s">
        <v>117</v>
      </c>
      <c r="Z502" s="5" t="s">
        <v>97</v>
      </c>
      <c r="AA502" s="5" t="s">
        <v>98</v>
      </c>
      <c r="AB502" s="6" t="s">
        <v>99</v>
      </c>
      <c r="AC502" s="79" t="s">
        <v>5676</v>
      </c>
      <c r="AD502" s="79" t="s">
        <v>657</v>
      </c>
      <c r="AE502" s="49" t="s">
        <v>675</v>
      </c>
      <c r="AF502" s="49" t="s">
        <v>121</v>
      </c>
      <c r="AG502" s="49" t="s">
        <v>218</v>
      </c>
      <c r="AH502" s="49" t="s">
        <v>123</v>
      </c>
      <c r="AI502" s="6" t="s">
        <v>5677</v>
      </c>
      <c r="AJ502" s="49" t="s">
        <v>812</v>
      </c>
      <c r="AK502" s="33" t="s">
        <v>97</v>
      </c>
      <c r="AL502" s="33" t="s">
        <v>97</v>
      </c>
      <c r="AM502" s="5" t="s">
        <v>641</v>
      </c>
      <c r="AN502" s="82" t="s">
        <v>631</v>
      </c>
      <c r="AO502" s="6"/>
      <c r="AP502" s="6"/>
      <c r="AQ502" s="49" t="s">
        <v>589</v>
      </c>
      <c r="AR502" s="20" t="s">
        <v>97</v>
      </c>
      <c r="AS502" s="20" t="s">
        <v>107</v>
      </c>
      <c r="AT502" s="20"/>
      <c r="AU502" s="24">
        <v>0.95</v>
      </c>
      <c r="AV502" s="24">
        <f t="shared" si="97"/>
        <v>0.76</v>
      </c>
      <c r="AW502" s="24">
        <f t="shared" si="98"/>
        <v>0.56999999999999995</v>
      </c>
      <c r="AX502" s="25">
        <v>1E-4</v>
      </c>
      <c r="AY502" s="24">
        <v>0</v>
      </c>
      <c r="AZ502" s="24">
        <f t="shared" si="99"/>
        <v>0.85499999999999998</v>
      </c>
      <c r="BA502" s="24">
        <f t="shared" si="100"/>
        <v>0.68400000000000005</v>
      </c>
      <c r="BB502" s="24">
        <f t="shared" si="101"/>
        <v>0.51300000000000001</v>
      </c>
      <c r="BC502" s="25">
        <v>1E-4</v>
      </c>
      <c r="BD502" s="24">
        <v>0</v>
      </c>
      <c r="BE502" s="26">
        <v>0</v>
      </c>
      <c r="BF502" s="34">
        <f t="shared" si="95"/>
        <v>0</v>
      </c>
      <c r="BG502" s="34">
        <f t="shared" si="96"/>
        <v>0</v>
      </c>
      <c r="BH502" s="26">
        <v>0</v>
      </c>
      <c r="BI502" s="26">
        <v>0</v>
      </c>
      <c r="BJ502" s="20" t="s">
        <v>496</v>
      </c>
      <c r="BK502" s="27">
        <v>0.70100949715357064</v>
      </c>
      <c r="BL502" s="27" t="s">
        <v>822</v>
      </c>
      <c r="BM502" s="27" t="s">
        <v>2197</v>
      </c>
      <c r="BN502" s="26"/>
      <c r="BO502" s="34"/>
      <c r="BP502" s="34"/>
      <c r="BQ502" s="34"/>
      <c r="BR502" s="34"/>
      <c r="BS502" s="34"/>
      <c r="BT502" s="34"/>
      <c r="BU502" s="34"/>
      <c r="BV502" s="34"/>
      <c r="BW502" s="34"/>
      <c r="BX502" s="34"/>
      <c r="BY502" s="34"/>
      <c r="BZ502" s="34"/>
      <c r="CA502" s="20"/>
      <c r="CB502" s="20"/>
      <c r="CC502" s="29">
        <v>46003</v>
      </c>
      <c r="CD502" s="11" t="s">
        <v>5678</v>
      </c>
    </row>
    <row r="503" spans="1:82" s="18" customFormat="1" ht="66.75" customHeight="1" x14ac:dyDescent="0.25">
      <c r="A503" s="87">
        <v>499</v>
      </c>
      <c r="B503" s="141" t="s">
        <v>5679</v>
      </c>
      <c r="C503" s="6" t="s">
        <v>5680</v>
      </c>
      <c r="D503" s="6" t="s">
        <v>5681</v>
      </c>
      <c r="E503" s="75" t="s">
        <v>113</v>
      </c>
      <c r="F503" s="49" t="s">
        <v>81</v>
      </c>
      <c r="G503" s="5" t="s">
        <v>84</v>
      </c>
      <c r="H503" s="6" t="s">
        <v>114</v>
      </c>
      <c r="I503" s="6" t="s">
        <v>578</v>
      </c>
      <c r="J503" s="6"/>
      <c r="K503" s="6"/>
      <c r="L503" s="6"/>
      <c r="M503" s="6" t="s">
        <v>136</v>
      </c>
      <c r="N503" s="6" t="s">
        <v>89</v>
      </c>
      <c r="O503" s="6" t="s">
        <v>579</v>
      </c>
      <c r="P503" s="6" t="s">
        <v>580</v>
      </c>
      <c r="Q503" s="6"/>
      <c r="R503" s="82" t="s">
        <v>91</v>
      </c>
      <c r="S503" s="5" t="s">
        <v>92</v>
      </c>
      <c r="T503" s="5" t="s">
        <v>93</v>
      </c>
      <c r="U503" s="91">
        <v>100</v>
      </c>
      <c r="V503" s="5" t="s">
        <v>94</v>
      </c>
      <c r="W503" s="5" t="s">
        <v>95</v>
      </c>
      <c r="X503" s="5">
        <v>2025</v>
      </c>
      <c r="Y503" s="5" t="s">
        <v>117</v>
      </c>
      <c r="Z503" s="5" t="s">
        <v>97</v>
      </c>
      <c r="AA503" s="5" t="s">
        <v>98</v>
      </c>
      <c r="AB503" s="6" t="s">
        <v>99</v>
      </c>
      <c r="AC503" s="79" t="s">
        <v>5682</v>
      </c>
      <c r="AD503" s="79" t="s">
        <v>5683</v>
      </c>
      <c r="AE503" s="49" t="s">
        <v>627</v>
      </c>
      <c r="AF503" s="49" t="s">
        <v>121</v>
      </c>
      <c r="AG503" s="49" t="s">
        <v>218</v>
      </c>
      <c r="AH503" s="49" t="s">
        <v>123</v>
      </c>
      <c r="AI503" s="6" t="s">
        <v>5684</v>
      </c>
      <c r="AJ503" s="49" t="s">
        <v>812</v>
      </c>
      <c r="AK503" s="33" t="s">
        <v>97</v>
      </c>
      <c r="AL503" s="33" t="s">
        <v>97</v>
      </c>
      <c r="AM503" s="5" t="s">
        <v>641</v>
      </c>
      <c r="AN503" s="82" t="s">
        <v>631</v>
      </c>
      <c r="AO503" s="5"/>
      <c r="AP503" s="5"/>
      <c r="AQ503" s="49" t="s">
        <v>589</v>
      </c>
      <c r="AR503" s="20" t="s">
        <v>97</v>
      </c>
      <c r="AS503" s="20" t="s">
        <v>107</v>
      </c>
      <c r="AT503" s="20"/>
      <c r="AU503" s="24">
        <v>0.95</v>
      </c>
      <c r="AV503" s="24">
        <f t="shared" si="97"/>
        <v>0.76</v>
      </c>
      <c r="AW503" s="24">
        <f t="shared" si="98"/>
        <v>0.56999999999999995</v>
      </c>
      <c r="AX503" s="25">
        <v>1E-4</v>
      </c>
      <c r="AY503" s="24">
        <v>0</v>
      </c>
      <c r="AZ503" s="24">
        <f t="shared" si="99"/>
        <v>0.85499999999999998</v>
      </c>
      <c r="BA503" s="24">
        <f t="shared" si="100"/>
        <v>0.68400000000000005</v>
      </c>
      <c r="BB503" s="24">
        <f t="shared" si="101"/>
        <v>0.51300000000000001</v>
      </c>
      <c r="BC503" s="25">
        <v>1E-4</v>
      </c>
      <c r="BD503" s="24">
        <v>0</v>
      </c>
      <c r="BE503" s="26">
        <v>0</v>
      </c>
      <c r="BF503" s="34">
        <f t="shared" si="95"/>
        <v>0</v>
      </c>
      <c r="BG503" s="34">
        <f t="shared" si="96"/>
        <v>0</v>
      </c>
      <c r="BH503" s="26">
        <v>0</v>
      </c>
      <c r="BI503" s="26">
        <v>0</v>
      </c>
      <c r="BJ503" s="20"/>
      <c r="BK503" s="27"/>
      <c r="BL503" s="27" t="s">
        <v>828</v>
      </c>
      <c r="BM503" s="27" t="s">
        <v>5685</v>
      </c>
      <c r="BN503" s="26"/>
      <c r="BO503" s="34"/>
      <c r="BP503" s="34"/>
      <c r="BQ503" s="34"/>
      <c r="BR503" s="34"/>
      <c r="BS503" s="34"/>
      <c r="BT503" s="34"/>
      <c r="BU503" s="34"/>
      <c r="BV503" s="34"/>
      <c r="BW503" s="34"/>
      <c r="BX503" s="34"/>
      <c r="BY503" s="34"/>
      <c r="BZ503" s="34"/>
      <c r="CA503" s="20"/>
      <c r="CB503" s="20"/>
      <c r="CC503" s="29">
        <v>46003</v>
      </c>
      <c r="CD503" s="11" t="s">
        <v>5686</v>
      </c>
    </row>
    <row r="504" spans="1:82" s="18" customFormat="1" ht="66.75" customHeight="1" x14ac:dyDescent="0.25">
      <c r="A504" s="87">
        <v>500</v>
      </c>
      <c r="B504" s="141" t="s">
        <v>5687</v>
      </c>
      <c r="C504" s="6" t="s">
        <v>5688</v>
      </c>
      <c r="D504" s="6" t="s">
        <v>5689</v>
      </c>
      <c r="E504" s="75" t="s">
        <v>113</v>
      </c>
      <c r="F504" s="4" t="s">
        <v>81</v>
      </c>
      <c r="G504" s="5" t="s">
        <v>84</v>
      </c>
      <c r="H504" s="6" t="s">
        <v>114</v>
      </c>
      <c r="I504" s="6" t="s">
        <v>578</v>
      </c>
      <c r="J504" s="6"/>
      <c r="K504" s="6"/>
      <c r="L504" s="6"/>
      <c r="M504" s="6" t="s">
        <v>88</v>
      </c>
      <c r="N504" s="6" t="s">
        <v>89</v>
      </c>
      <c r="O504" s="6" t="s">
        <v>579</v>
      </c>
      <c r="P504" s="6" t="s">
        <v>580</v>
      </c>
      <c r="Q504" s="6"/>
      <c r="R504" s="82" t="s">
        <v>91</v>
      </c>
      <c r="S504" s="5" t="s">
        <v>92</v>
      </c>
      <c r="T504" s="5" t="s">
        <v>93</v>
      </c>
      <c r="U504" s="91">
        <v>100</v>
      </c>
      <c r="V504" s="5" t="s">
        <v>94</v>
      </c>
      <c r="W504" s="5" t="s">
        <v>95</v>
      </c>
      <c r="X504" s="5">
        <v>2025</v>
      </c>
      <c r="Y504" s="5" t="s">
        <v>117</v>
      </c>
      <c r="Z504" s="5" t="s">
        <v>97</v>
      </c>
      <c r="AA504" s="5" t="s">
        <v>98</v>
      </c>
      <c r="AB504" s="6" t="s">
        <v>99</v>
      </c>
      <c r="AC504" s="79" t="s">
        <v>5690</v>
      </c>
      <c r="AD504" s="79" t="s">
        <v>657</v>
      </c>
      <c r="AE504" s="49" t="s">
        <v>627</v>
      </c>
      <c r="AF504" s="49" t="s">
        <v>121</v>
      </c>
      <c r="AG504" s="49" t="s">
        <v>218</v>
      </c>
      <c r="AH504" s="49" t="s">
        <v>123</v>
      </c>
      <c r="AI504" s="6" t="s">
        <v>5691</v>
      </c>
      <c r="AJ504" s="49" t="s">
        <v>812</v>
      </c>
      <c r="AK504" s="33" t="s">
        <v>97</v>
      </c>
      <c r="AL504" s="33" t="s">
        <v>97</v>
      </c>
      <c r="AM504" s="5" t="s">
        <v>641</v>
      </c>
      <c r="AN504" s="82" t="s">
        <v>631</v>
      </c>
      <c r="AO504" s="6"/>
      <c r="AP504" s="6"/>
      <c r="AQ504" s="49" t="s">
        <v>589</v>
      </c>
      <c r="AR504" s="20" t="s">
        <v>97</v>
      </c>
      <c r="AS504" s="20" t="s">
        <v>107</v>
      </c>
      <c r="AT504" s="20"/>
      <c r="AU504" s="24">
        <v>0.95</v>
      </c>
      <c r="AV504" s="24">
        <f t="shared" si="97"/>
        <v>0.76</v>
      </c>
      <c r="AW504" s="24">
        <f t="shared" si="98"/>
        <v>0.56999999999999995</v>
      </c>
      <c r="AX504" s="25">
        <v>1E-4</v>
      </c>
      <c r="AY504" s="24">
        <v>0</v>
      </c>
      <c r="AZ504" s="24">
        <f t="shared" si="99"/>
        <v>0.85499999999999998</v>
      </c>
      <c r="BA504" s="24">
        <f t="shared" si="100"/>
        <v>0.68400000000000005</v>
      </c>
      <c r="BB504" s="24">
        <f t="shared" si="101"/>
        <v>0.51300000000000001</v>
      </c>
      <c r="BC504" s="25">
        <v>1E-4</v>
      </c>
      <c r="BD504" s="24">
        <v>0</v>
      </c>
      <c r="BE504" s="26">
        <v>0</v>
      </c>
      <c r="BF504" s="34">
        <f t="shared" si="95"/>
        <v>0</v>
      </c>
      <c r="BG504" s="34">
        <f t="shared" si="96"/>
        <v>0</v>
      </c>
      <c r="BH504" s="26">
        <v>0</v>
      </c>
      <c r="BI504" s="26">
        <v>0</v>
      </c>
      <c r="BJ504" s="20" t="s">
        <v>496</v>
      </c>
      <c r="BK504" s="27">
        <v>0.71279602179318147</v>
      </c>
      <c r="BL504" s="27" t="s">
        <v>828</v>
      </c>
      <c r="BM504" s="27" t="s">
        <v>5692</v>
      </c>
      <c r="BN504" s="26"/>
      <c r="BO504" s="34"/>
      <c r="BP504" s="34"/>
      <c r="BQ504" s="34"/>
      <c r="BR504" s="34"/>
      <c r="BS504" s="34"/>
      <c r="BT504" s="34"/>
      <c r="BU504" s="34"/>
      <c r="BV504" s="34"/>
      <c r="BW504" s="34"/>
      <c r="BX504" s="34"/>
      <c r="BY504" s="34"/>
      <c r="BZ504" s="34"/>
      <c r="CA504" s="20"/>
      <c r="CB504" s="20"/>
      <c r="CC504" s="29">
        <v>46003</v>
      </c>
      <c r="CD504" s="11" t="s">
        <v>5693</v>
      </c>
    </row>
    <row r="505" spans="1:82" s="18" customFormat="1" ht="66.75" customHeight="1" x14ac:dyDescent="0.25">
      <c r="A505" s="121">
        <v>501</v>
      </c>
      <c r="B505" s="141" t="s">
        <v>5694</v>
      </c>
      <c r="C505" s="6" t="s">
        <v>5695</v>
      </c>
      <c r="D505" s="6" t="s">
        <v>5696</v>
      </c>
      <c r="E505" s="75" t="s">
        <v>113</v>
      </c>
      <c r="F505" s="4" t="s">
        <v>81</v>
      </c>
      <c r="G505" s="5" t="s">
        <v>84</v>
      </c>
      <c r="H505" s="6" t="s">
        <v>114</v>
      </c>
      <c r="I505" s="6" t="s">
        <v>578</v>
      </c>
      <c r="J505" s="6"/>
      <c r="K505" s="6"/>
      <c r="L505" s="6"/>
      <c r="M505" s="6" t="s">
        <v>88</v>
      </c>
      <c r="N505" s="6" t="s">
        <v>89</v>
      </c>
      <c r="O505" s="6" t="s">
        <v>579</v>
      </c>
      <c r="P505" s="6" t="s">
        <v>580</v>
      </c>
      <c r="Q505" s="6"/>
      <c r="R505" s="82" t="s">
        <v>91</v>
      </c>
      <c r="S505" s="5" t="s">
        <v>92</v>
      </c>
      <c r="T505" s="5" t="s">
        <v>93</v>
      </c>
      <c r="U505" s="91">
        <v>100</v>
      </c>
      <c r="V505" s="5" t="s">
        <v>94</v>
      </c>
      <c r="W505" s="5" t="s">
        <v>95</v>
      </c>
      <c r="X505" s="5">
        <v>2025</v>
      </c>
      <c r="Y505" s="5" t="s">
        <v>117</v>
      </c>
      <c r="Z505" s="5" t="s">
        <v>97</v>
      </c>
      <c r="AA505" s="5" t="s">
        <v>98</v>
      </c>
      <c r="AB505" s="6" t="s">
        <v>99</v>
      </c>
      <c r="AC505" s="79" t="s">
        <v>5697</v>
      </c>
      <c r="AD505" s="79" t="s">
        <v>5608</v>
      </c>
      <c r="AE505" s="49" t="s">
        <v>627</v>
      </c>
      <c r="AF505" s="49" t="s">
        <v>121</v>
      </c>
      <c r="AG505" s="49" t="s">
        <v>218</v>
      </c>
      <c r="AH505" s="49" t="s">
        <v>123</v>
      </c>
      <c r="AI505" s="6" t="s">
        <v>5698</v>
      </c>
      <c r="AJ505" s="49" t="s">
        <v>5610</v>
      </c>
      <c r="AK505" s="33" t="s">
        <v>97</v>
      </c>
      <c r="AL505" s="33" t="s">
        <v>97</v>
      </c>
      <c r="AM505" s="5" t="s">
        <v>641</v>
      </c>
      <c r="AN505" s="82" t="s">
        <v>631</v>
      </c>
      <c r="AO505" s="6"/>
      <c r="AP505" s="6"/>
      <c r="AQ505" s="49" t="s">
        <v>589</v>
      </c>
      <c r="AR505" s="20" t="s">
        <v>97</v>
      </c>
      <c r="AS505" s="20" t="s">
        <v>107</v>
      </c>
      <c r="AT505" s="20"/>
      <c r="AU505" s="24">
        <v>0.95</v>
      </c>
      <c r="AV505" s="24">
        <f t="shared" si="97"/>
        <v>0.76</v>
      </c>
      <c r="AW505" s="24">
        <f t="shared" si="98"/>
        <v>0.56999999999999995</v>
      </c>
      <c r="AX505" s="25">
        <v>1E-4</v>
      </c>
      <c r="AY505" s="24">
        <v>0</v>
      </c>
      <c r="AZ505" s="24">
        <f t="shared" si="99"/>
        <v>0.85499999999999998</v>
      </c>
      <c r="BA505" s="24">
        <f t="shared" si="100"/>
        <v>0.68400000000000005</v>
      </c>
      <c r="BB505" s="24">
        <f t="shared" si="101"/>
        <v>0.51300000000000001</v>
      </c>
      <c r="BC505" s="25">
        <v>1E-4</v>
      </c>
      <c r="BD505" s="24">
        <v>0</v>
      </c>
      <c r="BE505" s="26">
        <v>0</v>
      </c>
      <c r="BF505" s="34">
        <f t="shared" si="95"/>
        <v>0</v>
      </c>
      <c r="BG505" s="34">
        <f t="shared" si="96"/>
        <v>0</v>
      </c>
      <c r="BH505" s="26">
        <v>0</v>
      </c>
      <c r="BI505" s="26">
        <v>0</v>
      </c>
      <c r="BJ505" s="20" t="s">
        <v>496</v>
      </c>
      <c r="BK505" s="27">
        <v>0.67335635697381746</v>
      </c>
      <c r="BL505" s="27" t="s">
        <v>926</v>
      </c>
      <c r="BM505" s="27" t="s">
        <v>5699</v>
      </c>
      <c r="BN505" s="26"/>
      <c r="BO505" s="34"/>
      <c r="BP505" s="34"/>
      <c r="BQ505" s="34"/>
      <c r="BR505" s="34"/>
      <c r="BS505" s="34"/>
      <c r="BT505" s="34"/>
      <c r="BU505" s="34"/>
      <c r="BV505" s="34"/>
      <c r="BW505" s="34"/>
      <c r="BX505" s="34"/>
      <c r="BY505" s="34"/>
      <c r="BZ505" s="34"/>
      <c r="CA505" s="20"/>
      <c r="CB505" s="20"/>
      <c r="CC505" s="29">
        <v>46003</v>
      </c>
      <c r="CD505" s="11" t="s">
        <v>5700</v>
      </c>
    </row>
    <row r="506" spans="1:82" s="18" customFormat="1" ht="66.75" customHeight="1" x14ac:dyDescent="0.25">
      <c r="A506" s="87">
        <v>502</v>
      </c>
      <c r="B506" s="141" t="s">
        <v>5701</v>
      </c>
      <c r="C506" s="6" t="s">
        <v>5702</v>
      </c>
      <c r="D506" s="6" t="s">
        <v>5703</v>
      </c>
      <c r="E506" s="75" t="s">
        <v>113</v>
      </c>
      <c r="F506" s="4" t="s">
        <v>81</v>
      </c>
      <c r="G506" s="5" t="s">
        <v>84</v>
      </c>
      <c r="H506" s="6" t="s">
        <v>114</v>
      </c>
      <c r="I506" s="6" t="s">
        <v>578</v>
      </c>
      <c r="J506" s="6"/>
      <c r="K506" s="6"/>
      <c r="L506" s="6"/>
      <c r="M506" s="6" t="s">
        <v>88</v>
      </c>
      <c r="N506" s="6" t="s">
        <v>89</v>
      </c>
      <c r="O506" s="6" t="s">
        <v>579</v>
      </c>
      <c r="P506" s="6" t="s">
        <v>580</v>
      </c>
      <c r="Q506" s="6"/>
      <c r="R506" s="82" t="s">
        <v>91</v>
      </c>
      <c r="S506" s="5" t="s">
        <v>92</v>
      </c>
      <c r="T506" s="5" t="s">
        <v>93</v>
      </c>
      <c r="U506" s="91">
        <v>100</v>
      </c>
      <c r="V506" s="5" t="s">
        <v>94</v>
      </c>
      <c r="W506" s="5" t="s">
        <v>95</v>
      </c>
      <c r="X506" s="5">
        <v>2025</v>
      </c>
      <c r="Y506" s="5" t="s">
        <v>117</v>
      </c>
      <c r="Z506" s="5" t="s">
        <v>97</v>
      </c>
      <c r="AA506" s="5" t="s">
        <v>98</v>
      </c>
      <c r="AB506" s="6" t="s">
        <v>99</v>
      </c>
      <c r="AC506" s="79" t="s">
        <v>5704</v>
      </c>
      <c r="AD506" s="79" t="s">
        <v>5608</v>
      </c>
      <c r="AE506" s="49" t="s">
        <v>627</v>
      </c>
      <c r="AF506" s="49" t="s">
        <v>121</v>
      </c>
      <c r="AG506" s="49" t="s">
        <v>218</v>
      </c>
      <c r="AH506" s="49" t="s">
        <v>123</v>
      </c>
      <c r="AI506" s="6" t="s">
        <v>5698</v>
      </c>
      <c r="AJ506" s="49" t="s">
        <v>5610</v>
      </c>
      <c r="AK506" s="33" t="s">
        <v>97</v>
      </c>
      <c r="AL506" s="33" t="s">
        <v>97</v>
      </c>
      <c r="AM506" s="5" t="s">
        <v>641</v>
      </c>
      <c r="AN506" s="82" t="s">
        <v>631</v>
      </c>
      <c r="AO506" s="6"/>
      <c r="AP506" s="6"/>
      <c r="AQ506" s="49" t="s">
        <v>589</v>
      </c>
      <c r="AR506" s="20" t="s">
        <v>97</v>
      </c>
      <c r="AS506" s="20" t="s">
        <v>107</v>
      </c>
      <c r="AT506" s="20"/>
      <c r="AU506" s="24">
        <v>0.95</v>
      </c>
      <c r="AV506" s="24">
        <f t="shared" si="97"/>
        <v>0.76</v>
      </c>
      <c r="AW506" s="24">
        <f t="shared" si="98"/>
        <v>0.56999999999999995</v>
      </c>
      <c r="AX506" s="25">
        <v>1E-4</v>
      </c>
      <c r="AY506" s="24">
        <v>0</v>
      </c>
      <c r="AZ506" s="24">
        <f t="shared" si="99"/>
        <v>0.85499999999999998</v>
      </c>
      <c r="BA506" s="24">
        <f t="shared" si="100"/>
        <v>0.68400000000000005</v>
      </c>
      <c r="BB506" s="24">
        <f t="shared" si="101"/>
        <v>0.51300000000000001</v>
      </c>
      <c r="BC506" s="25">
        <v>1E-4</v>
      </c>
      <c r="BD506" s="24">
        <v>0</v>
      </c>
      <c r="BE506" s="26">
        <v>0</v>
      </c>
      <c r="BF506" s="34">
        <f t="shared" si="95"/>
        <v>0</v>
      </c>
      <c r="BG506" s="34">
        <f t="shared" si="96"/>
        <v>0</v>
      </c>
      <c r="BH506" s="26">
        <v>0</v>
      </c>
      <c r="BI506" s="26">
        <v>0</v>
      </c>
      <c r="BJ506" s="20" t="s">
        <v>496</v>
      </c>
      <c r="BK506" s="27">
        <v>0.42746963904746482</v>
      </c>
      <c r="BL506" s="27" t="s">
        <v>932</v>
      </c>
      <c r="BM506" s="27" t="s">
        <v>5705</v>
      </c>
      <c r="BN506" s="26"/>
      <c r="BO506" s="34"/>
      <c r="BP506" s="34"/>
      <c r="BQ506" s="34"/>
      <c r="BR506" s="34"/>
      <c r="BS506" s="34"/>
      <c r="BT506" s="34"/>
      <c r="BU506" s="34"/>
      <c r="BV506" s="34"/>
      <c r="BW506" s="34"/>
      <c r="BX506" s="34"/>
      <c r="BY506" s="34"/>
      <c r="BZ506" s="34"/>
      <c r="CA506" s="20"/>
      <c r="CB506" s="20"/>
      <c r="CC506" s="29">
        <v>46003</v>
      </c>
      <c r="CD506" s="11" t="s">
        <v>5678</v>
      </c>
    </row>
    <row r="507" spans="1:82" s="18" customFormat="1" ht="66.75" customHeight="1" x14ac:dyDescent="0.25">
      <c r="A507" s="87">
        <v>503</v>
      </c>
      <c r="B507" s="141" t="s">
        <v>5706</v>
      </c>
      <c r="C507" s="6" t="s">
        <v>5707</v>
      </c>
      <c r="D507" s="6" t="s">
        <v>936</v>
      </c>
      <c r="E507" s="75" t="s">
        <v>113</v>
      </c>
      <c r="F507" s="4" t="s">
        <v>81</v>
      </c>
      <c r="G507" s="5" t="s">
        <v>84</v>
      </c>
      <c r="H507" s="6" t="s">
        <v>114</v>
      </c>
      <c r="I507" s="6" t="s">
        <v>578</v>
      </c>
      <c r="J507" s="6"/>
      <c r="K507" s="6"/>
      <c r="L507" s="6"/>
      <c r="M507" s="6" t="s">
        <v>88</v>
      </c>
      <c r="N507" s="6" t="s">
        <v>89</v>
      </c>
      <c r="O507" s="6" t="s">
        <v>579</v>
      </c>
      <c r="P507" s="6" t="s">
        <v>580</v>
      </c>
      <c r="Q507" s="6"/>
      <c r="R507" s="82" t="s">
        <v>91</v>
      </c>
      <c r="S507" s="5" t="s">
        <v>92</v>
      </c>
      <c r="T507" s="5" t="s">
        <v>93</v>
      </c>
      <c r="U507" s="91">
        <v>100</v>
      </c>
      <c r="V507" s="5" t="s">
        <v>94</v>
      </c>
      <c r="W507" s="5" t="s">
        <v>95</v>
      </c>
      <c r="X507" s="5">
        <v>2025</v>
      </c>
      <c r="Y507" s="5" t="s">
        <v>117</v>
      </c>
      <c r="Z507" s="5" t="s">
        <v>97</v>
      </c>
      <c r="AA507" s="5" t="s">
        <v>98</v>
      </c>
      <c r="AB507" s="6" t="s">
        <v>99</v>
      </c>
      <c r="AC507" s="79" t="s">
        <v>5708</v>
      </c>
      <c r="AD507" s="79" t="s">
        <v>5709</v>
      </c>
      <c r="AE507" s="49" t="s">
        <v>627</v>
      </c>
      <c r="AF507" s="49" t="s">
        <v>121</v>
      </c>
      <c r="AG507" s="49" t="s">
        <v>218</v>
      </c>
      <c r="AH507" s="49" t="s">
        <v>123</v>
      </c>
      <c r="AI507" s="6" t="s">
        <v>5710</v>
      </c>
      <c r="AJ507" s="49" t="s">
        <v>750</v>
      </c>
      <c r="AK507" s="33" t="s">
        <v>97</v>
      </c>
      <c r="AL507" s="33" t="s">
        <v>97</v>
      </c>
      <c r="AM507" s="5" t="s">
        <v>641</v>
      </c>
      <c r="AN507" s="82" t="s">
        <v>631</v>
      </c>
      <c r="AO507" s="6"/>
      <c r="AP507" s="6"/>
      <c r="AQ507" s="49" t="s">
        <v>589</v>
      </c>
      <c r="AR507" s="20" t="s">
        <v>97</v>
      </c>
      <c r="AS507" s="20" t="s">
        <v>107</v>
      </c>
      <c r="AT507" s="20"/>
      <c r="AU507" s="24">
        <v>0.95</v>
      </c>
      <c r="AV507" s="24">
        <f t="shared" ref="AV507:AV538" si="102">+AU507*80%</f>
        <v>0.76</v>
      </c>
      <c r="AW507" s="24">
        <f t="shared" ref="AW507:AW538" si="103">+AU507*60%</f>
        <v>0.56999999999999995</v>
      </c>
      <c r="AX507" s="25">
        <v>1E-4</v>
      </c>
      <c r="AY507" s="24">
        <v>0</v>
      </c>
      <c r="AZ507" s="24">
        <f t="shared" ref="AZ507:AZ522" si="104">+AU507*90%</f>
        <v>0.85499999999999998</v>
      </c>
      <c r="BA507" s="24">
        <f t="shared" ref="BA507:BA538" si="105">AZ507*80%</f>
        <v>0.68400000000000005</v>
      </c>
      <c r="BB507" s="24">
        <f t="shared" ref="BB507:BB538" si="106">AZ507*60%</f>
        <v>0.51300000000000001</v>
      </c>
      <c r="BC507" s="25">
        <v>1E-4</v>
      </c>
      <c r="BD507" s="24">
        <v>0</v>
      </c>
      <c r="BE507" s="26">
        <v>0</v>
      </c>
      <c r="BF507" s="34">
        <f t="shared" si="95"/>
        <v>0</v>
      </c>
      <c r="BG507" s="34">
        <f t="shared" si="96"/>
        <v>0</v>
      </c>
      <c r="BH507" s="26">
        <v>0</v>
      </c>
      <c r="BI507" s="26">
        <v>0</v>
      </c>
      <c r="BJ507" s="20" t="s">
        <v>496</v>
      </c>
      <c r="BK507" s="27">
        <v>0.19012775300739992</v>
      </c>
      <c r="BL507" s="27" t="s">
        <v>939</v>
      </c>
      <c r="BM507" s="27" t="s">
        <v>5711</v>
      </c>
      <c r="BN507" s="26"/>
      <c r="BO507" s="34"/>
      <c r="BP507" s="34"/>
      <c r="BQ507" s="34"/>
      <c r="BR507" s="34"/>
      <c r="BS507" s="34"/>
      <c r="BT507" s="34"/>
      <c r="BU507" s="34"/>
      <c r="BV507" s="34"/>
      <c r="BW507" s="34"/>
      <c r="BX507" s="34"/>
      <c r="BY507" s="34"/>
      <c r="BZ507" s="34"/>
      <c r="CA507" s="20"/>
      <c r="CB507" s="20"/>
      <c r="CC507" s="29">
        <v>46003</v>
      </c>
      <c r="CD507" s="11" t="s">
        <v>5712</v>
      </c>
    </row>
    <row r="508" spans="1:82" s="18" customFormat="1" ht="66.75" customHeight="1" x14ac:dyDescent="0.25">
      <c r="A508" s="121">
        <v>504</v>
      </c>
      <c r="B508" s="141" t="s">
        <v>5713</v>
      </c>
      <c r="C508" s="6" t="s">
        <v>5714</v>
      </c>
      <c r="D508" s="6" t="s">
        <v>943</v>
      </c>
      <c r="E508" s="75" t="s">
        <v>113</v>
      </c>
      <c r="F508" s="4" t="s">
        <v>81</v>
      </c>
      <c r="G508" s="5" t="s">
        <v>84</v>
      </c>
      <c r="H508" s="6" t="s">
        <v>114</v>
      </c>
      <c r="I508" s="6" t="s">
        <v>578</v>
      </c>
      <c r="J508" s="6"/>
      <c r="K508" s="6"/>
      <c r="L508" s="6"/>
      <c r="M508" s="6" t="s">
        <v>88</v>
      </c>
      <c r="N508" s="6" t="s">
        <v>89</v>
      </c>
      <c r="O508" s="6" t="s">
        <v>579</v>
      </c>
      <c r="P508" s="6" t="s">
        <v>580</v>
      </c>
      <c r="Q508" s="6"/>
      <c r="R508" s="82" t="s">
        <v>91</v>
      </c>
      <c r="S508" s="5" t="s">
        <v>92</v>
      </c>
      <c r="T508" s="5" t="s">
        <v>93</v>
      </c>
      <c r="U508" s="91">
        <v>100</v>
      </c>
      <c r="V508" s="5" t="s">
        <v>94</v>
      </c>
      <c r="W508" s="5" t="s">
        <v>95</v>
      </c>
      <c r="X508" s="5">
        <v>2025</v>
      </c>
      <c r="Y508" s="5" t="s">
        <v>117</v>
      </c>
      <c r="Z508" s="5" t="s">
        <v>97</v>
      </c>
      <c r="AA508" s="5" t="s">
        <v>98</v>
      </c>
      <c r="AB508" s="6" t="s">
        <v>99</v>
      </c>
      <c r="AC508" s="79" t="s">
        <v>5715</v>
      </c>
      <c r="AD508" s="79" t="s">
        <v>5709</v>
      </c>
      <c r="AE508" s="49" t="s">
        <v>627</v>
      </c>
      <c r="AF508" s="49" t="s">
        <v>121</v>
      </c>
      <c r="AG508" s="49" t="s">
        <v>218</v>
      </c>
      <c r="AH508" s="49" t="s">
        <v>123</v>
      </c>
      <c r="AI508" s="6" t="s">
        <v>5716</v>
      </c>
      <c r="AJ508" s="6" t="s">
        <v>750</v>
      </c>
      <c r="AK508" s="33" t="s">
        <v>97</v>
      </c>
      <c r="AL508" s="33" t="s">
        <v>97</v>
      </c>
      <c r="AM508" s="5"/>
      <c r="AN508" s="82" t="s">
        <v>631</v>
      </c>
      <c r="AO508" s="6"/>
      <c r="AP508" s="6"/>
      <c r="AQ508" s="49" t="s">
        <v>589</v>
      </c>
      <c r="AR508" s="20" t="s">
        <v>97</v>
      </c>
      <c r="AS508" s="20" t="s">
        <v>107</v>
      </c>
      <c r="AT508" s="20"/>
      <c r="AU508" s="24">
        <v>0.95</v>
      </c>
      <c r="AV508" s="24">
        <f t="shared" si="102"/>
        <v>0.76</v>
      </c>
      <c r="AW508" s="24">
        <f t="shared" si="103"/>
        <v>0.56999999999999995</v>
      </c>
      <c r="AX508" s="25">
        <v>1E-4</v>
      </c>
      <c r="AY508" s="24">
        <v>0</v>
      </c>
      <c r="AZ508" s="24">
        <f t="shared" si="104"/>
        <v>0.85499999999999998</v>
      </c>
      <c r="BA508" s="24">
        <f t="shared" si="105"/>
        <v>0.68400000000000005</v>
      </c>
      <c r="BB508" s="24">
        <f t="shared" si="106"/>
        <v>0.51300000000000001</v>
      </c>
      <c r="BC508" s="25">
        <v>1E-4</v>
      </c>
      <c r="BD508" s="24">
        <v>0</v>
      </c>
      <c r="BE508" s="26">
        <v>0</v>
      </c>
      <c r="BF508" s="34">
        <f t="shared" si="95"/>
        <v>0</v>
      </c>
      <c r="BG508" s="34">
        <f t="shared" si="96"/>
        <v>0</v>
      </c>
      <c r="BH508" s="26">
        <v>0</v>
      </c>
      <c r="BI508" s="26">
        <v>0</v>
      </c>
      <c r="BJ508" s="20" t="s">
        <v>496</v>
      </c>
      <c r="BK508" s="27">
        <v>0.31640489469568667</v>
      </c>
      <c r="BL508" s="27" t="s">
        <v>945</v>
      </c>
      <c r="BM508" s="27" t="s">
        <v>5717</v>
      </c>
      <c r="BN508" s="26"/>
      <c r="BO508" s="34"/>
      <c r="BP508" s="34"/>
      <c r="BQ508" s="34"/>
      <c r="BR508" s="34"/>
      <c r="BS508" s="34"/>
      <c r="BT508" s="34"/>
      <c r="BU508" s="34"/>
      <c r="BV508" s="34"/>
      <c r="BW508" s="34"/>
      <c r="BX508" s="34"/>
      <c r="BY508" s="34"/>
      <c r="BZ508" s="34"/>
      <c r="CA508" s="20"/>
      <c r="CB508" s="20"/>
      <c r="CC508" s="29">
        <v>46003</v>
      </c>
      <c r="CD508" s="30" t="s">
        <v>5718</v>
      </c>
    </row>
    <row r="509" spans="1:82" s="18" customFormat="1" ht="66.75" customHeight="1" x14ac:dyDescent="0.25">
      <c r="A509" s="87">
        <v>505</v>
      </c>
      <c r="B509" s="141" t="s">
        <v>5719</v>
      </c>
      <c r="C509" s="6" t="s">
        <v>5720</v>
      </c>
      <c r="D509" s="6" t="s">
        <v>949</v>
      </c>
      <c r="E509" s="75" t="s">
        <v>113</v>
      </c>
      <c r="F509" s="4" t="s">
        <v>81</v>
      </c>
      <c r="G509" s="5" t="s">
        <v>84</v>
      </c>
      <c r="H509" s="6" t="s">
        <v>114</v>
      </c>
      <c r="I509" s="6" t="s">
        <v>578</v>
      </c>
      <c r="J509" s="6"/>
      <c r="K509" s="6"/>
      <c r="L509" s="6"/>
      <c r="M509" s="6" t="s">
        <v>88</v>
      </c>
      <c r="N509" s="6" t="s">
        <v>89</v>
      </c>
      <c r="O509" s="6" t="s">
        <v>579</v>
      </c>
      <c r="P509" s="6" t="s">
        <v>580</v>
      </c>
      <c r="Q509" s="6"/>
      <c r="R509" s="82" t="s">
        <v>91</v>
      </c>
      <c r="S509" s="5" t="s">
        <v>92</v>
      </c>
      <c r="T509" s="5" t="s">
        <v>93</v>
      </c>
      <c r="U509" s="91">
        <v>100</v>
      </c>
      <c r="V509" s="5" t="s">
        <v>94</v>
      </c>
      <c r="W509" s="5" t="s">
        <v>95</v>
      </c>
      <c r="X509" s="5">
        <v>2025</v>
      </c>
      <c r="Y509" s="5" t="s">
        <v>117</v>
      </c>
      <c r="Z509" s="5" t="s">
        <v>97</v>
      </c>
      <c r="AA509" s="5" t="s">
        <v>98</v>
      </c>
      <c r="AB509" s="6" t="s">
        <v>99</v>
      </c>
      <c r="AC509" s="79" t="s">
        <v>5721</v>
      </c>
      <c r="AD509" s="79" t="s">
        <v>5722</v>
      </c>
      <c r="AE509" s="49" t="s">
        <v>627</v>
      </c>
      <c r="AF509" s="49" t="s">
        <v>121</v>
      </c>
      <c r="AG509" s="49" t="s">
        <v>218</v>
      </c>
      <c r="AH509" s="49" t="s">
        <v>123</v>
      </c>
      <c r="AI509" s="6" t="s">
        <v>5723</v>
      </c>
      <c r="AJ509" s="49" t="s">
        <v>750</v>
      </c>
      <c r="AK509" s="33" t="s">
        <v>97</v>
      </c>
      <c r="AL509" s="33" t="s">
        <v>97</v>
      </c>
      <c r="AM509" s="5" t="s">
        <v>641</v>
      </c>
      <c r="AN509" s="82" t="s">
        <v>631</v>
      </c>
      <c r="AO509" s="6"/>
      <c r="AP509" s="6"/>
      <c r="AQ509" s="49" t="s">
        <v>589</v>
      </c>
      <c r="AR509" s="20" t="s">
        <v>97</v>
      </c>
      <c r="AS509" s="20" t="s">
        <v>107</v>
      </c>
      <c r="AT509" s="20"/>
      <c r="AU509" s="24">
        <v>0.95</v>
      </c>
      <c r="AV509" s="24">
        <f t="shared" si="102"/>
        <v>0.76</v>
      </c>
      <c r="AW509" s="24">
        <f t="shared" si="103"/>
        <v>0.56999999999999995</v>
      </c>
      <c r="AX509" s="25">
        <v>1E-4</v>
      </c>
      <c r="AY509" s="24">
        <v>0</v>
      </c>
      <c r="AZ509" s="24">
        <f t="shared" si="104"/>
        <v>0.85499999999999998</v>
      </c>
      <c r="BA509" s="24">
        <f t="shared" si="105"/>
        <v>0.68400000000000005</v>
      </c>
      <c r="BB509" s="24">
        <f t="shared" si="106"/>
        <v>0.51300000000000001</v>
      </c>
      <c r="BC509" s="25">
        <v>1E-4</v>
      </c>
      <c r="BD509" s="24">
        <v>0</v>
      </c>
      <c r="BE509" s="26">
        <v>0</v>
      </c>
      <c r="BF509" s="34">
        <f t="shared" si="95"/>
        <v>0</v>
      </c>
      <c r="BG509" s="34">
        <f t="shared" si="96"/>
        <v>0</v>
      </c>
      <c r="BH509" s="26">
        <v>0</v>
      </c>
      <c r="BI509" s="26">
        <v>0</v>
      </c>
      <c r="BJ509" s="20" t="s">
        <v>496</v>
      </c>
      <c r="BK509" s="27">
        <v>0.99565287860717944</v>
      </c>
      <c r="BL509" s="27" t="s">
        <v>952</v>
      </c>
      <c r="BM509" s="27" t="s">
        <v>5724</v>
      </c>
      <c r="BN509" s="26"/>
      <c r="BO509" s="34"/>
      <c r="BP509" s="34"/>
      <c r="BQ509" s="34"/>
      <c r="BR509" s="34"/>
      <c r="BS509" s="34"/>
      <c r="BT509" s="34"/>
      <c r="BU509" s="34"/>
      <c r="BV509" s="34"/>
      <c r="BW509" s="34"/>
      <c r="BX509" s="34"/>
      <c r="BY509" s="34"/>
      <c r="BZ509" s="34"/>
      <c r="CA509" s="20"/>
      <c r="CB509" s="20"/>
      <c r="CC509" s="29">
        <v>46003</v>
      </c>
      <c r="CD509" s="11" t="s">
        <v>5725</v>
      </c>
    </row>
    <row r="510" spans="1:82" s="18" customFormat="1" ht="66.75" customHeight="1" x14ac:dyDescent="0.25">
      <c r="A510" s="87">
        <v>506</v>
      </c>
      <c r="B510" s="141" t="s">
        <v>5726</v>
      </c>
      <c r="C510" s="6" t="s">
        <v>5727</v>
      </c>
      <c r="D510" s="6" t="s">
        <v>5728</v>
      </c>
      <c r="E510" s="75" t="s">
        <v>174</v>
      </c>
      <c r="F510" s="49" t="s">
        <v>81</v>
      </c>
      <c r="G510" s="5" t="s">
        <v>84</v>
      </c>
      <c r="H510" s="6" t="s">
        <v>775</v>
      </c>
      <c r="I510" s="6" t="s">
        <v>578</v>
      </c>
      <c r="J510" s="6"/>
      <c r="K510" s="6"/>
      <c r="L510" s="6"/>
      <c r="M510" s="6" t="s">
        <v>88</v>
      </c>
      <c r="N510" s="6" t="s">
        <v>89</v>
      </c>
      <c r="O510" s="6" t="s">
        <v>579</v>
      </c>
      <c r="P510" s="6" t="s">
        <v>580</v>
      </c>
      <c r="Q510" s="6"/>
      <c r="R510" s="82" t="s">
        <v>91</v>
      </c>
      <c r="S510" s="5" t="s">
        <v>92</v>
      </c>
      <c r="T510" s="5" t="s">
        <v>93</v>
      </c>
      <c r="U510" s="91">
        <v>100</v>
      </c>
      <c r="V510" s="5" t="s">
        <v>94</v>
      </c>
      <c r="W510" s="5" t="s">
        <v>95</v>
      </c>
      <c r="X510" s="5">
        <v>2024</v>
      </c>
      <c r="Y510" s="5" t="s">
        <v>117</v>
      </c>
      <c r="Z510" s="5" t="s">
        <v>97</v>
      </c>
      <c r="AA510" s="5" t="s">
        <v>1011</v>
      </c>
      <c r="AB510" s="6" t="s">
        <v>99</v>
      </c>
      <c r="AC510" s="79" t="s">
        <v>5729</v>
      </c>
      <c r="AD510" s="79" t="s">
        <v>5730</v>
      </c>
      <c r="AE510" s="6" t="s">
        <v>1014</v>
      </c>
      <c r="AF510" s="6" t="s">
        <v>121</v>
      </c>
      <c r="AG510" s="49" t="s">
        <v>218</v>
      </c>
      <c r="AH510" s="6" t="s">
        <v>123</v>
      </c>
      <c r="AI510" s="6" t="s">
        <v>5731</v>
      </c>
      <c r="AJ510" s="6" t="s">
        <v>5732</v>
      </c>
      <c r="AK510" s="33" t="s">
        <v>97</v>
      </c>
      <c r="AL510" s="33" t="s">
        <v>97</v>
      </c>
      <c r="AM510" s="5" t="s">
        <v>641</v>
      </c>
      <c r="AN510" s="5" t="s">
        <v>631</v>
      </c>
      <c r="AO510" s="5" t="s">
        <v>5733</v>
      </c>
      <c r="AP510" s="5" t="s">
        <v>5734</v>
      </c>
      <c r="AQ510" s="6" t="s">
        <v>982</v>
      </c>
      <c r="AR510" s="20" t="s">
        <v>97</v>
      </c>
      <c r="AS510" s="20" t="s">
        <v>107</v>
      </c>
      <c r="AT510" s="20"/>
      <c r="AU510" s="24">
        <v>0.4</v>
      </c>
      <c r="AV510" s="24">
        <f t="shared" si="102"/>
        <v>0.32000000000000006</v>
      </c>
      <c r="AW510" s="24">
        <f t="shared" si="103"/>
        <v>0.24</v>
      </c>
      <c r="AX510" s="25">
        <v>1E-4</v>
      </c>
      <c r="AY510" s="24">
        <v>0</v>
      </c>
      <c r="AZ510" s="24">
        <f t="shared" si="104"/>
        <v>0.36000000000000004</v>
      </c>
      <c r="BA510" s="24">
        <f t="shared" si="105"/>
        <v>0.28800000000000003</v>
      </c>
      <c r="BB510" s="24">
        <f t="shared" si="106"/>
        <v>0.21600000000000003</v>
      </c>
      <c r="BC510" s="25">
        <v>1E-4</v>
      </c>
      <c r="BD510" s="24">
        <v>0</v>
      </c>
      <c r="BE510" s="34">
        <v>5</v>
      </c>
      <c r="BF510" s="34">
        <f t="shared" si="95"/>
        <v>4</v>
      </c>
      <c r="BG510" s="34">
        <f t="shared" si="96"/>
        <v>3</v>
      </c>
      <c r="BH510" s="26">
        <v>1</v>
      </c>
      <c r="BI510" s="26">
        <v>0</v>
      </c>
      <c r="BJ510" s="20"/>
      <c r="BK510" s="27"/>
      <c r="BL510" s="27" t="s">
        <v>5735</v>
      </c>
      <c r="BM510" s="27" t="s">
        <v>5736</v>
      </c>
      <c r="BN510" s="26"/>
      <c r="BO510" s="34"/>
      <c r="BP510" s="34"/>
      <c r="BQ510" s="34"/>
      <c r="BR510" s="34"/>
      <c r="BS510" s="34"/>
      <c r="BT510" s="34"/>
      <c r="BU510" s="34"/>
      <c r="BV510" s="34"/>
      <c r="BW510" s="34"/>
      <c r="BX510" s="34"/>
      <c r="BY510" s="34"/>
      <c r="BZ510" s="34"/>
      <c r="CA510" s="20"/>
      <c r="CB510" s="20"/>
      <c r="CC510" s="29">
        <v>46003</v>
      </c>
      <c r="CD510" s="11" t="s">
        <v>5737</v>
      </c>
    </row>
    <row r="511" spans="1:82" s="18" customFormat="1" ht="66.75" customHeight="1" x14ac:dyDescent="0.25">
      <c r="A511" s="121">
        <v>507</v>
      </c>
      <c r="B511" s="141" t="s">
        <v>5738</v>
      </c>
      <c r="C511" s="6" t="s">
        <v>5739</v>
      </c>
      <c r="D511" s="6" t="s">
        <v>5740</v>
      </c>
      <c r="E511" s="75" t="s">
        <v>113</v>
      </c>
      <c r="F511" s="4" t="s">
        <v>81</v>
      </c>
      <c r="G511" s="5" t="s">
        <v>84</v>
      </c>
      <c r="H511" s="6" t="s">
        <v>775</v>
      </c>
      <c r="I511" s="6" t="s">
        <v>578</v>
      </c>
      <c r="J511" s="6"/>
      <c r="K511" s="6"/>
      <c r="L511" s="6"/>
      <c r="M511" s="6" t="s">
        <v>88</v>
      </c>
      <c r="N511" s="6" t="s">
        <v>89</v>
      </c>
      <c r="O511" s="6" t="s">
        <v>579</v>
      </c>
      <c r="P511" s="6" t="s">
        <v>580</v>
      </c>
      <c r="Q511" s="6"/>
      <c r="R511" s="82" t="s">
        <v>91</v>
      </c>
      <c r="S511" s="5" t="s">
        <v>92</v>
      </c>
      <c r="T511" s="5" t="s">
        <v>93</v>
      </c>
      <c r="U511" s="91">
        <v>100</v>
      </c>
      <c r="V511" s="5" t="s">
        <v>94</v>
      </c>
      <c r="W511" s="5" t="s">
        <v>95</v>
      </c>
      <c r="X511" s="5">
        <v>2025</v>
      </c>
      <c r="Y511" s="5" t="s">
        <v>117</v>
      </c>
      <c r="Z511" s="5" t="s">
        <v>97</v>
      </c>
      <c r="AA511" s="5" t="s">
        <v>98</v>
      </c>
      <c r="AB511" s="6" t="s">
        <v>99</v>
      </c>
      <c r="AC511" s="79" t="s">
        <v>1233</v>
      </c>
      <c r="AD511" s="79" t="s">
        <v>5741</v>
      </c>
      <c r="AE511" s="49" t="s">
        <v>1066</v>
      </c>
      <c r="AF511" s="49" t="s">
        <v>121</v>
      </c>
      <c r="AG511" s="49" t="s">
        <v>218</v>
      </c>
      <c r="AH511" s="49" t="s">
        <v>123</v>
      </c>
      <c r="AI511" s="6" t="s">
        <v>5742</v>
      </c>
      <c r="AJ511" s="49" t="s">
        <v>5743</v>
      </c>
      <c r="AK511" s="33" t="s">
        <v>97</v>
      </c>
      <c r="AL511" s="33" t="s">
        <v>97</v>
      </c>
      <c r="AM511" s="5" t="s">
        <v>1110</v>
      </c>
      <c r="AN511" s="5" t="s">
        <v>470</v>
      </c>
      <c r="AO511" s="5"/>
      <c r="AP511" s="5"/>
      <c r="AQ511" s="6" t="s">
        <v>982</v>
      </c>
      <c r="AR511" s="20" t="s">
        <v>97</v>
      </c>
      <c r="AS511" s="20" t="s">
        <v>107</v>
      </c>
      <c r="AT511" s="20"/>
      <c r="AU511" s="24">
        <v>0.85</v>
      </c>
      <c r="AV511" s="24">
        <f t="shared" si="102"/>
        <v>0.68</v>
      </c>
      <c r="AW511" s="24">
        <f t="shared" si="103"/>
        <v>0.51</v>
      </c>
      <c r="AX511" s="25">
        <v>1E-4</v>
      </c>
      <c r="AY511" s="24">
        <v>0</v>
      </c>
      <c r="AZ511" s="24">
        <f t="shared" si="104"/>
        <v>0.76500000000000001</v>
      </c>
      <c r="BA511" s="24">
        <f t="shared" si="105"/>
        <v>0.6120000000000001</v>
      </c>
      <c r="BB511" s="24">
        <f t="shared" si="106"/>
        <v>0.45899999999999996</v>
      </c>
      <c r="BC511" s="25">
        <v>1E-4</v>
      </c>
      <c r="BD511" s="24">
        <v>0</v>
      </c>
      <c r="BE511" s="26">
        <v>0</v>
      </c>
      <c r="BF511" s="34">
        <f t="shared" si="95"/>
        <v>0</v>
      </c>
      <c r="BG511" s="34">
        <f t="shared" si="96"/>
        <v>0</v>
      </c>
      <c r="BH511" s="26">
        <v>0</v>
      </c>
      <c r="BI511" s="26">
        <v>0</v>
      </c>
      <c r="BJ511" s="20" t="s">
        <v>496</v>
      </c>
      <c r="BK511" s="27">
        <v>0.81530954542258249</v>
      </c>
      <c r="BL511" s="27" t="s">
        <v>1237</v>
      </c>
      <c r="BM511" s="27" t="s">
        <v>5744</v>
      </c>
      <c r="BN511" s="26"/>
      <c r="BO511" s="34"/>
      <c r="BP511" s="34"/>
      <c r="BQ511" s="34"/>
      <c r="BR511" s="34"/>
      <c r="BS511" s="34"/>
      <c r="BT511" s="34"/>
      <c r="BU511" s="34"/>
      <c r="BV511" s="34"/>
      <c r="BW511" s="34"/>
      <c r="BX511" s="34"/>
      <c r="BY511" s="34"/>
      <c r="BZ511" s="34"/>
      <c r="CA511" s="20"/>
      <c r="CB511" s="20"/>
      <c r="CC511" s="29">
        <v>46003</v>
      </c>
      <c r="CD511" s="11" t="s">
        <v>5745</v>
      </c>
    </row>
    <row r="512" spans="1:82" s="18" customFormat="1" ht="66.75" customHeight="1" x14ac:dyDescent="0.25">
      <c r="A512" s="87">
        <v>508</v>
      </c>
      <c r="B512" s="141" t="s">
        <v>5746</v>
      </c>
      <c r="C512" s="6" t="s">
        <v>5747</v>
      </c>
      <c r="D512" s="6" t="s">
        <v>5748</v>
      </c>
      <c r="E512" s="75" t="s">
        <v>113</v>
      </c>
      <c r="F512" s="4" t="s">
        <v>81</v>
      </c>
      <c r="G512" s="5" t="s">
        <v>84</v>
      </c>
      <c r="H512" s="6" t="s">
        <v>775</v>
      </c>
      <c r="I512" s="6" t="s">
        <v>578</v>
      </c>
      <c r="J512" s="6"/>
      <c r="K512" s="6"/>
      <c r="L512" s="6"/>
      <c r="M512" s="6" t="s">
        <v>88</v>
      </c>
      <c r="N512" s="6" t="s">
        <v>89</v>
      </c>
      <c r="O512" s="6" t="s">
        <v>579</v>
      </c>
      <c r="P512" s="6" t="s">
        <v>580</v>
      </c>
      <c r="Q512" s="6"/>
      <c r="R512" s="82" t="s">
        <v>91</v>
      </c>
      <c r="S512" s="5" t="s">
        <v>92</v>
      </c>
      <c r="T512" s="5" t="s">
        <v>93</v>
      </c>
      <c r="U512" s="91">
        <v>100</v>
      </c>
      <c r="V512" s="5" t="s">
        <v>94</v>
      </c>
      <c r="W512" s="5" t="s">
        <v>95</v>
      </c>
      <c r="X512" s="5">
        <v>2022</v>
      </c>
      <c r="Y512" s="5" t="s">
        <v>117</v>
      </c>
      <c r="Z512" s="5" t="s">
        <v>97</v>
      </c>
      <c r="AA512" s="5" t="s">
        <v>98</v>
      </c>
      <c r="AB512" s="6" t="s">
        <v>99</v>
      </c>
      <c r="AC512" s="79" t="s">
        <v>1217</v>
      </c>
      <c r="AD512" s="79" t="s">
        <v>5749</v>
      </c>
      <c r="AE512" s="49" t="s">
        <v>1066</v>
      </c>
      <c r="AF512" s="49" t="s">
        <v>121</v>
      </c>
      <c r="AG512" s="49" t="s">
        <v>218</v>
      </c>
      <c r="AH512" s="49" t="s">
        <v>123</v>
      </c>
      <c r="AI512" s="6" t="s">
        <v>1219</v>
      </c>
      <c r="AJ512" s="49" t="s">
        <v>5750</v>
      </c>
      <c r="AK512" s="33" t="s">
        <v>97</v>
      </c>
      <c r="AL512" s="33" t="s">
        <v>97</v>
      </c>
      <c r="AM512" s="5" t="s">
        <v>1110</v>
      </c>
      <c r="AN512" s="5"/>
      <c r="AO512" s="5"/>
      <c r="AP512" s="5"/>
      <c r="AQ512" s="6" t="s">
        <v>982</v>
      </c>
      <c r="AR512" s="20" t="s">
        <v>97</v>
      </c>
      <c r="AS512" s="20" t="s">
        <v>107</v>
      </c>
      <c r="AT512" s="20"/>
      <c r="AU512" s="24">
        <v>0.8</v>
      </c>
      <c r="AV512" s="24">
        <f t="shared" si="102"/>
        <v>0.64000000000000012</v>
      </c>
      <c r="AW512" s="24">
        <f t="shared" si="103"/>
        <v>0.48</v>
      </c>
      <c r="AX512" s="25">
        <v>1E-4</v>
      </c>
      <c r="AY512" s="24">
        <v>0</v>
      </c>
      <c r="AZ512" s="24">
        <f t="shared" si="104"/>
        <v>0.72000000000000008</v>
      </c>
      <c r="BA512" s="24">
        <f t="shared" si="105"/>
        <v>0.57600000000000007</v>
      </c>
      <c r="BB512" s="24">
        <f t="shared" si="106"/>
        <v>0.43200000000000005</v>
      </c>
      <c r="BC512" s="25">
        <v>1E-4</v>
      </c>
      <c r="BD512" s="24">
        <v>0</v>
      </c>
      <c r="BE512" s="26">
        <v>0</v>
      </c>
      <c r="BF512" s="34">
        <f t="shared" si="95"/>
        <v>0</v>
      </c>
      <c r="BG512" s="34">
        <f t="shared" si="96"/>
        <v>0</v>
      </c>
      <c r="BH512" s="26">
        <v>0</v>
      </c>
      <c r="BI512" s="26">
        <v>0</v>
      </c>
      <c r="BJ512" s="20" t="s">
        <v>496</v>
      </c>
      <c r="BK512" s="27">
        <v>0.39848519713800135</v>
      </c>
      <c r="BL512" s="27" t="s">
        <v>5751</v>
      </c>
      <c r="BM512" s="27" t="s">
        <v>5752</v>
      </c>
      <c r="BN512" s="26"/>
      <c r="BO512" s="34"/>
      <c r="BP512" s="34"/>
      <c r="BQ512" s="34"/>
      <c r="BR512" s="34"/>
      <c r="BS512" s="34"/>
      <c r="BT512" s="34"/>
      <c r="BU512" s="34"/>
      <c r="BV512" s="34"/>
      <c r="BW512" s="34"/>
      <c r="BX512" s="34"/>
      <c r="BY512" s="34"/>
      <c r="BZ512" s="34"/>
      <c r="CA512" s="20"/>
      <c r="CB512" s="20"/>
      <c r="CC512" s="29">
        <v>46003</v>
      </c>
      <c r="CD512" s="11" t="s">
        <v>5753</v>
      </c>
    </row>
    <row r="513" spans="1:82" s="18" customFormat="1" ht="66.75" customHeight="1" x14ac:dyDescent="0.25">
      <c r="A513" s="87">
        <v>509</v>
      </c>
      <c r="B513" s="141" t="s">
        <v>5754</v>
      </c>
      <c r="C513" s="6" t="s">
        <v>5755</v>
      </c>
      <c r="D513" s="6" t="s">
        <v>5756</v>
      </c>
      <c r="E513" s="75" t="s">
        <v>113</v>
      </c>
      <c r="F513" s="4" t="s">
        <v>81</v>
      </c>
      <c r="G513" s="5" t="s">
        <v>84</v>
      </c>
      <c r="H513" s="6" t="s">
        <v>775</v>
      </c>
      <c r="I513" s="6" t="s">
        <v>578</v>
      </c>
      <c r="J513" s="6"/>
      <c r="K513" s="6"/>
      <c r="L513" s="6"/>
      <c r="M513" s="6" t="s">
        <v>88</v>
      </c>
      <c r="N513" s="6" t="s">
        <v>89</v>
      </c>
      <c r="O513" s="6" t="s">
        <v>579</v>
      </c>
      <c r="P513" s="6" t="s">
        <v>580</v>
      </c>
      <c r="Q513" s="6"/>
      <c r="R513" s="82" t="s">
        <v>175</v>
      </c>
      <c r="S513" s="5" t="s">
        <v>92</v>
      </c>
      <c r="T513" s="5" t="s">
        <v>93</v>
      </c>
      <c r="U513" s="91">
        <v>100</v>
      </c>
      <c r="V513" s="5" t="s">
        <v>94</v>
      </c>
      <c r="W513" s="5" t="s">
        <v>95</v>
      </c>
      <c r="X513" s="5">
        <v>2024</v>
      </c>
      <c r="Y513" s="5" t="s">
        <v>117</v>
      </c>
      <c r="Z513" s="5" t="s">
        <v>97</v>
      </c>
      <c r="AA513" s="5" t="s">
        <v>98</v>
      </c>
      <c r="AB513" s="6" t="s">
        <v>99</v>
      </c>
      <c r="AC513" s="79" t="s">
        <v>5757</v>
      </c>
      <c r="AD513" s="79" t="s">
        <v>5758</v>
      </c>
      <c r="AE513" s="49" t="s">
        <v>1066</v>
      </c>
      <c r="AF513" s="49" t="s">
        <v>121</v>
      </c>
      <c r="AG513" s="49" t="s">
        <v>218</v>
      </c>
      <c r="AH513" s="49" t="s">
        <v>123</v>
      </c>
      <c r="AI513" s="49" t="s">
        <v>5759</v>
      </c>
      <c r="AJ513" s="49" t="s">
        <v>5760</v>
      </c>
      <c r="AK513" s="33" t="s">
        <v>97</v>
      </c>
      <c r="AL513" s="33" t="s">
        <v>97</v>
      </c>
      <c r="AM513" s="6" t="s">
        <v>5761</v>
      </c>
      <c r="AN513" s="6" t="s">
        <v>631</v>
      </c>
      <c r="AO513" s="6"/>
      <c r="AP513" s="6"/>
      <c r="AQ513" s="6" t="s">
        <v>982</v>
      </c>
      <c r="AR513" s="20" t="s">
        <v>97</v>
      </c>
      <c r="AS513" s="20" t="s">
        <v>107</v>
      </c>
      <c r="AT513" s="20"/>
      <c r="AU513" s="24">
        <v>0.4</v>
      </c>
      <c r="AV513" s="24">
        <f t="shared" si="102"/>
        <v>0.32000000000000006</v>
      </c>
      <c r="AW513" s="24">
        <f t="shared" si="103"/>
        <v>0.24</v>
      </c>
      <c r="AX513" s="25">
        <v>1E-4</v>
      </c>
      <c r="AY513" s="24">
        <v>0</v>
      </c>
      <c r="AZ513" s="24">
        <f t="shared" si="104"/>
        <v>0.36000000000000004</v>
      </c>
      <c r="BA513" s="24">
        <f t="shared" si="105"/>
        <v>0.28800000000000003</v>
      </c>
      <c r="BB513" s="24">
        <f t="shared" si="106"/>
        <v>0.21600000000000003</v>
      </c>
      <c r="BC513" s="25">
        <v>1E-4</v>
      </c>
      <c r="BD513" s="24">
        <v>0</v>
      </c>
      <c r="BE513" s="26">
        <v>0</v>
      </c>
      <c r="BF513" s="34">
        <f t="shared" si="95"/>
        <v>0</v>
      </c>
      <c r="BG513" s="34">
        <f t="shared" si="96"/>
        <v>0</v>
      </c>
      <c r="BH513" s="26">
        <v>0</v>
      </c>
      <c r="BI513" s="26">
        <v>0</v>
      </c>
      <c r="BJ513" s="20" t="s">
        <v>496</v>
      </c>
      <c r="BK513" s="27" t="s">
        <v>496</v>
      </c>
      <c r="BL513" s="27" t="s">
        <v>5762</v>
      </c>
      <c r="BM513" s="27" t="s">
        <v>5763</v>
      </c>
      <c r="BN513" s="26"/>
      <c r="BO513" s="34"/>
      <c r="BP513" s="34"/>
      <c r="BQ513" s="34"/>
      <c r="BR513" s="34"/>
      <c r="BS513" s="34"/>
      <c r="BT513" s="34"/>
      <c r="BU513" s="34"/>
      <c r="BV513" s="34"/>
      <c r="BW513" s="34"/>
      <c r="BX513" s="34"/>
      <c r="BY513" s="34"/>
      <c r="BZ513" s="34"/>
      <c r="CA513" s="20"/>
      <c r="CB513" s="20"/>
      <c r="CC513" s="29">
        <v>46003</v>
      </c>
      <c r="CD513" s="36" t="s">
        <v>5764</v>
      </c>
    </row>
    <row r="514" spans="1:82" s="18" customFormat="1" ht="66.75" customHeight="1" x14ac:dyDescent="0.25">
      <c r="A514" s="121">
        <v>510</v>
      </c>
      <c r="B514" s="141" t="s">
        <v>5765</v>
      </c>
      <c r="C514" s="6" t="s">
        <v>5766</v>
      </c>
      <c r="D514" s="6" t="s">
        <v>5767</v>
      </c>
      <c r="E514" s="75" t="s">
        <v>113</v>
      </c>
      <c r="F514" s="4" t="s">
        <v>81</v>
      </c>
      <c r="G514" s="5" t="s">
        <v>84</v>
      </c>
      <c r="H514" s="6" t="s">
        <v>775</v>
      </c>
      <c r="I514" s="6" t="s">
        <v>578</v>
      </c>
      <c r="J514" s="6"/>
      <c r="K514" s="6"/>
      <c r="L514" s="6"/>
      <c r="M514" s="6" t="s">
        <v>88</v>
      </c>
      <c r="N514" s="6" t="s">
        <v>89</v>
      </c>
      <c r="O514" s="6" t="s">
        <v>579</v>
      </c>
      <c r="P514" s="6" t="s">
        <v>580</v>
      </c>
      <c r="Q514" s="6"/>
      <c r="R514" s="82" t="s">
        <v>91</v>
      </c>
      <c r="S514" s="5" t="s">
        <v>92</v>
      </c>
      <c r="T514" s="5" t="s">
        <v>93</v>
      </c>
      <c r="U514" s="91">
        <v>100</v>
      </c>
      <c r="V514" s="5" t="s">
        <v>94</v>
      </c>
      <c r="W514" s="5" t="s">
        <v>95</v>
      </c>
      <c r="X514" s="5">
        <v>2024</v>
      </c>
      <c r="Y514" s="5" t="s">
        <v>117</v>
      </c>
      <c r="Z514" s="5" t="s">
        <v>97</v>
      </c>
      <c r="AA514" s="5" t="s">
        <v>98</v>
      </c>
      <c r="AB514" s="6" t="s">
        <v>99</v>
      </c>
      <c r="AC514" s="79" t="s">
        <v>5768</v>
      </c>
      <c r="AD514" s="79" t="s">
        <v>1065</v>
      </c>
      <c r="AE514" s="49" t="s">
        <v>1066</v>
      </c>
      <c r="AF514" s="49" t="s">
        <v>1041</v>
      </c>
      <c r="AG514" s="49" t="s">
        <v>5769</v>
      </c>
      <c r="AH514" s="49" t="s">
        <v>123</v>
      </c>
      <c r="AI514" s="6" t="s">
        <v>5770</v>
      </c>
      <c r="AJ514" s="49" t="s">
        <v>5771</v>
      </c>
      <c r="AK514" s="33" t="s">
        <v>97</v>
      </c>
      <c r="AL514" s="33" t="s">
        <v>97</v>
      </c>
      <c r="AM514" s="5" t="s">
        <v>5772</v>
      </c>
      <c r="AN514" s="6" t="s">
        <v>631</v>
      </c>
      <c r="AO514" s="6"/>
      <c r="AP514" s="6"/>
      <c r="AQ514" s="6" t="s">
        <v>982</v>
      </c>
      <c r="AR514" s="20" t="s">
        <v>97</v>
      </c>
      <c r="AS514" s="20" t="s">
        <v>107</v>
      </c>
      <c r="AT514" s="20"/>
      <c r="AU514" s="24">
        <v>0.4</v>
      </c>
      <c r="AV514" s="24">
        <f t="shared" si="102"/>
        <v>0.32000000000000006</v>
      </c>
      <c r="AW514" s="24">
        <f t="shared" si="103"/>
        <v>0.24</v>
      </c>
      <c r="AX514" s="25">
        <v>1E-4</v>
      </c>
      <c r="AY514" s="24">
        <v>0</v>
      </c>
      <c r="AZ514" s="24">
        <f t="shared" si="104"/>
        <v>0.36000000000000004</v>
      </c>
      <c r="BA514" s="24">
        <f t="shared" si="105"/>
        <v>0.28800000000000003</v>
      </c>
      <c r="BB514" s="24">
        <f t="shared" si="106"/>
        <v>0.21600000000000003</v>
      </c>
      <c r="BC514" s="25">
        <v>1E-4</v>
      </c>
      <c r="BD514" s="24">
        <v>0</v>
      </c>
      <c r="BE514" s="26">
        <v>0</v>
      </c>
      <c r="BF514" s="34">
        <f t="shared" si="95"/>
        <v>0</v>
      </c>
      <c r="BG514" s="34">
        <f t="shared" si="96"/>
        <v>0</v>
      </c>
      <c r="BH514" s="26">
        <v>0</v>
      </c>
      <c r="BI514" s="26">
        <v>0</v>
      </c>
      <c r="BJ514" s="20" t="s">
        <v>496</v>
      </c>
      <c r="BK514" s="27" t="s">
        <v>496</v>
      </c>
      <c r="BL514" s="27" t="s">
        <v>5773</v>
      </c>
      <c r="BM514" s="27" t="s">
        <v>5774</v>
      </c>
      <c r="BN514" s="26"/>
      <c r="BO514" s="34"/>
      <c r="BP514" s="34"/>
      <c r="BQ514" s="34"/>
      <c r="BR514" s="34"/>
      <c r="BS514" s="34"/>
      <c r="BT514" s="34"/>
      <c r="BU514" s="34"/>
      <c r="BV514" s="34"/>
      <c r="BW514" s="34"/>
      <c r="BX514" s="34"/>
      <c r="BY514" s="34"/>
      <c r="BZ514" s="34"/>
      <c r="CA514" s="20"/>
      <c r="CB514" s="20"/>
      <c r="CC514" s="29">
        <v>46003</v>
      </c>
      <c r="CD514" s="11" t="s">
        <v>5775</v>
      </c>
    </row>
    <row r="515" spans="1:82" s="18" customFormat="1" ht="66.75" customHeight="1" x14ac:dyDescent="0.25">
      <c r="A515" s="87">
        <v>511</v>
      </c>
      <c r="B515" s="141" t="s">
        <v>5776</v>
      </c>
      <c r="C515" s="6" t="s">
        <v>5777</v>
      </c>
      <c r="D515" s="6" t="s">
        <v>5778</v>
      </c>
      <c r="E515" s="75" t="s">
        <v>113</v>
      </c>
      <c r="F515" s="4" t="s">
        <v>81</v>
      </c>
      <c r="G515" s="5" t="s">
        <v>84</v>
      </c>
      <c r="H515" s="6" t="s">
        <v>775</v>
      </c>
      <c r="I515" s="6" t="s">
        <v>578</v>
      </c>
      <c r="J515" s="6"/>
      <c r="K515" s="6"/>
      <c r="L515" s="6"/>
      <c r="M515" s="6" t="s">
        <v>88</v>
      </c>
      <c r="N515" s="6" t="s">
        <v>89</v>
      </c>
      <c r="O515" s="6" t="s">
        <v>579</v>
      </c>
      <c r="P515" s="6" t="s">
        <v>580</v>
      </c>
      <c r="Q515" s="6"/>
      <c r="R515" s="82" t="s">
        <v>91</v>
      </c>
      <c r="S515" s="5" t="s">
        <v>92</v>
      </c>
      <c r="T515" s="5" t="s">
        <v>93</v>
      </c>
      <c r="U515" s="91">
        <v>100</v>
      </c>
      <c r="V515" s="5" t="s">
        <v>94</v>
      </c>
      <c r="W515" s="5" t="s">
        <v>95</v>
      </c>
      <c r="X515" s="5">
        <v>2024</v>
      </c>
      <c r="Y515" s="5" t="s">
        <v>117</v>
      </c>
      <c r="Z515" s="5" t="s">
        <v>97</v>
      </c>
      <c r="AA515" s="5" t="s">
        <v>98</v>
      </c>
      <c r="AB515" s="6" t="s">
        <v>99</v>
      </c>
      <c r="AC515" s="79" t="s">
        <v>5779</v>
      </c>
      <c r="AD515" s="79" t="s">
        <v>5780</v>
      </c>
      <c r="AE515" s="49" t="s">
        <v>1066</v>
      </c>
      <c r="AF515" s="49" t="s">
        <v>121</v>
      </c>
      <c r="AG515" s="49" t="s">
        <v>5769</v>
      </c>
      <c r="AH515" s="49" t="s">
        <v>123</v>
      </c>
      <c r="AI515" s="6" t="s">
        <v>5770</v>
      </c>
      <c r="AJ515" s="49" t="s">
        <v>5781</v>
      </c>
      <c r="AK515" s="33" t="s">
        <v>97</v>
      </c>
      <c r="AL515" s="33" t="s">
        <v>97</v>
      </c>
      <c r="AM515" s="5" t="s">
        <v>5772</v>
      </c>
      <c r="AN515" s="6" t="s">
        <v>631</v>
      </c>
      <c r="AO515" s="6"/>
      <c r="AP515" s="6"/>
      <c r="AQ515" s="6" t="s">
        <v>982</v>
      </c>
      <c r="AR515" s="20" t="s">
        <v>97</v>
      </c>
      <c r="AS515" s="20" t="s">
        <v>107</v>
      </c>
      <c r="AT515" s="20"/>
      <c r="AU515" s="24">
        <v>0.4</v>
      </c>
      <c r="AV515" s="24">
        <f t="shared" si="102"/>
        <v>0.32000000000000006</v>
      </c>
      <c r="AW515" s="24">
        <f t="shared" si="103"/>
        <v>0.24</v>
      </c>
      <c r="AX515" s="25">
        <v>1E-4</v>
      </c>
      <c r="AY515" s="24">
        <v>0</v>
      </c>
      <c r="AZ515" s="24">
        <f t="shared" si="104"/>
        <v>0.36000000000000004</v>
      </c>
      <c r="BA515" s="24">
        <f t="shared" si="105"/>
        <v>0.28800000000000003</v>
      </c>
      <c r="BB515" s="24">
        <f t="shared" si="106"/>
        <v>0.21600000000000003</v>
      </c>
      <c r="BC515" s="25">
        <v>1E-4</v>
      </c>
      <c r="BD515" s="24">
        <v>0</v>
      </c>
      <c r="BE515" s="26">
        <v>0</v>
      </c>
      <c r="BF515" s="34">
        <f t="shared" si="95"/>
        <v>0</v>
      </c>
      <c r="BG515" s="34">
        <f t="shared" si="96"/>
        <v>0</v>
      </c>
      <c r="BH515" s="26">
        <v>0</v>
      </c>
      <c r="BI515" s="26">
        <v>0</v>
      </c>
      <c r="BJ515" s="20" t="s">
        <v>496</v>
      </c>
      <c r="BK515" s="27" t="s">
        <v>496</v>
      </c>
      <c r="BL515" s="27" t="s">
        <v>5782</v>
      </c>
      <c r="BM515" s="27" t="s">
        <v>2974</v>
      </c>
      <c r="BN515" s="26"/>
      <c r="BO515" s="34"/>
      <c r="BP515" s="34"/>
      <c r="BQ515" s="34"/>
      <c r="BR515" s="34"/>
      <c r="BS515" s="34"/>
      <c r="BT515" s="34"/>
      <c r="BU515" s="34"/>
      <c r="BV515" s="34"/>
      <c r="BW515" s="34"/>
      <c r="BX515" s="34"/>
      <c r="BY515" s="34"/>
      <c r="BZ515" s="34"/>
      <c r="CA515" s="20"/>
      <c r="CB515" s="20"/>
      <c r="CC515" s="29">
        <v>46003</v>
      </c>
      <c r="CD515" s="11" t="s">
        <v>5783</v>
      </c>
    </row>
    <row r="516" spans="1:82" s="18" customFormat="1" ht="66.75" customHeight="1" x14ac:dyDescent="0.25">
      <c r="A516" s="87">
        <v>512</v>
      </c>
      <c r="B516" s="141" t="s">
        <v>5784</v>
      </c>
      <c r="C516" s="6" t="s">
        <v>5785</v>
      </c>
      <c r="D516" s="6" t="s">
        <v>5786</v>
      </c>
      <c r="E516" s="75" t="s">
        <v>113</v>
      </c>
      <c r="F516" s="4" t="s">
        <v>81</v>
      </c>
      <c r="G516" s="5" t="s">
        <v>84</v>
      </c>
      <c r="H516" s="6" t="s">
        <v>775</v>
      </c>
      <c r="I516" s="6" t="s">
        <v>578</v>
      </c>
      <c r="J516" s="6"/>
      <c r="K516" s="6"/>
      <c r="L516" s="6"/>
      <c r="M516" s="6" t="s">
        <v>88</v>
      </c>
      <c r="N516" s="6" t="s">
        <v>89</v>
      </c>
      <c r="O516" s="6" t="s">
        <v>579</v>
      </c>
      <c r="P516" s="6" t="s">
        <v>580</v>
      </c>
      <c r="Q516" s="6"/>
      <c r="R516" s="82" t="s">
        <v>175</v>
      </c>
      <c r="S516" s="5" t="s">
        <v>92</v>
      </c>
      <c r="T516" s="5" t="s">
        <v>93</v>
      </c>
      <c r="U516" s="91">
        <v>100</v>
      </c>
      <c r="V516" s="5" t="s">
        <v>94</v>
      </c>
      <c r="W516" s="5" t="s">
        <v>95</v>
      </c>
      <c r="X516" s="5">
        <v>2024</v>
      </c>
      <c r="Y516" s="5" t="s">
        <v>117</v>
      </c>
      <c r="Z516" s="5" t="s">
        <v>97</v>
      </c>
      <c r="AA516" s="5" t="s">
        <v>98</v>
      </c>
      <c r="AB516" s="6" t="s">
        <v>99</v>
      </c>
      <c r="AC516" s="79" t="s">
        <v>5787</v>
      </c>
      <c r="AD516" s="79" t="s">
        <v>5788</v>
      </c>
      <c r="AE516" s="49" t="s">
        <v>1066</v>
      </c>
      <c r="AF516" s="49" t="s">
        <v>5789</v>
      </c>
      <c r="AG516" s="49" t="s">
        <v>5769</v>
      </c>
      <c r="AH516" s="49" t="s">
        <v>123</v>
      </c>
      <c r="AI516" s="49" t="s">
        <v>5770</v>
      </c>
      <c r="AJ516" s="6" t="s">
        <v>5790</v>
      </c>
      <c r="AK516" s="33" t="s">
        <v>97</v>
      </c>
      <c r="AL516" s="33" t="s">
        <v>97</v>
      </c>
      <c r="AM516" s="6" t="s">
        <v>5761</v>
      </c>
      <c r="AN516" s="6" t="s">
        <v>631</v>
      </c>
      <c r="AO516" s="6"/>
      <c r="AP516" s="6"/>
      <c r="AQ516" s="6" t="s">
        <v>982</v>
      </c>
      <c r="AR516" s="20" t="s">
        <v>97</v>
      </c>
      <c r="AS516" s="20" t="s">
        <v>107</v>
      </c>
      <c r="AT516" s="20"/>
      <c r="AU516" s="24">
        <v>0.4</v>
      </c>
      <c r="AV516" s="24">
        <f t="shared" si="102"/>
        <v>0.32000000000000006</v>
      </c>
      <c r="AW516" s="24">
        <f t="shared" si="103"/>
        <v>0.24</v>
      </c>
      <c r="AX516" s="25">
        <v>1E-4</v>
      </c>
      <c r="AY516" s="24">
        <v>0</v>
      </c>
      <c r="AZ516" s="24">
        <f t="shared" si="104"/>
        <v>0.36000000000000004</v>
      </c>
      <c r="BA516" s="24">
        <f t="shared" si="105"/>
        <v>0.28800000000000003</v>
      </c>
      <c r="BB516" s="24">
        <f t="shared" si="106"/>
        <v>0.21600000000000003</v>
      </c>
      <c r="BC516" s="25">
        <v>1E-4</v>
      </c>
      <c r="BD516" s="24">
        <v>0</v>
      </c>
      <c r="BE516" s="26">
        <v>0</v>
      </c>
      <c r="BF516" s="34">
        <f t="shared" ref="BF516:BF579" si="107">+BE516*80%</f>
        <v>0</v>
      </c>
      <c r="BG516" s="34">
        <f t="shared" ref="BG516:BG579" si="108">+BE516*60%</f>
        <v>0</v>
      </c>
      <c r="BH516" s="26">
        <v>0</v>
      </c>
      <c r="BI516" s="26">
        <v>0</v>
      </c>
      <c r="BJ516" s="20" t="s">
        <v>496</v>
      </c>
      <c r="BK516" s="27" t="s">
        <v>496</v>
      </c>
      <c r="BL516" s="27" t="s">
        <v>5791</v>
      </c>
      <c r="BM516" s="27" t="s">
        <v>5792</v>
      </c>
      <c r="BN516" s="26"/>
      <c r="BO516" s="34"/>
      <c r="BP516" s="34"/>
      <c r="BQ516" s="34"/>
      <c r="BR516" s="34"/>
      <c r="BS516" s="34"/>
      <c r="BT516" s="34"/>
      <c r="BU516" s="34"/>
      <c r="BV516" s="34"/>
      <c r="BW516" s="34"/>
      <c r="BX516" s="34"/>
      <c r="BY516" s="34"/>
      <c r="BZ516" s="34"/>
      <c r="CA516" s="20"/>
      <c r="CB516" s="20"/>
      <c r="CC516" s="29">
        <v>46003</v>
      </c>
      <c r="CD516" s="36" t="s">
        <v>5764</v>
      </c>
    </row>
    <row r="517" spans="1:82" s="18" customFormat="1" ht="66.75" customHeight="1" x14ac:dyDescent="0.25">
      <c r="A517" s="121">
        <v>513</v>
      </c>
      <c r="B517" s="141" t="s">
        <v>5793</v>
      </c>
      <c r="C517" s="6" t="s">
        <v>5794</v>
      </c>
      <c r="D517" s="6" t="s">
        <v>5795</v>
      </c>
      <c r="E517" s="75" t="s">
        <v>113</v>
      </c>
      <c r="F517" s="4" t="s">
        <v>81</v>
      </c>
      <c r="G517" s="5" t="s">
        <v>84</v>
      </c>
      <c r="H517" s="6" t="s">
        <v>775</v>
      </c>
      <c r="I517" s="6" t="s">
        <v>578</v>
      </c>
      <c r="J517" s="6"/>
      <c r="K517" s="6"/>
      <c r="L517" s="6"/>
      <c r="M517" s="6" t="s">
        <v>88</v>
      </c>
      <c r="N517" s="6" t="s">
        <v>89</v>
      </c>
      <c r="O517" s="6" t="s">
        <v>579</v>
      </c>
      <c r="P517" s="6" t="s">
        <v>580</v>
      </c>
      <c r="Q517" s="6"/>
      <c r="R517" s="82" t="s">
        <v>91</v>
      </c>
      <c r="S517" s="5" t="s">
        <v>92</v>
      </c>
      <c r="T517" s="5" t="s">
        <v>93</v>
      </c>
      <c r="U517" s="91">
        <v>100</v>
      </c>
      <c r="V517" s="5" t="s">
        <v>94</v>
      </c>
      <c r="W517" s="5" t="s">
        <v>95</v>
      </c>
      <c r="X517" s="5">
        <v>2025</v>
      </c>
      <c r="Y517" s="5" t="s">
        <v>117</v>
      </c>
      <c r="Z517" s="5" t="s">
        <v>97</v>
      </c>
      <c r="AA517" s="5" t="s">
        <v>98</v>
      </c>
      <c r="AB517" s="6" t="s">
        <v>99</v>
      </c>
      <c r="AC517" s="79" t="s">
        <v>5796</v>
      </c>
      <c r="AD517" s="79" t="s">
        <v>5797</v>
      </c>
      <c r="AE517" s="49" t="s">
        <v>1265</v>
      </c>
      <c r="AF517" s="49" t="s">
        <v>1246</v>
      </c>
      <c r="AG517" s="49" t="s">
        <v>218</v>
      </c>
      <c r="AH517" s="49" t="s">
        <v>123</v>
      </c>
      <c r="AI517" s="6" t="s">
        <v>1257</v>
      </c>
      <c r="AJ517" s="49" t="s">
        <v>5798</v>
      </c>
      <c r="AK517" s="33" t="s">
        <v>97</v>
      </c>
      <c r="AL517" s="33" t="s">
        <v>1249</v>
      </c>
      <c r="AM517" s="5" t="s">
        <v>1110</v>
      </c>
      <c r="AN517" s="6" t="s">
        <v>631</v>
      </c>
      <c r="AO517" s="6"/>
      <c r="AP517" s="6"/>
      <c r="AQ517" s="6" t="s">
        <v>982</v>
      </c>
      <c r="AR517" s="20" t="s">
        <v>97</v>
      </c>
      <c r="AS517" s="20" t="s">
        <v>107</v>
      </c>
      <c r="AT517" s="20"/>
      <c r="AU517" s="24">
        <v>0.8</v>
      </c>
      <c r="AV517" s="24">
        <f t="shared" si="102"/>
        <v>0.64000000000000012</v>
      </c>
      <c r="AW517" s="24">
        <f t="shared" si="103"/>
        <v>0.48</v>
      </c>
      <c r="AX517" s="25">
        <v>1E-4</v>
      </c>
      <c r="AY517" s="24">
        <v>0</v>
      </c>
      <c r="AZ517" s="24">
        <f t="shared" si="104"/>
        <v>0.72000000000000008</v>
      </c>
      <c r="BA517" s="24">
        <f t="shared" si="105"/>
        <v>0.57600000000000007</v>
      </c>
      <c r="BB517" s="24">
        <f t="shared" si="106"/>
        <v>0.43200000000000005</v>
      </c>
      <c r="BC517" s="25">
        <v>1E-4</v>
      </c>
      <c r="BD517" s="24">
        <v>0</v>
      </c>
      <c r="BE517" s="26">
        <v>0</v>
      </c>
      <c r="BF517" s="34">
        <f t="shared" si="107"/>
        <v>0</v>
      </c>
      <c r="BG517" s="34">
        <f t="shared" si="108"/>
        <v>0</v>
      </c>
      <c r="BH517" s="26">
        <v>0</v>
      </c>
      <c r="BI517" s="26">
        <v>0</v>
      </c>
      <c r="BJ517" s="20" t="s">
        <v>496</v>
      </c>
      <c r="BK517" s="27">
        <v>6.8600873394001928E-3</v>
      </c>
      <c r="BL517" s="27" t="s">
        <v>1266</v>
      </c>
      <c r="BM517" s="27" t="s">
        <v>5799</v>
      </c>
      <c r="BN517" s="26"/>
      <c r="BO517" s="34"/>
      <c r="BP517" s="34"/>
      <c r="BQ517" s="34"/>
      <c r="BR517" s="34"/>
      <c r="BS517" s="34"/>
      <c r="BT517" s="34"/>
      <c r="BU517" s="34"/>
      <c r="BV517" s="34"/>
      <c r="BW517" s="34"/>
      <c r="BX517" s="34"/>
      <c r="BY517" s="34"/>
      <c r="BZ517" s="34"/>
      <c r="CA517" s="20"/>
      <c r="CB517" s="20"/>
      <c r="CC517" s="29">
        <v>46003</v>
      </c>
      <c r="CD517" s="11" t="s">
        <v>5800</v>
      </c>
    </row>
    <row r="518" spans="1:82" s="18" customFormat="1" ht="66.75" customHeight="1" x14ac:dyDescent="0.25">
      <c r="A518" s="87">
        <v>514</v>
      </c>
      <c r="B518" s="141" t="s">
        <v>5801</v>
      </c>
      <c r="C518" s="6" t="s">
        <v>5802</v>
      </c>
      <c r="D518" s="6" t="s">
        <v>5795</v>
      </c>
      <c r="E518" s="75" t="s">
        <v>113</v>
      </c>
      <c r="F518" s="4" t="s">
        <v>81</v>
      </c>
      <c r="G518" s="5" t="s">
        <v>84</v>
      </c>
      <c r="H518" s="6" t="s">
        <v>775</v>
      </c>
      <c r="I518" s="6" t="s">
        <v>578</v>
      </c>
      <c r="J518" s="6"/>
      <c r="K518" s="6"/>
      <c r="L518" s="6"/>
      <c r="M518" s="6" t="s">
        <v>88</v>
      </c>
      <c r="N518" s="6" t="s">
        <v>89</v>
      </c>
      <c r="O518" s="6" t="s">
        <v>579</v>
      </c>
      <c r="P518" s="6" t="s">
        <v>580</v>
      </c>
      <c r="Q518" s="6"/>
      <c r="R518" s="82" t="s">
        <v>91</v>
      </c>
      <c r="S518" s="5" t="s">
        <v>92</v>
      </c>
      <c r="T518" s="5" t="s">
        <v>93</v>
      </c>
      <c r="U518" s="91">
        <v>100</v>
      </c>
      <c r="V518" s="5" t="s">
        <v>94</v>
      </c>
      <c r="W518" s="5" t="s">
        <v>95</v>
      </c>
      <c r="X518" s="5">
        <v>2025</v>
      </c>
      <c r="Y518" s="5" t="s">
        <v>117</v>
      </c>
      <c r="Z518" s="5" t="s">
        <v>97</v>
      </c>
      <c r="AA518" s="5" t="s">
        <v>98</v>
      </c>
      <c r="AB518" s="6" t="s">
        <v>99</v>
      </c>
      <c r="AC518" s="79" t="s">
        <v>5803</v>
      </c>
      <c r="AD518" s="79" t="s">
        <v>5804</v>
      </c>
      <c r="AE518" s="49" t="s">
        <v>1272</v>
      </c>
      <c r="AF518" s="49" t="s">
        <v>1246</v>
      </c>
      <c r="AG518" s="49" t="s">
        <v>218</v>
      </c>
      <c r="AH518" s="49" t="s">
        <v>123</v>
      </c>
      <c r="AI518" s="6" t="s">
        <v>1257</v>
      </c>
      <c r="AJ518" s="49" t="s">
        <v>5798</v>
      </c>
      <c r="AK518" s="33" t="s">
        <v>97</v>
      </c>
      <c r="AL518" s="33" t="s">
        <v>1249</v>
      </c>
      <c r="AM518" s="5" t="s">
        <v>1110</v>
      </c>
      <c r="AN518" s="6" t="s">
        <v>631</v>
      </c>
      <c r="AO518" s="6"/>
      <c r="AP518" s="6"/>
      <c r="AQ518" s="6" t="s">
        <v>982</v>
      </c>
      <c r="AR518" s="20" t="s">
        <v>97</v>
      </c>
      <c r="AS518" s="20" t="s">
        <v>107</v>
      </c>
      <c r="AT518" s="20"/>
      <c r="AU518" s="24">
        <v>0.8</v>
      </c>
      <c r="AV518" s="24">
        <f t="shared" si="102"/>
        <v>0.64000000000000012</v>
      </c>
      <c r="AW518" s="24">
        <f t="shared" si="103"/>
        <v>0.48</v>
      </c>
      <c r="AX518" s="25">
        <v>1E-4</v>
      </c>
      <c r="AY518" s="24">
        <v>0</v>
      </c>
      <c r="AZ518" s="24">
        <f t="shared" si="104"/>
        <v>0.72000000000000008</v>
      </c>
      <c r="BA518" s="24">
        <f t="shared" si="105"/>
        <v>0.57600000000000007</v>
      </c>
      <c r="BB518" s="24">
        <f t="shared" si="106"/>
        <v>0.43200000000000005</v>
      </c>
      <c r="BC518" s="25">
        <v>1E-4</v>
      </c>
      <c r="BD518" s="24">
        <v>0</v>
      </c>
      <c r="BE518" s="26">
        <v>0</v>
      </c>
      <c r="BF518" s="34">
        <f t="shared" si="107"/>
        <v>0</v>
      </c>
      <c r="BG518" s="34">
        <f t="shared" si="108"/>
        <v>0</v>
      </c>
      <c r="BH518" s="26">
        <v>0</v>
      </c>
      <c r="BI518" s="26">
        <v>0</v>
      </c>
      <c r="BJ518" s="20" t="s">
        <v>496</v>
      </c>
      <c r="BK518" s="27">
        <v>4.5336588267875719E-2</v>
      </c>
      <c r="BL518" s="27" t="s">
        <v>1273</v>
      </c>
      <c r="BM518" s="27" t="s">
        <v>5805</v>
      </c>
      <c r="BN518" s="26"/>
      <c r="BO518" s="34"/>
      <c r="BP518" s="34"/>
      <c r="BQ518" s="34"/>
      <c r="BR518" s="34"/>
      <c r="BS518" s="34"/>
      <c r="BT518" s="34"/>
      <c r="BU518" s="34"/>
      <c r="BV518" s="34"/>
      <c r="BW518" s="34"/>
      <c r="BX518" s="34"/>
      <c r="BY518" s="34"/>
      <c r="BZ518" s="34"/>
      <c r="CA518" s="20"/>
      <c r="CB518" s="20"/>
      <c r="CC518" s="29">
        <v>46003</v>
      </c>
      <c r="CD518" s="11" t="s">
        <v>5806</v>
      </c>
    </row>
    <row r="519" spans="1:82" s="18" customFormat="1" ht="66.75" customHeight="1" x14ac:dyDescent="0.25">
      <c r="A519" s="87">
        <v>515</v>
      </c>
      <c r="B519" s="141" t="s">
        <v>5807</v>
      </c>
      <c r="C519" s="6" t="s">
        <v>5808</v>
      </c>
      <c r="D519" s="6" t="s">
        <v>5795</v>
      </c>
      <c r="E519" s="75" t="s">
        <v>113</v>
      </c>
      <c r="F519" s="4" t="s">
        <v>81</v>
      </c>
      <c r="G519" s="5" t="s">
        <v>84</v>
      </c>
      <c r="H519" s="6" t="s">
        <v>775</v>
      </c>
      <c r="I519" s="6" t="s">
        <v>578</v>
      </c>
      <c r="J519" s="6"/>
      <c r="K519" s="6"/>
      <c r="L519" s="6"/>
      <c r="M519" s="6" t="s">
        <v>88</v>
      </c>
      <c r="N519" s="6" t="s">
        <v>89</v>
      </c>
      <c r="O519" s="6" t="s">
        <v>579</v>
      </c>
      <c r="P519" s="6" t="s">
        <v>580</v>
      </c>
      <c r="Q519" s="6"/>
      <c r="R519" s="82" t="s">
        <v>91</v>
      </c>
      <c r="S519" s="5" t="s">
        <v>92</v>
      </c>
      <c r="T519" s="5" t="s">
        <v>93</v>
      </c>
      <c r="U519" s="91">
        <v>100</v>
      </c>
      <c r="V519" s="5" t="s">
        <v>94</v>
      </c>
      <c r="W519" s="5" t="s">
        <v>95</v>
      </c>
      <c r="X519" s="5">
        <v>2025</v>
      </c>
      <c r="Y519" s="5" t="s">
        <v>117</v>
      </c>
      <c r="Z519" s="5" t="s">
        <v>97</v>
      </c>
      <c r="AA519" s="5" t="s">
        <v>98</v>
      </c>
      <c r="AB519" s="6" t="s">
        <v>99</v>
      </c>
      <c r="AC519" s="79" t="s">
        <v>5809</v>
      </c>
      <c r="AD519" s="79" t="s">
        <v>5810</v>
      </c>
      <c r="AE519" s="49" t="s">
        <v>1281</v>
      </c>
      <c r="AF519" s="49" t="s">
        <v>1246</v>
      </c>
      <c r="AG519" s="49" t="s">
        <v>218</v>
      </c>
      <c r="AH519" s="49" t="s">
        <v>123</v>
      </c>
      <c r="AI519" s="6" t="s">
        <v>1257</v>
      </c>
      <c r="AJ519" s="49" t="s">
        <v>1248</v>
      </c>
      <c r="AK519" s="33" t="s">
        <v>97</v>
      </c>
      <c r="AL519" s="33" t="s">
        <v>1249</v>
      </c>
      <c r="AM519" s="5" t="s">
        <v>5539</v>
      </c>
      <c r="AN519" s="6" t="s">
        <v>631</v>
      </c>
      <c r="AO519" s="6"/>
      <c r="AP519" s="6"/>
      <c r="AQ519" s="6" t="s">
        <v>982</v>
      </c>
      <c r="AR519" s="20" t="s">
        <v>97</v>
      </c>
      <c r="AS519" s="20" t="s">
        <v>107</v>
      </c>
      <c r="AT519" s="20"/>
      <c r="AU519" s="24">
        <v>0.8</v>
      </c>
      <c r="AV519" s="24">
        <f t="shared" si="102"/>
        <v>0.64000000000000012</v>
      </c>
      <c r="AW519" s="24">
        <f t="shared" si="103"/>
        <v>0.48</v>
      </c>
      <c r="AX519" s="25">
        <v>1E-4</v>
      </c>
      <c r="AY519" s="24">
        <v>0</v>
      </c>
      <c r="AZ519" s="24">
        <f t="shared" si="104"/>
        <v>0.72000000000000008</v>
      </c>
      <c r="BA519" s="24">
        <f t="shared" si="105"/>
        <v>0.57600000000000007</v>
      </c>
      <c r="BB519" s="24">
        <f t="shared" si="106"/>
        <v>0.43200000000000005</v>
      </c>
      <c r="BC519" s="25">
        <v>1E-4</v>
      </c>
      <c r="BD519" s="24">
        <v>0</v>
      </c>
      <c r="BE519" s="26">
        <v>0</v>
      </c>
      <c r="BF519" s="34">
        <f t="shared" si="107"/>
        <v>0</v>
      </c>
      <c r="BG519" s="34">
        <f t="shared" si="108"/>
        <v>0</v>
      </c>
      <c r="BH519" s="26">
        <v>0</v>
      </c>
      <c r="BI519" s="26">
        <v>0</v>
      </c>
      <c r="BJ519" s="20" t="s">
        <v>496</v>
      </c>
      <c r="BK519" s="27">
        <v>2.0447342413467958E-2</v>
      </c>
      <c r="BL519" s="27" t="s">
        <v>1282</v>
      </c>
      <c r="BM519" s="27" t="s">
        <v>5811</v>
      </c>
      <c r="BN519" s="26"/>
      <c r="BO519" s="34"/>
      <c r="BP519" s="34"/>
      <c r="BQ519" s="34"/>
      <c r="BR519" s="34"/>
      <c r="BS519" s="34"/>
      <c r="BT519" s="34"/>
      <c r="BU519" s="34"/>
      <c r="BV519" s="34"/>
      <c r="BW519" s="34"/>
      <c r="BX519" s="34"/>
      <c r="BY519" s="34"/>
      <c r="BZ519" s="34"/>
      <c r="CA519" s="20"/>
      <c r="CB519" s="20"/>
      <c r="CC519" s="29">
        <v>46003</v>
      </c>
      <c r="CD519" s="11" t="s">
        <v>5812</v>
      </c>
    </row>
    <row r="520" spans="1:82" s="18" customFormat="1" ht="66.75" customHeight="1" x14ac:dyDescent="0.25">
      <c r="A520" s="121">
        <v>516</v>
      </c>
      <c r="B520" s="141" t="s">
        <v>5813</v>
      </c>
      <c r="C520" s="6" t="s">
        <v>5814</v>
      </c>
      <c r="D520" s="6" t="s">
        <v>5815</v>
      </c>
      <c r="E520" s="75" t="s">
        <v>113</v>
      </c>
      <c r="F520" s="4" t="s">
        <v>81</v>
      </c>
      <c r="G520" s="5" t="s">
        <v>84</v>
      </c>
      <c r="H520" s="6" t="s">
        <v>775</v>
      </c>
      <c r="I520" s="6" t="s">
        <v>578</v>
      </c>
      <c r="J520" s="6"/>
      <c r="K520" s="6"/>
      <c r="L520" s="6"/>
      <c r="M520" s="6" t="s">
        <v>88</v>
      </c>
      <c r="N520" s="6" t="s">
        <v>89</v>
      </c>
      <c r="O520" s="6" t="s">
        <v>579</v>
      </c>
      <c r="P520" s="6" t="s">
        <v>580</v>
      </c>
      <c r="Q520" s="6"/>
      <c r="R520" s="82" t="s">
        <v>91</v>
      </c>
      <c r="S520" s="5" t="s">
        <v>92</v>
      </c>
      <c r="T520" s="5" t="s">
        <v>93</v>
      </c>
      <c r="U520" s="91">
        <v>100</v>
      </c>
      <c r="V520" s="5" t="s">
        <v>94</v>
      </c>
      <c r="W520" s="5" t="s">
        <v>95</v>
      </c>
      <c r="X520" s="5">
        <v>2025</v>
      </c>
      <c r="Y520" s="5" t="s">
        <v>117</v>
      </c>
      <c r="Z520" s="5" t="s">
        <v>97</v>
      </c>
      <c r="AA520" s="5" t="s">
        <v>98</v>
      </c>
      <c r="AB520" s="6" t="s">
        <v>99</v>
      </c>
      <c r="AC520" s="79" t="s">
        <v>5816</v>
      </c>
      <c r="AD520" s="79" t="s">
        <v>5810</v>
      </c>
      <c r="AE520" s="49" t="s">
        <v>1289</v>
      </c>
      <c r="AF520" s="49" t="s">
        <v>1246</v>
      </c>
      <c r="AG520" s="49" t="s">
        <v>218</v>
      </c>
      <c r="AH520" s="49" t="s">
        <v>123</v>
      </c>
      <c r="AI520" s="6" t="s">
        <v>1257</v>
      </c>
      <c r="AJ520" s="49" t="s">
        <v>5798</v>
      </c>
      <c r="AK520" s="33" t="s">
        <v>97</v>
      </c>
      <c r="AL520" s="33" t="s">
        <v>1249</v>
      </c>
      <c r="AM520" s="5" t="s">
        <v>5539</v>
      </c>
      <c r="AN520" s="6" t="s">
        <v>631</v>
      </c>
      <c r="AO520" s="6"/>
      <c r="AP520" s="6"/>
      <c r="AQ520" s="6" t="s">
        <v>982</v>
      </c>
      <c r="AR520" s="20" t="s">
        <v>97</v>
      </c>
      <c r="AS520" s="20" t="s">
        <v>107</v>
      </c>
      <c r="AT520" s="20"/>
      <c r="AU520" s="24">
        <v>0.8</v>
      </c>
      <c r="AV520" s="24">
        <f t="shared" si="102"/>
        <v>0.64000000000000012</v>
      </c>
      <c r="AW520" s="24">
        <f t="shared" si="103"/>
        <v>0.48</v>
      </c>
      <c r="AX520" s="25">
        <v>1E-4</v>
      </c>
      <c r="AY520" s="24">
        <v>0</v>
      </c>
      <c r="AZ520" s="24">
        <f t="shared" si="104"/>
        <v>0.72000000000000008</v>
      </c>
      <c r="BA520" s="24">
        <f t="shared" si="105"/>
        <v>0.57600000000000007</v>
      </c>
      <c r="BB520" s="24">
        <f t="shared" si="106"/>
        <v>0.43200000000000005</v>
      </c>
      <c r="BC520" s="25">
        <v>1E-4</v>
      </c>
      <c r="BD520" s="24">
        <v>0</v>
      </c>
      <c r="BE520" s="26">
        <v>0</v>
      </c>
      <c r="BF520" s="34">
        <f t="shared" si="107"/>
        <v>0</v>
      </c>
      <c r="BG520" s="34">
        <f t="shared" si="108"/>
        <v>0</v>
      </c>
      <c r="BH520" s="26">
        <v>0</v>
      </c>
      <c r="BI520" s="26">
        <v>0</v>
      </c>
      <c r="BJ520" s="20" t="s">
        <v>496</v>
      </c>
      <c r="BK520" s="27">
        <v>1.3744654856444698E-2</v>
      </c>
      <c r="BL520" s="27" t="s">
        <v>1176</v>
      </c>
      <c r="BM520" s="27" t="s">
        <v>1176</v>
      </c>
      <c r="BN520" s="26"/>
      <c r="BO520" s="34"/>
      <c r="BP520" s="34"/>
      <c r="BQ520" s="34"/>
      <c r="BR520" s="34"/>
      <c r="BS520" s="34"/>
      <c r="BT520" s="34"/>
      <c r="BU520" s="34"/>
      <c r="BV520" s="34"/>
      <c r="BW520" s="34"/>
      <c r="BX520" s="34"/>
      <c r="BY520" s="34"/>
      <c r="BZ520" s="34"/>
      <c r="CA520" s="20"/>
      <c r="CB520" s="20"/>
      <c r="CC520" s="29">
        <v>46003</v>
      </c>
      <c r="CD520" s="11" t="s">
        <v>5817</v>
      </c>
    </row>
    <row r="521" spans="1:82" s="18" customFormat="1" ht="66.75" customHeight="1" x14ac:dyDescent="0.25">
      <c r="A521" s="87">
        <v>517</v>
      </c>
      <c r="B521" s="141" t="s">
        <v>5818</v>
      </c>
      <c r="C521" s="6" t="s">
        <v>5819</v>
      </c>
      <c r="D521" s="6" t="s">
        <v>5820</v>
      </c>
      <c r="E521" s="75" t="s">
        <v>174</v>
      </c>
      <c r="F521" s="4" t="s">
        <v>81</v>
      </c>
      <c r="G521" s="5">
        <v>132</v>
      </c>
      <c r="H521" s="6" t="s">
        <v>775</v>
      </c>
      <c r="I521" s="6" t="s">
        <v>3257</v>
      </c>
      <c r="J521" s="6"/>
      <c r="K521" s="6"/>
      <c r="L521" s="6"/>
      <c r="M521" s="6" t="s">
        <v>136</v>
      </c>
      <c r="N521" s="6" t="s">
        <v>89</v>
      </c>
      <c r="O521" s="6" t="s">
        <v>2688</v>
      </c>
      <c r="P521" s="6" t="s">
        <v>5821</v>
      </c>
      <c r="Q521" s="6"/>
      <c r="R521" s="82" t="s">
        <v>91</v>
      </c>
      <c r="S521" s="5" t="s">
        <v>92</v>
      </c>
      <c r="T521" s="5" t="s">
        <v>93</v>
      </c>
      <c r="U521" s="91">
        <v>100</v>
      </c>
      <c r="V521" s="5" t="s">
        <v>94</v>
      </c>
      <c r="W521" s="5" t="s">
        <v>95</v>
      </c>
      <c r="X521" s="5">
        <v>2021</v>
      </c>
      <c r="Y521" s="5" t="s">
        <v>117</v>
      </c>
      <c r="Z521" s="5" t="s">
        <v>95</v>
      </c>
      <c r="AA521" s="5" t="s">
        <v>973</v>
      </c>
      <c r="AB521" s="6" t="s">
        <v>99</v>
      </c>
      <c r="AC521" s="79" t="s">
        <v>5822</v>
      </c>
      <c r="AD521" s="79" t="s">
        <v>5823</v>
      </c>
      <c r="AE521" s="6" t="s">
        <v>5824</v>
      </c>
      <c r="AF521" s="6" t="s">
        <v>121</v>
      </c>
      <c r="AG521" s="6" t="s">
        <v>1965</v>
      </c>
      <c r="AH521" s="49" t="s">
        <v>123</v>
      </c>
      <c r="AI521" s="6" t="s">
        <v>5825</v>
      </c>
      <c r="AJ521" s="6" t="s">
        <v>5826</v>
      </c>
      <c r="AK521" s="33" t="s">
        <v>97</v>
      </c>
      <c r="AL521" s="5" t="s">
        <v>5827</v>
      </c>
      <c r="AM521" s="5" t="s">
        <v>221</v>
      </c>
      <c r="AN521" s="5" t="s">
        <v>5828</v>
      </c>
      <c r="AO521" s="5" t="s">
        <v>5829</v>
      </c>
      <c r="AP521" s="5" t="s">
        <v>5830</v>
      </c>
      <c r="AQ521" s="75" t="s">
        <v>3257</v>
      </c>
      <c r="AR521" s="20" t="s">
        <v>97</v>
      </c>
      <c r="AS521" s="20" t="s">
        <v>107</v>
      </c>
      <c r="AT521" s="20"/>
      <c r="AU521" s="24">
        <v>0.7</v>
      </c>
      <c r="AV521" s="24">
        <f t="shared" si="102"/>
        <v>0.55999999999999994</v>
      </c>
      <c r="AW521" s="24">
        <f t="shared" si="103"/>
        <v>0.42</v>
      </c>
      <c r="AX521" s="25">
        <v>1E-4</v>
      </c>
      <c r="AY521" s="24">
        <v>0</v>
      </c>
      <c r="AZ521" s="24">
        <f t="shared" si="104"/>
        <v>0.63</v>
      </c>
      <c r="BA521" s="24">
        <f t="shared" si="105"/>
        <v>0.504</v>
      </c>
      <c r="BB521" s="24">
        <f t="shared" si="106"/>
        <v>0.378</v>
      </c>
      <c r="BC521" s="25">
        <v>1E-4</v>
      </c>
      <c r="BD521" s="24">
        <v>0</v>
      </c>
      <c r="BE521" s="26">
        <v>20</v>
      </c>
      <c r="BF521" s="34">
        <f t="shared" si="107"/>
        <v>16</v>
      </c>
      <c r="BG521" s="34">
        <f t="shared" si="108"/>
        <v>12</v>
      </c>
      <c r="BH521" s="26">
        <v>1</v>
      </c>
      <c r="BI521" s="26">
        <v>0</v>
      </c>
      <c r="BJ521" s="27">
        <v>0.42799999999999999</v>
      </c>
      <c r="BK521" s="27">
        <v>0.39916054715179783</v>
      </c>
      <c r="BL521" s="27" t="s">
        <v>5831</v>
      </c>
      <c r="BM521" s="27" t="s">
        <v>5832</v>
      </c>
      <c r="BN521" s="26"/>
      <c r="BO521" s="34"/>
      <c r="BP521" s="34"/>
      <c r="BQ521" s="34">
        <v>1</v>
      </c>
      <c r="BR521" s="34"/>
      <c r="BS521" s="34"/>
      <c r="BT521" s="34"/>
      <c r="BU521" s="34"/>
      <c r="BV521" s="34"/>
      <c r="BW521" s="34"/>
      <c r="BX521" s="34">
        <v>1</v>
      </c>
      <c r="BY521" s="34"/>
      <c r="BZ521" s="34"/>
      <c r="CA521" s="20"/>
      <c r="CB521" s="20"/>
      <c r="CC521" s="46">
        <v>46006</v>
      </c>
      <c r="CD521" s="52" t="s">
        <v>5833</v>
      </c>
    </row>
    <row r="522" spans="1:82" s="18" customFormat="1" ht="66.75" customHeight="1" x14ac:dyDescent="0.25">
      <c r="A522" s="87">
        <v>518</v>
      </c>
      <c r="B522" s="141" t="s">
        <v>5834</v>
      </c>
      <c r="C522" s="6" t="s">
        <v>5835</v>
      </c>
      <c r="D522" s="6" t="s">
        <v>5836</v>
      </c>
      <c r="E522" s="75" t="s">
        <v>174</v>
      </c>
      <c r="F522" s="4" t="s">
        <v>81</v>
      </c>
      <c r="G522" s="5" t="s">
        <v>84</v>
      </c>
      <c r="H522" s="6" t="s">
        <v>775</v>
      </c>
      <c r="I522" s="6" t="s">
        <v>3257</v>
      </c>
      <c r="J522" s="6"/>
      <c r="K522" s="6"/>
      <c r="L522" s="6"/>
      <c r="M522" s="6" t="s">
        <v>88</v>
      </c>
      <c r="N522" s="6" t="s">
        <v>89</v>
      </c>
      <c r="O522" s="6" t="s">
        <v>2688</v>
      </c>
      <c r="P522" s="6" t="s">
        <v>5837</v>
      </c>
      <c r="Q522" s="6"/>
      <c r="R522" s="82" t="s">
        <v>175</v>
      </c>
      <c r="S522" s="5" t="s">
        <v>92</v>
      </c>
      <c r="T522" s="5" t="s">
        <v>93</v>
      </c>
      <c r="U522" s="91">
        <v>100</v>
      </c>
      <c r="V522" s="5" t="s">
        <v>94</v>
      </c>
      <c r="W522" s="5" t="s">
        <v>95</v>
      </c>
      <c r="X522" s="5">
        <v>2021</v>
      </c>
      <c r="Y522" s="5" t="s">
        <v>117</v>
      </c>
      <c r="Z522" s="5" t="s">
        <v>95</v>
      </c>
      <c r="AA522" s="5" t="s">
        <v>973</v>
      </c>
      <c r="AB522" s="6" t="s">
        <v>99</v>
      </c>
      <c r="AC522" s="6" t="s">
        <v>5838</v>
      </c>
      <c r="AD522" s="79" t="s">
        <v>5839</v>
      </c>
      <c r="AE522" s="6" t="s">
        <v>5840</v>
      </c>
      <c r="AF522" s="6" t="s">
        <v>5841</v>
      </c>
      <c r="AG522" s="49" t="s">
        <v>178</v>
      </c>
      <c r="AH522" s="6" t="s">
        <v>5842</v>
      </c>
      <c r="AI522" s="6" t="s">
        <v>5843</v>
      </c>
      <c r="AJ522" s="6" t="s">
        <v>5844</v>
      </c>
      <c r="AK522" s="33" t="s">
        <v>97</v>
      </c>
      <c r="AL522" s="5" t="s">
        <v>5845</v>
      </c>
      <c r="AM522" s="5" t="s">
        <v>221</v>
      </c>
      <c r="AN522" s="5" t="s">
        <v>5846</v>
      </c>
      <c r="AO522" s="96" t="s">
        <v>5847</v>
      </c>
      <c r="AP522" s="96" t="s">
        <v>5848</v>
      </c>
      <c r="AQ522" s="75" t="s">
        <v>3257</v>
      </c>
      <c r="AR522" s="20" t="s">
        <v>95</v>
      </c>
      <c r="AS522" s="20" t="s">
        <v>185</v>
      </c>
      <c r="AT522" s="85" t="s">
        <v>5849</v>
      </c>
      <c r="AU522" s="24">
        <v>0.4</v>
      </c>
      <c r="AV522" s="24">
        <f t="shared" si="102"/>
        <v>0.32000000000000006</v>
      </c>
      <c r="AW522" s="24">
        <f t="shared" si="103"/>
        <v>0.24</v>
      </c>
      <c r="AX522" s="25">
        <v>1E-4</v>
      </c>
      <c r="AY522" s="24">
        <v>0</v>
      </c>
      <c r="AZ522" s="24">
        <f t="shared" si="104"/>
        <v>0.36000000000000004</v>
      </c>
      <c r="BA522" s="24">
        <f t="shared" si="105"/>
        <v>0.28800000000000003</v>
      </c>
      <c r="BB522" s="24">
        <f t="shared" si="106"/>
        <v>0.21600000000000003</v>
      </c>
      <c r="BC522" s="25">
        <v>1E-4</v>
      </c>
      <c r="BD522" s="24">
        <v>0</v>
      </c>
      <c r="BE522" s="34">
        <v>40</v>
      </c>
      <c r="BF522" s="34">
        <f t="shared" si="107"/>
        <v>32</v>
      </c>
      <c r="BG522" s="34">
        <f t="shared" si="108"/>
        <v>24</v>
      </c>
      <c r="BH522" s="26">
        <v>1</v>
      </c>
      <c r="BI522" s="26">
        <v>0</v>
      </c>
      <c r="BJ522" s="27">
        <v>0.26100000000000001</v>
      </c>
      <c r="BK522" s="27">
        <v>0.23938644721529245</v>
      </c>
      <c r="BL522" s="27" t="s">
        <v>5850</v>
      </c>
      <c r="BM522" s="27" t="s">
        <v>5851</v>
      </c>
      <c r="BN522" s="26"/>
      <c r="BO522" s="34"/>
      <c r="BP522" s="34"/>
      <c r="BQ522" s="34"/>
      <c r="BR522" s="34"/>
      <c r="BS522" s="34"/>
      <c r="BT522" s="34"/>
      <c r="BU522" s="34"/>
      <c r="BV522" s="34"/>
      <c r="BW522" s="34"/>
      <c r="BX522" s="34"/>
      <c r="BY522" s="34"/>
      <c r="BZ522" s="34">
        <v>1</v>
      </c>
      <c r="CA522" s="20" t="s">
        <v>3036</v>
      </c>
      <c r="CB522" s="20" t="s">
        <v>3036</v>
      </c>
      <c r="CC522" s="29">
        <v>45727</v>
      </c>
      <c r="CD522" s="61" t="s">
        <v>5852</v>
      </c>
    </row>
    <row r="523" spans="1:82" s="18" customFormat="1" ht="66.75" customHeight="1" x14ac:dyDescent="0.25">
      <c r="A523" s="121">
        <v>519</v>
      </c>
      <c r="B523" s="141" t="s">
        <v>5853</v>
      </c>
      <c r="C523" s="6" t="s">
        <v>5854</v>
      </c>
      <c r="D523" s="6" t="s">
        <v>5855</v>
      </c>
      <c r="E523" s="75" t="s">
        <v>174</v>
      </c>
      <c r="F523" s="4" t="s">
        <v>81</v>
      </c>
      <c r="G523" s="5" t="s">
        <v>84</v>
      </c>
      <c r="H523" s="6" t="s">
        <v>775</v>
      </c>
      <c r="I523" s="6" t="s">
        <v>3257</v>
      </c>
      <c r="J523" s="6"/>
      <c r="K523" s="6"/>
      <c r="L523" s="6"/>
      <c r="M523" s="6" t="s">
        <v>88</v>
      </c>
      <c r="N523" s="6" t="s">
        <v>89</v>
      </c>
      <c r="O523" s="6" t="s">
        <v>2688</v>
      </c>
      <c r="P523" s="6" t="s">
        <v>5837</v>
      </c>
      <c r="Q523" s="6"/>
      <c r="R523" s="82" t="s">
        <v>91</v>
      </c>
      <c r="S523" s="5" t="s">
        <v>92</v>
      </c>
      <c r="T523" s="5" t="s">
        <v>93</v>
      </c>
      <c r="U523" s="91">
        <v>100</v>
      </c>
      <c r="V523" s="5" t="s">
        <v>94</v>
      </c>
      <c r="W523" s="5" t="s">
        <v>95</v>
      </c>
      <c r="X523" s="5">
        <v>2021</v>
      </c>
      <c r="Y523" s="5" t="s">
        <v>117</v>
      </c>
      <c r="Z523" s="5" t="s">
        <v>97</v>
      </c>
      <c r="AA523" s="5" t="s">
        <v>973</v>
      </c>
      <c r="AB523" s="6" t="s">
        <v>99</v>
      </c>
      <c r="AC523" s="79" t="s">
        <v>5856</v>
      </c>
      <c r="AD523" s="79" t="s">
        <v>5857</v>
      </c>
      <c r="AE523" s="6" t="s">
        <v>5858</v>
      </c>
      <c r="AF523" s="6" t="s">
        <v>5859</v>
      </c>
      <c r="AG523" s="49" t="s">
        <v>178</v>
      </c>
      <c r="AH523" s="49" t="s">
        <v>178</v>
      </c>
      <c r="AI523" s="5" t="s">
        <v>5860</v>
      </c>
      <c r="AJ523" s="5" t="s">
        <v>5861</v>
      </c>
      <c r="AK523" s="33" t="s">
        <v>97</v>
      </c>
      <c r="AL523" s="33" t="s">
        <v>97</v>
      </c>
      <c r="AM523" s="5"/>
      <c r="AN523" s="5"/>
      <c r="AO523" s="96" t="s">
        <v>5862</v>
      </c>
      <c r="AP523" s="96" t="s">
        <v>5863</v>
      </c>
      <c r="AQ523" s="75" t="s">
        <v>3257</v>
      </c>
      <c r="AR523" s="20" t="s">
        <v>97</v>
      </c>
      <c r="AS523" s="20" t="s">
        <v>107</v>
      </c>
      <c r="AT523" s="20"/>
      <c r="AU523" s="24">
        <v>0.93</v>
      </c>
      <c r="AV523" s="24">
        <f t="shared" si="102"/>
        <v>0.74400000000000011</v>
      </c>
      <c r="AW523" s="24">
        <f t="shared" si="103"/>
        <v>0.55800000000000005</v>
      </c>
      <c r="AX523" s="25">
        <v>1E-4</v>
      </c>
      <c r="AY523" s="24">
        <v>0</v>
      </c>
      <c r="AZ523" s="24">
        <v>0.9</v>
      </c>
      <c r="BA523" s="24">
        <f t="shared" si="105"/>
        <v>0.72000000000000008</v>
      </c>
      <c r="BB523" s="24">
        <f t="shared" si="106"/>
        <v>0.54</v>
      </c>
      <c r="BC523" s="25">
        <v>1E-4</v>
      </c>
      <c r="BD523" s="24">
        <v>0</v>
      </c>
      <c r="BE523" s="34">
        <v>20</v>
      </c>
      <c r="BF523" s="34">
        <f t="shared" si="107"/>
        <v>16</v>
      </c>
      <c r="BG523" s="34">
        <f t="shared" si="108"/>
        <v>12</v>
      </c>
      <c r="BH523" s="26">
        <v>1</v>
      </c>
      <c r="BI523" s="26">
        <v>0</v>
      </c>
      <c r="BJ523" s="27">
        <v>0.90100000000000002</v>
      </c>
      <c r="BK523" s="27">
        <v>0.89191157002912369</v>
      </c>
      <c r="BL523" s="27" t="s">
        <v>5864</v>
      </c>
      <c r="BM523" s="27" t="s">
        <v>5865</v>
      </c>
      <c r="BN523" s="26"/>
      <c r="BO523" s="34"/>
      <c r="BP523" s="34"/>
      <c r="BQ523" s="34"/>
      <c r="BR523" s="34"/>
      <c r="BS523" s="34"/>
      <c r="BT523" s="34"/>
      <c r="BU523" s="34"/>
      <c r="BV523" s="34"/>
      <c r="BW523" s="34"/>
      <c r="BX523" s="34"/>
      <c r="BY523" s="34"/>
      <c r="BZ523" s="34">
        <v>1</v>
      </c>
      <c r="CA523" s="20" t="s">
        <v>3036</v>
      </c>
      <c r="CB523" s="20" t="s">
        <v>3036</v>
      </c>
      <c r="CC523" s="29">
        <v>46006</v>
      </c>
      <c r="CD523" s="11" t="s">
        <v>5866</v>
      </c>
    </row>
    <row r="524" spans="1:82" s="18" customFormat="1" ht="66.75" customHeight="1" x14ac:dyDescent="0.25">
      <c r="A524" s="87">
        <v>520</v>
      </c>
      <c r="B524" s="141" t="s">
        <v>5867</v>
      </c>
      <c r="C524" s="6" t="s">
        <v>5868</v>
      </c>
      <c r="D524" s="6" t="s">
        <v>5869</v>
      </c>
      <c r="E524" s="75" t="s">
        <v>174</v>
      </c>
      <c r="F524" s="4" t="s">
        <v>81</v>
      </c>
      <c r="G524" s="5">
        <v>131</v>
      </c>
      <c r="H524" s="6" t="s">
        <v>775</v>
      </c>
      <c r="I524" s="6" t="s">
        <v>3257</v>
      </c>
      <c r="J524" s="6"/>
      <c r="K524" s="6"/>
      <c r="L524" s="6"/>
      <c r="M524" s="6" t="s">
        <v>136</v>
      </c>
      <c r="N524" s="6" t="s">
        <v>89</v>
      </c>
      <c r="O524" s="6" t="s">
        <v>2688</v>
      </c>
      <c r="P524" s="6" t="s">
        <v>5870</v>
      </c>
      <c r="Q524" s="6"/>
      <c r="R524" s="82" t="s">
        <v>175</v>
      </c>
      <c r="S524" s="5" t="s">
        <v>92</v>
      </c>
      <c r="T524" s="5" t="s">
        <v>93</v>
      </c>
      <c r="U524" s="91">
        <v>100</v>
      </c>
      <c r="V524" s="5" t="s">
        <v>94</v>
      </c>
      <c r="W524" s="5" t="s">
        <v>95</v>
      </c>
      <c r="X524" s="5">
        <v>2023</v>
      </c>
      <c r="Y524" s="5" t="s">
        <v>117</v>
      </c>
      <c r="Z524" s="5" t="s">
        <v>95</v>
      </c>
      <c r="AA524" s="5" t="s">
        <v>973</v>
      </c>
      <c r="AB524" s="6" t="s">
        <v>99</v>
      </c>
      <c r="AC524" s="79" t="s">
        <v>5871</v>
      </c>
      <c r="AD524" s="79" t="s">
        <v>5872</v>
      </c>
      <c r="AE524" s="6" t="s">
        <v>5873</v>
      </c>
      <c r="AF524" s="6" t="s">
        <v>5874</v>
      </c>
      <c r="AG524" s="49" t="s">
        <v>178</v>
      </c>
      <c r="AH524" s="6" t="s">
        <v>178</v>
      </c>
      <c r="AI524" s="6" t="s">
        <v>5875</v>
      </c>
      <c r="AJ524" s="6" t="s">
        <v>5876</v>
      </c>
      <c r="AK524" s="33" t="s">
        <v>97</v>
      </c>
      <c r="AL524" s="33" t="s">
        <v>97</v>
      </c>
      <c r="AM524" s="5" t="s">
        <v>5877</v>
      </c>
      <c r="AN524" s="5"/>
      <c r="AO524" s="96" t="s">
        <v>5878</v>
      </c>
      <c r="AP524" s="96" t="s">
        <v>5879</v>
      </c>
      <c r="AQ524" s="75" t="s">
        <v>3257</v>
      </c>
      <c r="AR524" s="20" t="s">
        <v>97</v>
      </c>
      <c r="AS524" s="20" t="s">
        <v>107</v>
      </c>
      <c r="AT524" s="20"/>
      <c r="AU524" s="24">
        <v>0.4</v>
      </c>
      <c r="AV524" s="24">
        <f t="shared" si="102"/>
        <v>0.32000000000000006</v>
      </c>
      <c r="AW524" s="24">
        <f t="shared" si="103"/>
        <v>0.24</v>
      </c>
      <c r="AX524" s="25">
        <v>1E-4</v>
      </c>
      <c r="AY524" s="24">
        <v>0</v>
      </c>
      <c r="AZ524" s="24">
        <f t="shared" ref="AZ524:AZ555" si="109">+AU524*90%</f>
        <v>0.36000000000000004</v>
      </c>
      <c r="BA524" s="24">
        <f t="shared" si="105"/>
        <v>0.28800000000000003</v>
      </c>
      <c r="BB524" s="24">
        <f t="shared" si="106"/>
        <v>0.21600000000000003</v>
      </c>
      <c r="BC524" s="25">
        <v>1E-4</v>
      </c>
      <c r="BD524" s="24">
        <v>0</v>
      </c>
      <c r="BE524" s="34">
        <v>30</v>
      </c>
      <c r="BF524" s="34">
        <f t="shared" si="107"/>
        <v>24</v>
      </c>
      <c r="BG524" s="34">
        <f t="shared" si="108"/>
        <v>18</v>
      </c>
      <c r="BH524" s="26">
        <v>1</v>
      </c>
      <c r="BI524" s="26">
        <v>0</v>
      </c>
      <c r="BJ524" s="20" t="s">
        <v>496</v>
      </c>
      <c r="BK524" s="27">
        <v>1.5667872252338955E-2</v>
      </c>
      <c r="BL524" s="27" t="s">
        <v>5880</v>
      </c>
      <c r="BM524" s="27" t="s">
        <v>1649</v>
      </c>
      <c r="BN524" s="26"/>
      <c r="BO524" s="34"/>
      <c r="BP524" s="34"/>
      <c r="BQ524" s="34"/>
      <c r="BR524" s="34"/>
      <c r="BS524" s="34"/>
      <c r="BT524" s="34"/>
      <c r="BU524" s="34"/>
      <c r="BV524" s="34"/>
      <c r="BW524" s="34"/>
      <c r="BX524" s="34"/>
      <c r="BY524" s="34"/>
      <c r="BZ524" s="34"/>
      <c r="CA524" s="20"/>
      <c r="CB524" s="20"/>
      <c r="CC524" s="46">
        <v>46006</v>
      </c>
      <c r="CD524" s="57" t="s">
        <v>5881</v>
      </c>
    </row>
    <row r="525" spans="1:82" s="18" customFormat="1" ht="66.75" customHeight="1" x14ac:dyDescent="0.25">
      <c r="A525" s="87">
        <v>521</v>
      </c>
      <c r="B525" s="142" t="s">
        <v>5882</v>
      </c>
      <c r="C525" s="2" t="s">
        <v>5883</v>
      </c>
      <c r="D525" s="6" t="s">
        <v>5884</v>
      </c>
      <c r="E525" s="75" t="s">
        <v>113</v>
      </c>
      <c r="F525" s="4" t="s">
        <v>81</v>
      </c>
      <c r="G525" s="5">
        <v>138</v>
      </c>
      <c r="H525" s="6" t="s">
        <v>775</v>
      </c>
      <c r="I525" s="6" t="s">
        <v>3328</v>
      </c>
      <c r="J525" s="6"/>
      <c r="K525" s="6"/>
      <c r="L525" s="6"/>
      <c r="M525" s="6" t="s">
        <v>136</v>
      </c>
      <c r="N525" s="6" t="s">
        <v>89</v>
      </c>
      <c r="O525" s="6" t="s">
        <v>2688</v>
      </c>
      <c r="P525" s="6" t="s">
        <v>5885</v>
      </c>
      <c r="Q525" s="6"/>
      <c r="R525" s="82" t="s">
        <v>91</v>
      </c>
      <c r="S525" s="5" t="s">
        <v>92</v>
      </c>
      <c r="T525" s="5" t="s">
        <v>93</v>
      </c>
      <c r="U525" s="91">
        <v>100</v>
      </c>
      <c r="V525" s="5" t="s">
        <v>94</v>
      </c>
      <c r="W525" s="5" t="s">
        <v>95</v>
      </c>
      <c r="X525" s="5">
        <v>2021</v>
      </c>
      <c r="Y525" s="5" t="s">
        <v>117</v>
      </c>
      <c r="Z525" s="5" t="s">
        <v>95</v>
      </c>
      <c r="AA525" s="5" t="s">
        <v>98</v>
      </c>
      <c r="AB525" s="6" t="s">
        <v>99</v>
      </c>
      <c r="AC525" s="79" t="s">
        <v>5886</v>
      </c>
      <c r="AD525" s="79" t="s">
        <v>5887</v>
      </c>
      <c r="AE525" s="49" t="s">
        <v>5888</v>
      </c>
      <c r="AF525" s="49" t="s">
        <v>121</v>
      </c>
      <c r="AG525" s="49" t="s">
        <v>1965</v>
      </c>
      <c r="AH525" s="49" t="s">
        <v>123</v>
      </c>
      <c r="AI525" s="49" t="s">
        <v>5889</v>
      </c>
      <c r="AJ525" s="49" t="s">
        <v>5890</v>
      </c>
      <c r="AK525" s="33" t="s">
        <v>97</v>
      </c>
      <c r="AL525" s="5" t="s">
        <v>5891</v>
      </c>
      <c r="AM525" s="49" t="s">
        <v>221</v>
      </c>
      <c r="AN525" s="49" t="s">
        <v>5892</v>
      </c>
      <c r="AO525" s="49" t="s">
        <v>5893</v>
      </c>
      <c r="AP525" s="5" t="s">
        <v>5894</v>
      </c>
      <c r="AQ525" s="75" t="s">
        <v>3328</v>
      </c>
      <c r="AR525" s="20" t="s">
        <v>97</v>
      </c>
      <c r="AS525" s="20" t="s">
        <v>107</v>
      </c>
      <c r="AT525" s="20"/>
      <c r="AU525" s="24">
        <v>0.5</v>
      </c>
      <c r="AV525" s="24">
        <f t="shared" si="102"/>
        <v>0.4</v>
      </c>
      <c r="AW525" s="24">
        <f t="shared" si="103"/>
        <v>0.3</v>
      </c>
      <c r="AX525" s="25">
        <v>1E-4</v>
      </c>
      <c r="AY525" s="24">
        <v>0</v>
      </c>
      <c r="AZ525" s="24">
        <f t="shared" si="109"/>
        <v>0.45</v>
      </c>
      <c r="BA525" s="24">
        <f t="shared" si="105"/>
        <v>0.36000000000000004</v>
      </c>
      <c r="BB525" s="24">
        <f t="shared" si="106"/>
        <v>0.27</v>
      </c>
      <c r="BC525" s="25">
        <v>1E-4</v>
      </c>
      <c r="BD525" s="24">
        <v>0</v>
      </c>
      <c r="BE525" s="26">
        <v>0</v>
      </c>
      <c r="BF525" s="34">
        <f t="shared" si="107"/>
        <v>0</v>
      </c>
      <c r="BG525" s="34">
        <f t="shared" si="108"/>
        <v>0</v>
      </c>
      <c r="BH525" s="26">
        <v>0</v>
      </c>
      <c r="BI525" s="26">
        <v>0</v>
      </c>
      <c r="BJ525" s="27">
        <v>0.19900000000000001</v>
      </c>
      <c r="BK525" s="27">
        <v>0.24632602710337184</v>
      </c>
      <c r="BL525" s="27" t="s">
        <v>5895</v>
      </c>
      <c r="BM525" s="27" t="s">
        <v>5896</v>
      </c>
      <c r="BN525" s="26">
        <v>1</v>
      </c>
      <c r="BO525" s="34"/>
      <c r="BP525" s="34"/>
      <c r="BQ525" s="34">
        <v>1</v>
      </c>
      <c r="BR525" s="34"/>
      <c r="BS525" s="34"/>
      <c r="BT525" s="34"/>
      <c r="BU525" s="34"/>
      <c r="BV525" s="34"/>
      <c r="BW525" s="34"/>
      <c r="BX525" s="34"/>
      <c r="BY525" s="34"/>
      <c r="BZ525" s="34"/>
      <c r="CA525" s="20"/>
      <c r="CB525" s="20"/>
      <c r="CC525" s="46">
        <v>46006</v>
      </c>
      <c r="CD525" s="107" t="s">
        <v>5897</v>
      </c>
    </row>
    <row r="526" spans="1:82" s="18" customFormat="1" ht="66.75" customHeight="1" x14ac:dyDescent="0.25">
      <c r="A526" s="121">
        <v>522</v>
      </c>
      <c r="B526" s="141" t="s">
        <v>5898</v>
      </c>
      <c r="C526" s="6" t="s">
        <v>5899</v>
      </c>
      <c r="D526" s="6" t="s">
        <v>5900</v>
      </c>
      <c r="E526" s="65" t="s">
        <v>174</v>
      </c>
      <c r="F526" s="4" t="s">
        <v>81</v>
      </c>
      <c r="G526" s="5" t="s">
        <v>84</v>
      </c>
      <c r="H526" s="6" t="s">
        <v>775</v>
      </c>
      <c r="I526" s="6" t="s">
        <v>3328</v>
      </c>
      <c r="J526" s="6"/>
      <c r="K526" s="6"/>
      <c r="L526" s="6"/>
      <c r="M526" s="6" t="s">
        <v>88</v>
      </c>
      <c r="N526" s="6" t="s">
        <v>89</v>
      </c>
      <c r="O526" s="6" t="s">
        <v>2688</v>
      </c>
      <c r="P526" s="6" t="s">
        <v>5885</v>
      </c>
      <c r="Q526" s="6"/>
      <c r="R526" s="82" t="s">
        <v>175</v>
      </c>
      <c r="S526" s="5" t="s">
        <v>92</v>
      </c>
      <c r="T526" s="5" t="s">
        <v>93</v>
      </c>
      <c r="U526" s="91">
        <v>100</v>
      </c>
      <c r="V526" s="5" t="s">
        <v>94</v>
      </c>
      <c r="W526" s="5" t="s">
        <v>95</v>
      </c>
      <c r="X526" s="5">
        <v>2023</v>
      </c>
      <c r="Y526" s="5" t="s">
        <v>117</v>
      </c>
      <c r="Z526" s="5" t="s">
        <v>95</v>
      </c>
      <c r="AA526" s="5" t="s">
        <v>98</v>
      </c>
      <c r="AB526" s="6" t="s">
        <v>99</v>
      </c>
      <c r="AC526" s="79" t="s">
        <v>5901</v>
      </c>
      <c r="AD526" s="79" t="s">
        <v>5902</v>
      </c>
      <c r="AE526" s="6" t="s">
        <v>5903</v>
      </c>
      <c r="AF526" s="6" t="s">
        <v>5904</v>
      </c>
      <c r="AG526" s="49" t="s">
        <v>178</v>
      </c>
      <c r="AH526" s="6" t="s">
        <v>5905</v>
      </c>
      <c r="AI526" s="6" t="s">
        <v>5906</v>
      </c>
      <c r="AJ526" s="6" t="s">
        <v>5907</v>
      </c>
      <c r="AK526" s="33" t="s">
        <v>97</v>
      </c>
      <c r="AL526" s="5" t="s">
        <v>5905</v>
      </c>
      <c r="AM526" s="5" t="s">
        <v>221</v>
      </c>
      <c r="AN526" s="5" t="s">
        <v>5908</v>
      </c>
      <c r="AO526" s="5" t="s">
        <v>5909</v>
      </c>
      <c r="AP526" s="5" t="s">
        <v>5910</v>
      </c>
      <c r="AQ526" s="75" t="s">
        <v>3328</v>
      </c>
      <c r="AR526" s="20" t="s">
        <v>95</v>
      </c>
      <c r="AS526" s="20" t="s">
        <v>185</v>
      </c>
      <c r="AT526" s="7">
        <v>907009</v>
      </c>
      <c r="AU526" s="24">
        <v>0.4</v>
      </c>
      <c r="AV526" s="24">
        <f t="shared" si="102"/>
        <v>0.32000000000000006</v>
      </c>
      <c r="AW526" s="24">
        <f t="shared" si="103"/>
        <v>0.24</v>
      </c>
      <c r="AX526" s="25">
        <v>1E-4</v>
      </c>
      <c r="AY526" s="24">
        <v>0</v>
      </c>
      <c r="AZ526" s="24">
        <f t="shared" si="109"/>
        <v>0.36000000000000004</v>
      </c>
      <c r="BA526" s="24">
        <f t="shared" si="105"/>
        <v>0.28800000000000003</v>
      </c>
      <c r="BB526" s="24">
        <f t="shared" si="106"/>
        <v>0.21600000000000003</v>
      </c>
      <c r="BC526" s="25">
        <v>1E-4</v>
      </c>
      <c r="BD526" s="24">
        <v>0</v>
      </c>
      <c r="BE526" s="38">
        <v>20</v>
      </c>
      <c r="BF526" s="43">
        <f t="shared" ref="BF526" si="110">+BE526*80%</f>
        <v>16</v>
      </c>
      <c r="BG526" s="43">
        <f t="shared" ref="BG526" si="111">+BE526*60%</f>
        <v>12</v>
      </c>
      <c r="BH526" s="38">
        <v>1</v>
      </c>
      <c r="BI526" s="38">
        <v>0</v>
      </c>
      <c r="BJ526" s="27">
        <v>0.16800000000000001</v>
      </c>
      <c r="BK526" s="27">
        <v>0.15098281302346059</v>
      </c>
      <c r="BL526" s="27" t="s">
        <v>5911</v>
      </c>
      <c r="BM526" s="27" t="s">
        <v>5912</v>
      </c>
      <c r="BN526" s="26"/>
      <c r="BO526" s="34"/>
      <c r="BP526" s="34"/>
      <c r="BQ526" s="34"/>
      <c r="BR526" s="34"/>
      <c r="BS526" s="34"/>
      <c r="BT526" s="34"/>
      <c r="BU526" s="34"/>
      <c r="BV526" s="34"/>
      <c r="BW526" s="34"/>
      <c r="BX526" s="34"/>
      <c r="BY526" s="34"/>
      <c r="BZ526" s="34">
        <v>1</v>
      </c>
      <c r="CA526" s="20" t="s">
        <v>3036</v>
      </c>
      <c r="CB526" s="20" t="s">
        <v>3036</v>
      </c>
      <c r="CC526" s="46">
        <v>46030</v>
      </c>
      <c r="CD526" s="2" t="s">
        <v>5913</v>
      </c>
    </row>
    <row r="527" spans="1:82" s="18" customFormat="1" ht="66.75" customHeight="1" x14ac:dyDescent="0.25">
      <c r="A527" s="87">
        <v>523</v>
      </c>
      <c r="B527" s="142" t="s">
        <v>5914</v>
      </c>
      <c r="C527" s="2" t="s">
        <v>5915</v>
      </c>
      <c r="D527" s="6" t="s">
        <v>5916</v>
      </c>
      <c r="E527" s="75" t="s">
        <v>113</v>
      </c>
      <c r="F527" s="4" t="s">
        <v>81</v>
      </c>
      <c r="G527" s="5">
        <v>137</v>
      </c>
      <c r="H527" s="6" t="s">
        <v>775</v>
      </c>
      <c r="I527" s="6" t="s">
        <v>3328</v>
      </c>
      <c r="J527" s="6"/>
      <c r="K527" s="6"/>
      <c r="L527" s="6"/>
      <c r="M527" s="6" t="s">
        <v>136</v>
      </c>
      <c r="N527" s="6" t="s">
        <v>89</v>
      </c>
      <c r="O527" s="6" t="s">
        <v>2688</v>
      </c>
      <c r="P527" s="6" t="s">
        <v>5917</v>
      </c>
      <c r="Q527" s="6"/>
      <c r="R527" s="82" t="s">
        <v>91</v>
      </c>
      <c r="S527" s="5" t="s">
        <v>92</v>
      </c>
      <c r="T527" s="5" t="s">
        <v>93</v>
      </c>
      <c r="U527" s="91">
        <v>100</v>
      </c>
      <c r="V527" s="5" t="s">
        <v>94</v>
      </c>
      <c r="W527" s="5" t="s">
        <v>95</v>
      </c>
      <c r="X527" s="5">
        <v>2022</v>
      </c>
      <c r="Y527" s="5" t="s">
        <v>117</v>
      </c>
      <c r="Z527" s="5" t="s">
        <v>95</v>
      </c>
      <c r="AA527" s="5" t="s">
        <v>98</v>
      </c>
      <c r="AB527" s="6" t="s">
        <v>99</v>
      </c>
      <c r="AC527" s="79" t="s">
        <v>5918</v>
      </c>
      <c r="AD527" s="79" t="s">
        <v>5919</v>
      </c>
      <c r="AE527" s="6" t="s">
        <v>5920</v>
      </c>
      <c r="AF527" s="6" t="s">
        <v>121</v>
      </c>
      <c r="AG527" s="6" t="s">
        <v>2346</v>
      </c>
      <c r="AH527" s="6" t="s">
        <v>123</v>
      </c>
      <c r="AI527" s="6" t="s">
        <v>5921</v>
      </c>
      <c r="AJ527" s="6" t="s">
        <v>5922</v>
      </c>
      <c r="AK527" s="33" t="s">
        <v>97</v>
      </c>
      <c r="AL527" s="33" t="s">
        <v>97</v>
      </c>
      <c r="AM527" s="49" t="s">
        <v>221</v>
      </c>
      <c r="AN527" s="49" t="s">
        <v>5892</v>
      </c>
      <c r="AO527" s="49" t="s">
        <v>5923</v>
      </c>
      <c r="AP527" s="5" t="s">
        <v>5924</v>
      </c>
      <c r="AQ527" s="75" t="s">
        <v>3328</v>
      </c>
      <c r="AR527" s="20" t="s">
        <v>97</v>
      </c>
      <c r="AS527" s="20" t="s">
        <v>107</v>
      </c>
      <c r="AT527" s="20"/>
      <c r="AU527" s="24">
        <v>0.05</v>
      </c>
      <c r="AV527" s="24">
        <f t="shared" si="102"/>
        <v>4.0000000000000008E-2</v>
      </c>
      <c r="AW527" s="24">
        <f t="shared" si="103"/>
        <v>0.03</v>
      </c>
      <c r="AX527" s="25">
        <v>1E-4</v>
      </c>
      <c r="AY527" s="24">
        <v>0</v>
      </c>
      <c r="AZ527" s="24">
        <f t="shared" si="109"/>
        <v>4.5000000000000005E-2</v>
      </c>
      <c r="BA527" s="24">
        <f t="shared" si="105"/>
        <v>3.6000000000000004E-2</v>
      </c>
      <c r="BB527" s="24">
        <f t="shared" si="106"/>
        <v>2.7000000000000003E-2</v>
      </c>
      <c r="BC527" s="25">
        <v>1E-4</v>
      </c>
      <c r="BD527" s="24">
        <v>0</v>
      </c>
      <c r="BE527" s="26">
        <v>0</v>
      </c>
      <c r="BF527" s="34">
        <f t="shared" si="107"/>
        <v>0</v>
      </c>
      <c r="BG527" s="34">
        <f t="shared" si="108"/>
        <v>0</v>
      </c>
      <c r="BH527" s="26">
        <v>0</v>
      </c>
      <c r="BI527" s="26">
        <v>0</v>
      </c>
      <c r="BJ527" s="27">
        <v>0.01</v>
      </c>
      <c r="BK527" s="27">
        <v>1.8288733602396676E-2</v>
      </c>
      <c r="BL527" s="27" t="s">
        <v>5925</v>
      </c>
      <c r="BM527" s="27" t="s">
        <v>5926</v>
      </c>
      <c r="BN527" s="26">
        <v>1</v>
      </c>
      <c r="BO527" s="34"/>
      <c r="BP527" s="34"/>
      <c r="BQ527" s="34"/>
      <c r="BR527" s="34"/>
      <c r="BS527" s="34"/>
      <c r="BT527" s="34"/>
      <c r="BU527" s="34"/>
      <c r="BV527" s="34"/>
      <c r="BW527" s="34"/>
      <c r="BX527" s="34"/>
      <c r="BY527" s="34"/>
      <c r="BZ527" s="34"/>
      <c r="CA527" s="20"/>
      <c r="CB527" s="20"/>
      <c r="CC527" s="46">
        <v>46006</v>
      </c>
      <c r="CD527" s="36" t="s">
        <v>5927</v>
      </c>
    </row>
    <row r="528" spans="1:82" s="18" customFormat="1" ht="66.75" customHeight="1" x14ac:dyDescent="0.25">
      <c r="A528" s="87">
        <v>524</v>
      </c>
      <c r="B528" s="141" t="s">
        <v>5928</v>
      </c>
      <c r="C528" s="6" t="s">
        <v>5929</v>
      </c>
      <c r="D528" s="6" t="s">
        <v>5930</v>
      </c>
      <c r="E528" s="75" t="s">
        <v>113</v>
      </c>
      <c r="F528" s="4" t="s">
        <v>81</v>
      </c>
      <c r="G528" s="5" t="s">
        <v>84</v>
      </c>
      <c r="H528" s="6" t="s">
        <v>775</v>
      </c>
      <c r="I528" s="6" t="s">
        <v>3328</v>
      </c>
      <c r="J528" s="6"/>
      <c r="K528" s="6"/>
      <c r="L528" s="6"/>
      <c r="M528" s="6" t="s">
        <v>88</v>
      </c>
      <c r="N528" s="6" t="s">
        <v>89</v>
      </c>
      <c r="O528" s="6" t="s">
        <v>2688</v>
      </c>
      <c r="P528" s="6" t="s">
        <v>5917</v>
      </c>
      <c r="Q528" s="6"/>
      <c r="R528" s="82" t="s">
        <v>175</v>
      </c>
      <c r="S528" s="5" t="s">
        <v>92</v>
      </c>
      <c r="T528" s="5" t="s">
        <v>93</v>
      </c>
      <c r="U528" s="91">
        <v>100</v>
      </c>
      <c r="V528" s="5" t="s">
        <v>94</v>
      </c>
      <c r="W528" s="5" t="s">
        <v>95</v>
      </c>
      <c r="X528" s="5">
        <v>2023</v>
      </c>
      <c r="Y528" s="5" t="s">
        <v>117</v>
      </c>
      <c r="Z528" s="5" t="s">
        <v>95</v>
      </c>
      <c r="AA528" s="5" t="s">
        <v>98</v>
      </c>
      <c r="AB528" s="6" t="s">
        <v>99</v>
      </c>
      <c r="AC528" s="79" t="s">
        <v>5931</v>
      </c>
      <c r="AD528" s="79" t="s">
        <v>5932</v>
      </c>
      <c r="AE528" s="6" t="s">
        <v>5920</v>
      </c>
      <c r="AF528" s="6" t="s">
        <v>121</v>
      </c>
      <c r="AG528" s="6" t="s">
        <v>178</v>
      </c>
      <c r="AH528" s="6" t="s">
        <v>123</v>
      </c>
      <c r="AI528" s="6" t="s">
        <v>5933</v>
      </c>
      <c r="AJ528" s="6" t="s">
        <v>5934</v>
      </c>
      <c r="AK528" s="33" t="s">
        <v>97</v>
      </c>
      <c r="AL528" s="33" t="s">
        <v>97</v>
      </c>
      <c r="AM528" s="5" t="s">
        <v>221</v>
      </c>
      <c r="AN528" s="5"/>
      <c r="AO528" s="5" t="s">
        <v>5935</v>
      </c>
      <c r="AP528" s="5" t="s">
        <v>5936</v>
      </c>
      <c r="AQ528" s="75" t="s">
        <v>3328</v>
      </c>
      <c r="AR528" s="20" t="s">
        <v>97</v>
      </c>
      <c r="AS528" s="20" t="s">
        <v>107</v>
      </c>
      <c r="AT528" s="20"/>
      <c r="AU528" s="24">
        <v>0.1</v>
      </c>
      <c r="AV528" s="24">
        <f t="shared" si="102"/>
        <v>8.0000000000000016E-2</v>
      </c>
      <c r="AW528" s="24">
        <f t="shared" si="103"/>
        <v>0.06</v>
      </c>
      <c r="AX528" s="25">
        <v>1E-4</v>
      </c>
      <c r="AY528" s="24">
        <v>0</v>
      </c>
      <c r="AZ528" s="24">
        <f t="shared" si="109"/>
        <v>9.0000000000000011E-2</v>
      </c>
      <c r="BA528" s="24">
        <f t="shared" si="105"/>
        <v>7.2000000000000008E-2</v>
      </c>
      <c r="BB528" s="24">
        <f t="shared" si="106"/>
        <v>5.4000000000000006E-2</v>
      </c>
      <c r="BC528" s="25">
        <v>1E-4</v>
      </c>
      <c r="BD528" s="24">
        <v>0</v>
      </c>
      <c r="BE528" s="26">
        <v>0</v>
      </c>
      <c r="BF528" s="34">
        <f t="shared" si="107"/>
        <v>0</v>
      </c>
      <c r="BG528" s="34">
        <f t="shared" si="108"/>
        <v>0</v>
      </c>
      <c r="BH528" s="26">
        <v>0</v>
      </c>
      <c r="BI528" s="26">
        <v>0</v>
      </c>
      <c r="BJ528" s="27">
        <v>7.0000000000000001E-3</v>
      </c>
      <c r="BK528" s="27">
        <v>1.0101795625155683E-2</v>
      </c>
      <c r="BL528" s="27" t="s">
        <v>5937</v>
      </c>
      <c r="BM528" s="27" t="s">
        <v>5938</v>
      </c>
      <c r="BN528" s="26"/>
      <c r="BO528" s="34"/>
      <c r="BP528" s="34"/>
      <c r="BQ528" s="34"/>
      <c r="BR528" s="34"/>
      <c r="BS528" s="34"/>
      <c r="BT528" s="34"/>
      <c r="BU528" s="34"/>
      <c r="BV528" s="34"/>
      <c r="BW528" s="34"/>
      <c r="BX528" s="34"/>
      <c r="BY528" s="34"/>
      <c r="BZ528" s="34"/>
      <c r="CA528" s="20"/>
      <c r="CB528" s="20"/>
      <c r="CC528" s="29">
        <v>46003</v>
      </c>
      <c r="CD528" s="42" t="s">
        <v>5939</v>
      </c>
    </row>
    <row r="529" spans="1:82" s="18" customFormat="1" ht="66.75" customHeight="1" x14ac:dyDescent="0.25">
      <c r="A529" s="121">
        <v>525</v>
      </c>
      <c r="B529" s="141" t="s">
        <v>5940</v>
      </c>
      <c r="C529" s="6" t="s">
        <v>5941</v>
      </c>
      <c r="D529" s="6" t="s">
        <v>5942</v>
      </c>
      <c r="E529" s="75" t="s">
        <v>174</v>
      </c>
      <c r="F529" s="4" t="s">
        <v>81</v>
      </c>
      <c r="G529" s="5">
        <v>136</v>
      </c>
      <c r="H529" s="6" t="s">
        <v>775</v>
      </c>
      <c r="I529" s="6" t="s">
        <v>3328</v>
      </c>
      <c r="J529" s="6"/>
      <c r="K529" s="6"/>
      <c r="L529" s="6"/>
      <c r="M529" s="6" t="s">
        <v>136</v>
      </c>
      <c r="N529" s="6" t="s">
        <v>89</v>
      </c>
      <c r="O529" s="6" t="s">
        <v>2688</v>
      </c>
      <c r="P529" s="6" t="s">
        <v>5917</v>
      </c>
      <c r="Q529" s="6"/>
      <c r="R529" s="82" t="s">
        <v>91</v>
      </c>
      <c r="S529" s="5" t="s">
        <v>92</v>
      </c>
      <c r="T529" s="5" t="s">
        <v>93</v>
      </c>
      <c r="U529" s="91">
        <v>100</v>
      </c>
      <c r="V529" s="5" t="s">
        <v>94</v>
      </c>
      <c r="W529" s="5" t="s">
        <v>95</v>
      </c>
      <c r="X529" s="5">
        <v>2022</v>
      </c>
      <c r="Y529" s="5" t="s">
        <v>117</v>
      </c>
      <c r="Z529" s="5" t="s">
        <v>95</v>
      </c>
      <c r="AA529" s="5" t="s">
        <v>98</v>
      </c>
      <c r="AB529" s="6" t="s">
        <v>99</v>
      </c>
      <c r="AC529" s="79" t="s">
        <v>5943</v>
      </c>
      <c r="AD529" s="79" t="s">
        <v>5944</v>
      </c>
      <c r="AE529" s="6" t="s">
        <v>5945</v>
      </c>
      <c r="AF529" s="6" t="s">
        <v>5946</v>
      </c>
      <c r="AG529" s="6" t="s">
        <v>5947</v>
      </c>
      <c r="AH529" s="6" t="s">
        <v>5948</v>
      </c>
      <c r="AI529" s="6" t="s">
        <v>5949</v>
      </c>
      <c r="AJ529" s="6" t="s">
        <v>5950</v>
      </c>
      <c r="AK529" s="33" t="s">
        <v>97</v>
      </c>
      <c r="AL529" s="6" t="s">
        <v>5951</v>
      </c>
      <c r="AM529" s="5"/>
      <c r="AN529" s="5"/>
      <c r="AO529" s="5" t="s">
        <v>5952</v>
      </c>
      <c r="AP529" s="5" t="s">
        <v>5953</v>
      </c>
      <c r="AQ529" s="82" t="s">
        <v>3328</v>
      </c>
      <c r="AR529" s="20" t="s">
        <v>97</v>
      </c>
      <c r="AS529" s="20" t="s">
        <v>107</v>
      </c>
      <c r="AT529" s="20"/>
      <c r="AU529" s="24">
        <v>0.8</v>
      </c>
      <c r="AV529" s="24">
        <f t="shared" si="102"/>
        <v>0.64000000000000012</v>
      </c>
      <c r="AW529" s="24">
        <f t="shared" si="103"/>
        <v>0.48</v>
      </c>
      <c r="AX529" s="25">
        <v>1E-4</v>
      </c>
      <c r="AY529" s="24">
        <v>0</v>
      </c>
      <c r="AZ529" s="24">
        <f t="shared" si="109"/>
        <v>0.72000000000000008</v>
      </c>
      <c r="BA529" s="24">
        <f t="shared" si="105"/>
        <v>0.57600000000000007</v>
      </c>
      <c r="BB529" s="24">
        <f t="shared" si="106"/>
        <v>0.43200000000000005</v>
      </c>
      <c r="BC529" s="25">
        <v>1E-4</v>
      </c>
      <c r="BD529" s="24">
        <v>0</v>
      </c>
      <c r="BE529" s="34">
        <v>30</v>
      </c>
      <c r="BF529" s="34">
        <f t="shared" si="107"/>
        <v>24</v>
      </c>
      <c r="BG529" s="34">
        <f t="shared" si="108"/>
        <v>18</v>
      </c>
      <c r="BH529" s="26">
        <v>1</v>
      </c>
      <c r="BI529" s="26">
        <v>0</v>
      </c>
      <c r="BJ529" s="27">
        <v>0.13100000000000001</v>
      </c>
      <c r="BK529" s="27">
        <v>0.17603786496350365</v>
      </c>
      <c r="BL529" s="27" t="s">
        <v>5954</v>
      </c>
      <c r="BM529" s="27" t="s">
        <v>5955</v>
      </c>
      <c r="BN529" s="26"/>
      <c r="BO529" s="34"/>
      <c r="BP529" s="34"/>
      <c r="BQ529" s="34"/>
      <c r="BR529" s="34"/>
      <c r="BS529" s="34"/>
      <c r="BT529" s="34"/>
      <c r="BU529" s="34"/>
      <c r="BV529" s="34"/>
      <c r="BW529" s="34"/>
      <c r="BX529" s="34"/>
      <c r="BY529" s="34"/>
      <c r="BZ529" s="34"/>
      <c r="CA529" s="20"/>
      <c r="CB529" s="20"/>
      <c r="CC529" s="46">
        <v>46006</v>
      </c>
      <c r="CD529" s="11" t="s">
        <v>5956</v>
      </c>
    </row>
    <row r="530" spans="1:82" s="18" customFormat="1" ht="66.75" customHeight="1" x14ac:dyDescent="0.25">
      <c r="A530" s="87">
        <v>526</v>
      </c>
      <c r="B530" s="142" t="s">
        <v>5957</v>
      </c>
      <c r="C530" s="2" t="s">
        <v>5958</v>
      </c>
      <c r="D530" s="2" t="s">
        <v>5959</v>
      </c>
      <c r="E530" s="19" t="s">
        <v>113</v>
      </c>
      <c r="F530" s="12" t="s">
        <v>81</v>
      </c>
      <c r="G530" s="7">
        <v>112</v>
      </c>
      <c r="H530" s="2" t="s">
        <v>775</v>
      </c>
      <c r="I530" s="2" t="s">
        <v>3328</v>
      </c>
      <c r="J530" s="2"/>
      <c r="K530" s="2"/>
      <c r="L530" s="2"/>
      <c r="M530" s="2" t="s">
        <v>136</v>
      </c>
      <c r="N530" s="2" t="s">
        <v>89</v>
      </c>
      <c r="O530" s="2" t="s">
        <v>579</v>
      </c>
      <c r="P530" s="2" t="s">
        <v>3122</v>
      </c>
      <c r="Q530" s="2"/>
      <c r="R530" s="11" t="s">
        <v>175</v>
      </c>
      <c r="S530" s="5" t="s">
        <v>92</v>
      </c>
      <c r="T530" s="7" t="s">
        <v>93</v>
      </c>
      <c r="U530" s="181">
        <v>100</v>
      </c>
      <c r="V530" s="7" t="s">
        <v>94</v>
      </c>
      <c r="W530" s="7" t="s">
        <v>95</v>
      </c>
      <c r="X530" s="7">
        <v>2023</v>
      </c>
      <c r="Y530" s="7" t="s">
        <v>117</v>
      </c>
      <c r="Z530" s="7" t="s">
        <v>95</v>
      </c>
      <c r="AA530" s="7" t="s">
        <v>98</v>
      </c>
      <c r="AB530" s="2" t="s">
        <v>99</v>
      </c>
      <c r="AC530" s="31" t="s">
        <v>5960</v>
      </c>
      <c r="AD530" s="31" t="s">
        <v>5961</v>
      </c>
      <c r="AE530" s="21" t="s">
        <v>3507</v>
      </c>
      <c r="AF530" s="21" t="s">
        <v>5962</v>
      </c>
      <c r="AG530" s="21" t="s">
        <v>1042</v>
      </c>
      <c r="AH530" s="21" t="s">
        <v>5963</v>
      </c>
      <c r="AI530" s="21" t="s">
        <v>3509</v>
      </c>
      <c r="AJ530" s="21" t="s">
        <v>3520</v>
      </c>
      <c r="AK530" s="20" t="s">
        <v>97</v>
      </c>
      <c r="AL530" s="7" t="s">
        <v>5964</v>
      </c>
      <c r="AM530" s="7"/>
      <c r="AN530" s="7"/>
      <c r="AO530" s="7" t="s">
        <v>5965</v>
      </c>
      <c r="AP530" s="7" t="s">
        <v>5966</v>
      </c>
      <c r="AQ530" s="19" t="s">
        <v>3328</v>
      </c>
      <c r="AR530" s="20" t="s">
        <v>97</v>
      </c>
      <c r="AS530" s="20" t="s">
        <v>107</v>
      </c>
      <c r="AT530" s="20"/>
      <c r="AU530" s="24">
        <v>0.8</v>
      </c>
      <c r="AV530" s="24">
        <f t="shared" si="102"/>
        <v>0.64000000000000012</v>
      </c>
      <c r="AW530" s="24">
        <f t="shared" si="103"/>
        <v>0.48</v>
      </c>
      <c r="AX530" s="25">
        <v>1E-4</v>
      </c>
      <c r="AY530" s="24">
        <v>0</v>
      </c>
      <c r="AZ530" s="24">
        <f t="shared" si="109"/>
        <v>0.72000000000000008</v>
      </c>
      <c r="BA530" s="24">
        <f t="shared" si="105"/>
        <v>0.57600000000000007</v>
      </c>
      <c r="BB530" s="24">
        <f t="shared" si="106"/>
        <v>0.43200000000000005</v>
      </c>
      <c r="BC530" s="25">
        <v>1E-4</v>
      </c>
      <c r="BD530" s="24">
        <v>0</v>
      </c>
      <c r="BE530" s="26">
        <v>0</v>
      </c>
      <c r="BF530" s="34">
        <f t="shared" si="107"/>
        <v>0</v>
      </c>
      <c r="BG530" s="34">
        <f t="shared" si="108"/>
        <v>0</v>
      </c>
      <c r="BH530" s="26">
        <v>0</v>
      </c>
      <c r="BI530" s="26">
        <v>0</v>
      </c>
      <c r="BJ530" s="20" t="s">
        <v>496</v>
      </c>
      <c r="BK530" s="27">
        <v>0.78350515463917525</v>
      </c>
      <c r="BL530" s="27" t="s">
        <v>3513</v>
      </c>
      <c r="BM530" s="27" t="s">
        <v>5967</v>
      </c>
      <c r="BN530" s="26"/>
      <c r="BO530" s="34"/>
      <c r="BP530" s="34"/>
      <c r="BQ530" s="34"/>
      <c r="BR530" s="34"/>
      <c r="BS530" s="34"/>
      <c r="BT530" s="34"/>
      <c r="BU530" s="34"/>
      <c r="BV530" s="34"/>
      <c r="BW530" s="34"/>
      <c r="BX530" s="34"/>
      <c r="BY530" s="34"/>
      <c r="BZ530" s="34"/>
      <c r="CA530" s="20"/>
      <c r="CB530" s="20"/>
      <c r="CC530" s="29">
        <v>46006</v>
      </c>
      <c r="CD530" s="19" t="s">
        <v>5968</v>
      </c>
    </row>
    <row r="531" spans="1:82" s="18" customFormat="1" ht="66.75" customHeight="1" x14ac:dyDescent="0.25">
      <c r="A531" s="87">
        <v>527</v>
      </c>
      <c r="B531" s="141" t="s">
        <v>5969</v>
      </c>
      <c r="C531" s="6" t="s">
        <v>7382</v>
      </c>
      <c r="D531" s="6" t="s">
        <v>5970</v>
      </c>
      <c r="E531" s="75" t="s">
        <v>113</v>
      </c>
      <c r="F531" s="4" t="s">
        <v>81</v>
      </c>
      <c r="G531" s="5" t="s">
        <v>84</v>
      </c>
      <c r="H531" s="6" t="s">
        <v>775</v>
      </c>
      <c r="I531" s="6" t="s">
        <v>3313</v>
      </c>
      <c r="J531" s="6"/>
      <c r="K531" s="6"/>
      <c r="L531" s="6"/>
      <c r="M531" s="6" t="s">
        <v>88</v>
      </c>
      <c r="N531" s="6" t="s">
        <v>89</v>
      </c>
      <c r="O531" s="6" t="s">
        <v>1520</v>
      </c>
      <c r="P531" s="6" t="s">
        <v>3412</v>
      </c>
      <c r="Q531" s="6"/>
      <c r="R531" s="82" t="s">
        <v>91</v>
      </c>
      <c r="S531" s="5" t="s">
        <v>92</v>
      </c>
      <c r="T531" s="5" t="s">
        <v>93</v>
      </c>
      <c r="U531" s="91">
        <v>100</v>
      </c>
      <c r="V531" s="5" t="s">
        <v>94</v>
      </c>
      <c r="W531" s="5" t="s">
        <v>95</v>
      </c>
      <c r="X531" s="5">
        <v>2023</v>
      </c>
      <c r="Y531" s="5" t="s">
        <v>117</v>
      </c>
      <c r="Z531" s="5" t="s">
        <v>95</v>
      </c>
      <c r="AA531" s="5" t="s">
        <v>1011</v>
      </c>
      <c r="AB531" s="6" t="s">
        <v>99</v>
      </c>
      <c r="AC531" s="79" t="s">
        <v>5971</v>
      </c>
      <c r="AD531" s="79" t="s">
        <v>5972</v>
      </c>
      <c r="AE531" s="49" t="s">
        <v>3415</v>
      </c>
      <c r="AF531" s="49" t="s">
        <v>121</v>
      </c>
      <c r="AG531" s="49" t="s">
        <v>1600</v>
      </c>
      <c r="AH531" s="6" t="s">
        <v>123</v>
      </c>
      <c r="AI531" s="49" t="s">
        <v>5973</v>
      </c>
      <c r="AJ531" s="49" t="s">
        <v>5974</v>
      </c>
      <c r="AK531" s="33" t="s">
        <v>97</v>
      </c>
      <c r="AL531" s="33" t="s">
        <v>97</v>
      </c>
      <c r="AM531" s="5" t="s">
        <v>221</v>
      </c>
      <c r="AN531" s="5" t="s">
        <v>470</v>
      </c>
      <c r="AO531" s="5" t="s">
        <v>5975</v>
      </c>
      <c r="AP531" s="5" t="s">
        <v>5976</v>
      </c>
      <c r="AQ531" s="49" t="s">
        <v>3360</v>
      </c>
      <c r="AR531" s="20" t="s">
        <v>97</v>
      </c>
      <c r="AS531" s="20" t="s">
        <v>107</v>
      </c>
      <c r="AT531" s="20"/>
      <c r="AU531" s="24">
        <v>0.3</v>
      </c>
      <c r="AV531" s="24">
        <f t="shared" si="102"/>
        <v>0.24</v>
      </c>
      <c r="AW531" s="24">
        <f t="shared" si="103"/>
        <v>0.18</v>
      </c>
      <c r="AX531" s="25">
        <v>1E-4</v>
      </c>
      <c r="AY531" s="24">
        <v>0</v>
      </c>
      <c r="AZ531" s="24">
        <f t="shared" si="109"/>
        <v>0.27</v>
      </c>
      <c r="BA531" s="24">
        <f t="shared" si="105"/>
        <v>0.21600000000000003</v>
      </c>
      <c r="BB531" s="24">
        <f t="shared" si="106"/>
        <v>0.16200000000000001</v>
      </c>
      <c r="BC531" s="25">
        <v>1E-4</v>
      </c>
      <c r="BD531" s="24">
        <v>0</v>
      </c>
      <c r="BE531" s="26">
        <v>0</v>
      </c>
      <c r="BF531" s="34">
        <f t="shared" si="107"/>
        <v>0</v>
      </c>
      <c r="BG531" s="34">
        <f t="shared" si="108"/>
        <v>0</v>
      </c>
      <c r="BH531" s="26">
        <v>0</v>
      </c>
      <c r="BI531" s="26">
        <v>0</v>
      </c>
      <c r="BJ531" s="27">
        <v>4.4999999999999998E-2</v>
      </c>
      <c r="BK531" s="27">
        <v>9.784329746974009E-2</v>
      </c>
      <c r="BL531" s="27" t="s">
        <v>5977</v>
      </c>
      <c r="BM531" s="27" t="s">
        <v>5978</v>
      </c>
      <c r="BN531" s="26"/>
      <c r="BO531" s="34"/>
      <c r="BP531" s="34"/>
      <c r="BQ531" s="34"/>
      <c r="BR531" s="34"/>
      <c r="BS531" s="34"/>
      <c r="BT531" s="34"/>
      <c r="BU531" s="34"/>
      <c r="BV531" s="34"/>
      <c r="BW531" s="34"/>
      <c r="BX531" s="34"/>
      <c r="BY531" s="34"/>
      <c r="BZ531" s="34"/>
      <c r="CA531" s="20"/>
      <c r="CB531" s="20"/>
      <c r="CC531" s="46">
        <v>46006</v>
      </c>
      <c r="CD531" s="36" t="s">
        <v>7360</v>
      </c>
    </row>
    <row r="532" spans="1:82" s="18" customFormat="1" ht="97.5" customHeight="1" x14ac:dyDescent="0.25">
      <c r="A532" s="121">
        <v>528</v>
      </c>
      <c r="B532" s="141" t="s">
        <v>5979</v>
      </c>
      <c r="C532" s="6" t="s">
        <v>7381</v>
      </c>
      <c r="D532" s="6" t="s">
        <v>5980</v>
      </c>
      <c r="E532" s="75" t="s">
        <v>113</v>
      </c>
      <c r="F532" s="4" t="s">
        <v>81</v>
      </c>
      <c r="G532" s="5" t="s">
        <v>84</v>
      </c>
      <c r="H532" s="6" t="s">
        <v>775</v>
      </c>
      <c r="I532" s="6" t="s">
        <v>3313</v>
      </c>
      <c r="J532" s="6"/>
      <c r="K532" s="6"/>
      <c r="L532" s="6"/>
      <c r="M532" s="6" t="s">
        <v>136</v>
      </c>
      <c r="N532" s="6" t="s">
        <v>89</v>
      </c>
      <c r="O532" s="6" t="s">
        <v>579</v>
      </c>
      <c r="P532" s="6" t="s">
        <v>5981</v>
      </c>
      <c r="Q532" s="6"/>
      <c r="R532" s="82" t="s">
        <v>91</v>
      </c>
      <c r="S532" s="5" t="s">
        <v>92</v>
      </c>
      <c r="T532" s="5" t="s">
        <v>93</v>
      </c>
      <c r="U532" s="91">
        <v>100</v>
      </c>
      <c r="V532" s="5" t="s">
        <v>94</v>
      </c>
      <c r="W532" s="5" t="s">
        <v>95</v>
      </c>
      <c r="X532" s="5">
        <v>2024</v>
      </c>
      <c r="Y532" s="5" t="s">
        <v>117</v>
      </c>
      <c r="Z532" s="5" t="s">
        <v>95</v>
      </c>
      <c r="AA532" s="5" t="s">
        <v>1011</v>
      </c>
      <c r="AB532" s="6" t="s">
        <v>99</v>
      </c>
      <c r="AC532" s="79" t="s">
        <v>5982</v>
      </c>
      <c r="AD532" s="79" t="s">
        <v>5983</v>
      </c>
      <c r="AE532" s="49" t="s">
        <v>5984</v>
      </c>
      <c r="AF532" s="49" t="s">
        <v>5985</v>
      </c>
      <c r="AG532" s="49" t="s">
        <v>3112</v>
      </c>
      <c r="AH532" s="49" t="s">
        <v>3113</v>
      </c>
      <c r="AI532" s="49" t="s">
        <v>5986</v>
      </c>
      <c r="AJ532" s="49" t="s">
        <v>5987</v>
      </c>
      <c r="AK532" s="33" t="s">
        <v>5988</v>
      </c>
      <c r="AL532" s="6" t="s">
        <v>5989</v>
      </c>
      <c r="AM532" s="5"/>
      <c r="AN532" s="5"/>
      <c r="AO532" s="5" t="s">
        <v>5990</v>
      </c>
      <c r="AP532" s="5" t="s">
        <v>5991</v>
      </c>
      <c r="AQ532" s="49" t="s">
        <v>3360</v>
      </c>
      <c r="AR532" s="20" t="s">
        <v>97</v>
      </c>
      <c r="AS532" s="20" t="s">
        <v>107</v>
      </c>
      <c r="AT532" s="20"/>
      <c r="AU532" s="24">
        <v>0.6</v>
      </c>
      <c r="AV532" s="24">
        <f t="shared" si="102"/>
        <v>0.48</v>
      </c>
      <c r="AW532" s="24">
        <f t="shared" si="103"/>
        <v>0.36</v>
      </c>
      <c r="AX532" s="25">
        <v>1E-4</v>
      </c>
      <c r="AY532" s="24">
        <v>0</v>
      </c>
      <c r="AZ532" s="24">
        <f t="shared" si="109"/>
        <v>0.54</v>
      </c>
      <c r="BA532" s="24">
        <f t="shared" si="105"/>
        <v>0.43200000000000005</v>
      </c>
      <c r="BB532" s="24">
        <f t="shared" si="106"/>
        <v>0.32400000000000001</v>
      </c>
      <c r="BC532" s="25">
        <v>1E-4</v>
      </c>
      <c r="BD532" s="24">
        <v>0</v>
      </c>
      <c r="BE532" s="26">
        <v>0</v>
      </c>
      <c r="BF532" s="34">
        <f t="shared" si="107"/>
        <v>0</v>
      </c>
      <c r="BG532" s="34">
        <f t="shared" si="108"/>
        <v>0</v>
      </c>
      <c r="BH532" s="26">
        <v>0</v>
      </c>
      <c r="BI532" s="26">
        <v>0</v>
      </c>
      <c r="BJ532" s="20" t="s">
        <v>496</v>
      </c>
      <c r="BK532" s="20" t="s">
        <v>496</v>
      </c>
      <c r="BL532" s="27" t="s">
        <v>5992</v>
      </c>
      <c r="BM532" s="27" t="s">
        <v>5993</v>
      </c>
      <c r="BN532" s="26"/>
      <c r="BO532" s="34"/>
      <c r="BP532" s="34"/>
      <c r="BQ532" s="34"/>
      <c r="BR532" s="34"/>
      <c r="BS532" s="34"/>
      <c r="BT532" s="34"/>
      <c r="BU532" s="34"/>
      <c r="BV532" s="34"/>
      <c r="BW532" s="34"/>
      <c r="BX532" s="34"/>
      <c r="BY532" s="34"/>
      <c r="BZ532" s="34"/>
      <c r="CA532" s="20"/>
      <c r="CB532" s="20"/>
      <c r="CC532" s="46">
        <v>46006</v>
      </c>
      <c r="CD532" s="11" t="s">
        <v>5994</v>
      </c>
    </row>
    <row r="533" spans="1:82" s="167" customFormat="1" ht="93.75" customHeight="1" x14ac:dyDescent="0.25">
      <c r="A533" s="87">
        <v>529</v>
      </c>
      <c r="B533" s="141" t="s">
        <v>5995</v>
      </c>
      <c r="C533" s="6" t="s">
        <v>5996</v>
      </c>
      <c r="D533" s="6" t="s">
        <v>5997</v>
      </c>
      <c r="E533" s="75" t="s">
        <v>113</v>
      </c>
      <c r="F533" s="4" t="s">
        <v>81</v>
      </c>
      <c r="G533" s="5">
        <v>118</v>
      </c>
      <c r="H533" s="6" t="s">
        <v>775</v>
      </c>
      <c r="I533" s="6" t="s">
        <v>3313</v>
      </c>
      <c r="J533" s="6"/>
      <c r="K533" s="6"/>
      <c r="L533" s="6"/>
      <c r="M533" s="6" t="s">
        <v>136</v>
      </c>
      <c r="N533" s="6" t="s">
        <v>89</v>
      </c>
      <c r="O533" s="6" t="s">
        <v>579</v>
      </c>
      <c r="P533" s="6" t="s">
        <v>3122</v>
      </c>
      <c r="Q533" s="6"/>
      <c r="R533" s="82" t="s">
        <v>91</v>
      </c>
      <c r="S533" s="5" t="s">
        <v>92</v>
      </c>
      <c r="T533" s="5" t="s">
        <v>93</v>
      </c>
      <c r="U533" s="91">
        <v>100</v>
      </c>
      <c r="V533" s="5" t="s">
        <v>94</v>
      </c>
      <c r="W533" s="5" t="s">
        <v>95</v>
      </c>
      <c r="X533" s="5">
        <v>2022</v>
      </c>
      <c r="Y533" s="5" t="s">
        <v>117</v>
      </c>
      <c r="Z533" s="5" t="s">
        <v>95</v>
      </c>
      <c r="AA533" s="5" t="s">
        <v>1011</v>
      </c>
      <c r="AB533" s="6" t="s">
        <v>99</v>
      </c>
      <c r="AC533" s="79" t="s">
        <v>5998</v>
      </c>
      <c r="AD533" s="97" t="s">
        <v>5999</v>
      </c>
      <c r="AE533" s="47" t="s">
        <v>6000</v>
      </c>
      <c r="AF533" s="47" t="s">
        <v>6001</v>
      </c>
      <c r="AG533" s="6" t="s">
        <v>3112</v>
      </c>
      <c r="AH533" s="6" t="s">
        <v>3113</v>
      </c>
      <c r="AI533" s="6" t="s">
        <v>6002</v>
      </c>
      <c r="AJ533" s="6" t="s">
        <v>6003</v>
      </c>
      <c r="AK533" s="33" t="s">
        <v>97</v>
      </c>
      <c r="AL533" s="39" t="s">
        <v>6004</v>
      </c>
      <c r="AM533" s="6"/>
      <c r="AN533" s="5"/>
      <c r="AO533" s="5" t="s">
        <v>6005</v>
      </c>
      <c r="AP533" s="5" t="s">
        <v>6006</v>
      </c>
      <c r="AQ533" s="49" t="s">
        <v>3360</v>
      </c>
      <c r="AR533" s="20" t="s">
        <v>97</v>
      </c>
      <c r="AS533" s="20" t="s">
        <v>107</v>
      </c>
      <c r="AT533" s="20"/>
      <c r="AU533" s="24">
        <v>0.6</v>
      </c>
      <c r="AV533" s="24">
        <f t="shared" si="102"/>
        <v>0.48</v>
      </c>
      <c r="AW533" s="24">
        <f t="shared" si="103"/>
        <v>0.36</v>
      </c>
      <c r="AX533" s="25">
        <v>1E-4</v>
      </c>
      <c r="AY533" s="24">
        <v>0</v>
      </c>
      <c r="AZ533" s="24">
        <f t="shared" si="109"/>
        <v>0.54</v>
      </c>
      <c r="BA533" s="24">
        <f t="shared" si="105"/>
        <v>0.43200000000000005</v>
      </c>
      <c r="BB533" s="24">
        <f t="shared" si="106"/>
        <v>0.32400000000000001</v>
      </c>
      <c r="BC533" s="25">
        <v>1E-4</v>
      </c>
      <c r="BD533" s="24">
        <v>0</v>
      </c>
      <c r="BE533" s="26">
        <v>0</v>
      </c>
      <c r="BF533" s="34">
        <f t="shared" si="107"/>
        <v>0</v>
      </c>
      <c r="BG533" s="34">
        <f t="shared" si="108"/>
        <v>0</v>
      </c>
      <c r="BH533" s="26">
        <v>0</v>
      </c>
      <c r="BI533" s="26">
        <v>0</v>
      </c>
      <c r="BJ533" s="27">
        <v>2.9000000000000001E-2</v>
      </c>
      <c r="BK533" s="27">
        <v>3.7955073586367155E-2</v>
      </c>
      <c r="BL533" s="27" t="s">
        <v>3003</v>
      </c>
      <c r="BM533" s="27" t="s">
        <v>6007</v>
      </c>
      <c r="BN533" s="26"/>
      <c r="BO533" s="34"/>
      <c r="BP533" s="34"/>
      <c r="BQ533" s="34"/>
      <c r="BR533" s="34"/>
      <c r="BS533" s="34"/>
      <c r="BT533" s="34"/>
      <c r="BU533" s="34"/>
      <c r="BV533" s="34"/>
      <c r="BW533" s="34"/>
      <c r="BX533" s="34"/>
      <c r="BY533" s="34"/>
      <c r="BZ533" s="34"/>
      <c r="CA533" s="20"/>
      <c r="CB533" s="20"/>
      <c r="CC533" s="46">
        <v>46045</v>
      </c>
      <c r="CD533" s="11" t="s">
        <v>7341</v>
      </c>
    </row>
    <row r="534" spans="1:82" ht="108.75" customHeight="1" x14ac:dyDescent="0.25">
      <c r="A534" s="87">
        <v>530</v>
      </c>
      <c r="B534" s="141" t="s">
        <v>6008</v>
      </c>
      <c r="C534" s="6" t="s">
        <v>6009</v>
      </c>
      <c r="D534" s="6" t="s">
        <v>6010</v>
      </c>
      <c r="E534" s="75" t="s">
        <v>113</v>
      </c>
      <c r="F534" s="4" t="s">
        <v>81</v>
      </c>
      <c r="G534" s="5" t="s">
        <v>84</v>
      </c>
      <c r="H534" s="6" t="s">
        <v>775</v>
      </c>
      <c r="I534" s="6" t="s">
        <v>3313</v>
      </c>
      <c r="J534" s="6"/>
      <c r="K534" s="6"/>
      <c r="L534" s="6"/>
      <c r="M534" s="6" t="s">
        <v>88</v>
      </c>
      <c r="N534" s="6" t="s">
        <v>89</v>
      </c>
      <c r="O534" s="6" t="s">
        <v>579</v>
      </c>
      <c r="P534" s="6" t="s">
        <v>3122</v>
      </c>
      <c r="Q534" s="6"/>
      <c r="R534" s="15" t="s">
        <v>91</v>
      </c>
      <c r="S534" s="5" t="s">
        <v>92</v>
      </c>
      <c r="T534" s="5" t="s">
        <v>93</v>
      </c>
      <c r="U534" s="91">
        <v>100</v>
      </c>
      <c r="V534" s="5" t="s">
        <v>94</v>
      </c>
      <c r="W534" s="5" t="s">
        <v>95</v>
      </c>
      <c r="X534" s="5">
        <v>2022</v>
      </c>
      <c r="Y534" s="5" t="s">
        <v>117</v>
      </c>
      <c r="Z534" s="5" t="s">
        <v>95</v>
      </c>
      <c r="AA534" s="5" t="s">
        <v>1011</v>
      </c>
      <c r="AB534" s="6" t="s">
        <v>99</v>
      </c>
      <c r="AC534" s="79" t="s">
        <v>6011</v>
      </c>
      <c r="AD534" s="79" t="s">
        <v>7464</v>
      </c>
      <c r="AE534" s="204" t="s">
        <v>3463</v>
      </c>
      <c r="AF534" s="42" t="s">
        <v>6012</v>
      </c>
      <c r="AG534" s="6" t="s">
        <v>1042</v>
      </c>
      <c r="AH534" s="6" t="s">
        <v>3113</v>
      </c>
      <c r="AI534" s="6" t="s">
        <v>6013</v>
      </c>
      <c r="AJ534" s="6" t="s">
        <v>6014</v>
      </c>
      <c r="AK534" s="33" t="s">
        <v>97</v>
      </c>
      <c r="AL534" s="39" t="s">
        <v>97</v>
      </c>
      <c r="AM534" s="6"/>
      <c r="AN534" s="5"/>
      <c r="AO534" s="5" t="s">
        <v>6015</v>
      </c>
      <c r="AP534" s="5" t="s">
        <v>6016</v>
      </c>
      <c r="AQ534" s="49" t="s">
        <v>3360</v>
      </c>
      <c r="AR534" s="20" t="s">
        <v>97</v>
      </c>
      <c r="AS534" s="20" t="s">
        <v>107</v>
      </c>
      <c r="AT534" s="20"/>
      <c r="AU534" s="24">
        <v>0.7</v>
      </c>
      <c r="AV534" s="24">
        <f t="shared" si="102"/>
        <v>0.55999999999999994</v>
      </c>
      <c r="AW534" s="24">
        <f t="shared" si="103"/>
        <v>0.42</v>
      </c>
      <c r="AX534" s="25">
        <v>1E-4</v>
      </c>
      <c r="AY534" s="24">
        <v>0</v>
      </c>
      <c r="AZ534" s="24">
        <f t="shared" si="109"/>
        <v>0.63</v>
      </c>
      <c r="BA534" s="24">
        <f t="shared" si="105"/>
        <v>0.504</v>
      </c>
      <c r="BB534" s="24">
        <f t="shared" si="106"/>
        <v>0.378</v>
      </c>
      <c r="BC534" s="25">
        <v>1E-4</v>
      </c>
      <c r="BD534" s="24">
        <v>0</v>
      </c>
      <c r="BE534" s="26">
        <v>0</v>
      </c>
      <c r="BF534" s="34">
        <f t="shared" si="107"/>
        <v>0</v>
      </c>
      <c r="BG534" s="34">
        <f t="shared" si="108"/>
        <v>0</v>
      </c>
      <c r="BH534" s="26">
        <v>0</v>
      </c>
      <c r="BI534" s="26">
        <v>0</v>
      </c>
      <c r="BJ534" s="27">
        <v>6.9000000000000006E-2</v>
      </c>
      <c r="BK534" s="27">
        <v>0.19694397283531409</v>
      </c>
      <c r="BL534" s="27" t="s">
        <v>6017</v>
      </c>
      <c r="BM534" s="27" t="s">
        <v>6018</v>
      </c>
      <c r="BN534" s="26"/>
      <c r="BO534" s="34"/>
      <c r="BP534" s="34"/>
      <c r="BQ534" s="34"/>
      <c r="BR534" s="34"/>
      <c r="BS534" s="34"/>
      <c r="BT534" s="34"/>
      <c r="BU534" s="34"/>
      <c r="BV534" s="34"/>
      <c r="BW534" s="34"/>
      <c r="BX534" s="34"/>
      <c r="BY534" s="34"/>
      <c r="BZ534" s="34"/>
      <c r="CA534" s="20"/>
      <c r="CB534" s="20"/>
      <c r="CC534" s="46">
        <v>46045</v>
      </c>
      <c r="CD534" s="36" t="s">
        <v>7342</v>
      </c>
    </row>
    <row r="535" spans="1:82" s="18" customFormat="1" ht="107.25" customHeight="1" x14ac:dyDescent="0.25">
      <c r="A535" s="121">
        <v>531</v>
      </c>
      <c r="B535" s="141" t="s">
        <v>6019</v>
      </c>
      <c r="C535" s="6" t="s">
        <v>6020</v>
      </c>
      <c r="D535" s="6" t="s">
        <v>6021</v>
      </c>
      <c r="E535" s="75" t="s">
        <v>174</v>
      </c>
      <c r="F535" s="4" t="s">
        <v>81</v>
      </c>
      <c r="G535" s="5">
        <v>130</v>
      </c>
      <c r="H535" s="6" t="s">
        <v>775</v>
      </c>
      <c r="I535" s="6" t="s">
        <v>2901</v>
      </c>
      <c r="J535" s="6"/>
      <c r="K535" s="6"/>
      <c r="L535" s="6"/>
      <c r="M535" s="6" t="s">
        <v>136</v>
      </c>
      <c r="N535" s="6" t="s">
        <v>89</v>
      </c>
      <c r="O535" s="6" t="s">
        <v>2688</v>
      </c>
      <c r="P535" s="6" t="s">
        <v>6022</v>
      </c>
      <c r="Q535" s="6"/>
      <c r="R535" s="82" t="s">
        <v>91</v>
      </c>
      <c r="S535" s="5" t="s">
        <v>92</v>
      </c>
      <c r="T535" s="5" t="s">
        <v>93</v>
      </c>
      <c r="U535" s="91">
        <v>100</v>
      </c>
      <c r="V535" s="5" t="s">
        <v>94</v>
      </c>
      <c r="W535" s="5" t="s">
        <v>95</v>
      </c>
      <c r="X535" s="5">
        <v>2021</v>
      </c>
      <c r="Y535" s="5" t="s">
        <v>117</v>
      </c>
      <c r="Z535" s="5" t="s">
        <v>95</v>
      </c>
      <c r="AA535" s="5" t="s">
        <v>973</v>
      </c>
      <c r="AB535" s="6" t="s">
        <v>99</v>
      </c>
      <c r="AC535" s="79" t="s">
        <v>6023</v>
      </c>
      <c r="AD535" s="79" t="s">
        <v>6024</v>
      </c>
      <c r="AE535" s="6" t="s">
        <v>6025</v>
      </c>
      <c r="AF535" s="49" t="s">
        <v>121</v>
      </c>
      <c r="AG535" s="49" t="s">
        <v>1600</v>
      </c>
      <c r="AH535" s="49" t="s">
        <v>123</v>
      </c>
      <c r="AI535" s="49" t="s">
        <v>6026</v>
      </c>
      <c r="AJ535" s="49" t="s">
        <v>6027</v>
      </c>
      <c r="AK535" s="6" t="s">
        <v>6028</v>
      </c>
      <c r="AL535" s="5" t="s">
        <v>97</v>
      </c>
      <c r="AM535" s="5" t="s">
        <v>6029</v>
      </c>
      <c r="AN535" s="5" t="s">
        <v>6030</v>
      </c>
      <c r="AO535" s="5" t="s">
        <v>6031</v>
      </c>
      <c r="AP535" s="5" t="s">
        <v>6032</v>
      </c>
      <c r="AQ535" s="75" t="s">
        <v>2901</v>
      </c>
      <c r="AR535" s="20" t="s">
        <v>97</v>
      </c>
      <c r="AS535" s="20" t="s">
        <v>107</v>
      </c>
      <c r="AT535" s="20"/>
      <c r="AU535" s="24">
        <v>0.85</v>
      </c>
      <c r="AV535" s="24">
        <f t="shared" si="102"/>
        <v>0.68</v>
      </c>
      <c r="AW535" s="24">
        <f t="shared" si="103"/>
        <v>0.51</v>
      </c>
      <c r="AX535" s="25">
        <v>1E-4</v>
      </c>
      <c r="AY535" s="24">
        <v>0</v>
      </c>
      <c r="AZ535" s="24">
        <f t="shared" si="109"/>
        <v>0.76500000000000001</v>
      </c>
      <c r="BA535" s="24">
        <f t="shared" si="105"/>
        <v>0.6120000000000001</v>
      </c>
      <c r="BB535" s="24">
        <f t="shared" si="106"/>
        <v>0.45899999999999996</v>
      </c>
      <c r="BC535" s="25">
        <v>1E-4</v>
      </c>
      <c r="BD535" s="24">
        <v>0</v>
      </c>
      <c r="BE535" s="26">
        <v>20</v>
      </c>
      <c r="BF535" s="34">
        <f t="shared" si="107"/>
        <v>16</v>
      </c>
      <c r="BG535" s="34">
        <f t="shared" si="108"/>
        <v>12</v>
      </c>
      <c r="BH535" s="26">
        <v>1</v>
      </c>
      <c r="BI535" s="26">
        <v>0</v>
      </c>
      <c r="BJ535" s="27">
        <v>0.53900000000000003</v>
      </c>
      <c r="BK535" s="27">
        <v>0.52350963008254359</v>
      </c>
      <c r="BL535" s="27" t="s">
        <v>6033</v>
      </c>
      <c r="BM535" s="27" t="s">
        <v>6033</v>
      </c>
      <c r="BN535" s="26"/>
      <c r="BO535" s="34"/>
      <c r="BP535" s="34"/>
      <c r="BQ535" s="34">
        <v>1</v>
      </c>
      <c r="BR535" s="34"/>
      <c r="BS535" s="34"/>
      <c r="BT535" s="34"/>
      <c r="BU535" s="34"/>
      <c r="BV535" s="34"/>
      <c r="BW535" s="34"/>
      <c r="BX535" s="34">
        <v>1</v>
      </c>
      <c r="BY535" s="34"/>
      <c r="BZ535" s="34"/>
      <c r="CA535" s="20"/>
      <c r="CB535" s="20"/>
      <c r="CC535" s="46">
        <v>46003</v>
      </c>
      <c r="CD535" s="11" t="s">
        <v>6034</v>
      </c>
    </row>
    <row r="536" spans="1:82" s="116" customFormat="1" ht="149.25" customHeight="1" x14ac:dyDescent="0.25">
      <c r="A536" s="87">
        <v>532</v>
      </c>
      <c r="B536" s="141" t="s">
        <v>6035</v>
      </c>
      <c r="C536" s="6" t="s">
        <v>6036</v>
      </c>
      <c r="D536" s="6" t="s">
        <v>6037</v>
      </c>
      <c r="E536" s="75" t="s">
        <v>174</v>
      </c>
      <c r="F536" s="4" t="s">
        <v>81</v>
      </c>
      <c r="G536" s="5" t="s">
        <v>84</v>
      </c>
      <c r="H536" s="6" t="s">
        <v>775</v>
      </c>
      <c r="I536" s="6" t="s">
        <v>2901</v>
      </c>
      <c r="J536" s="6"/>
      <c r="K536" s="6"/>
      <c r="L536" s="6"/>
      <c r="M536" s="6" t="s">
        <v>88</v>
      </c>
      <c r="N536" s="6" t="s">
        <v>89</v>
      </c>
      <c r="O536" s="6" t="s">
        <v>2688</v>
      </c>
      <c r="P536" s="6" t="s">
        <v>3234</v>
      </c>
      <c r="Q536" s="6"/>
      <c r="R536" s="82" t="s">
        <v>175</v>
      </c>
      <c r="S536" s="5" t="s">
        <v>92</v>
      </c>
      <c r="T536" s="5" t="s">
        <v>93</v>
      </c>
      <c r="U536" s="91">
        <v>100</v>
      </c>
      <c r="V536" s="5" t="s">
        <v>94</v>
      </c>
      <c r="W536" s="5" t="s">
        <v>95</v>
      </c>
      <c r="X536" s="5">
        <v>2021</v>
      </c>
      <c r="Y536" s="5" t="s">
        <v>117</v>
      </c>
      <c r="Z536" s="5" t="s">
        <v>95</v>
      </c>
      <c r="AA536" s="5" t="s">
        <v>973</v>
      </c>
      <c r="AB536" s="6" t="s">
        <v>99</v>
      </c>
      <c r="AC536" s="79" t="s">
        <v>6038</v>
      </c>
      <c r="AD536" s="79" t="s">
        <v>6039</v>
      </c>
      <c r="AE536" s="6" t="s">
        <v>6040</v>
      </c>
      <c r="AF536" s="6" t="s">
        <v>6041</v>
      </c>
      <c r="AG536" s="6" t="s">
        <v>178</v>
      </c>
      <c r="AH536" s="6" t="s">
        <v>6042</v>
      </c>
      <c r="AI536" s="6" t="s">
        <v>6043</v>
      </c>
      <c r="AJ536" s="6" t="s">
        <v>6044</v>
      </c>
      <c r="AK536" s="33" t="s">
        <v>97</v>
      </c>
      <c r="AL536" s="96" t="s">
        <v>6045</v>
      </c>
      <c r="AM536" s="5" t="s">
        <v>221</v>
      </c>
      <c r="AN536" s="5"/>
      <c r="AO536" s="5" t="s">
        <v>6046</v>
      </c>
      <c r="AP536" s="5" t="s">
        <v>6047</v>
      </c>
      <c r="AQ536" s="49" t="s">
        <v>2901</v>
      </c>
      <c r="AR536" s="20" t="s">
        <v>95</v>
      </c>
      <c r="AS536" s="20" t="s">
        <v>185</v>
      </c>
      <c r="AT536" s="7" t="s">
        <v>7449</v>
      </c>
      <c r="AU536" s="24">
        <v>0.6</v>
      </c>
      <c r="AV536" s="24">
        <f t="shared" si="102"/>
        <v>0.48</v>
      </c>
      <c r="AW536" s="24">
        <f t="shared" si="103"/>
        <v>0.36</v>
      </c>
      <c r="AX536" s="25">
        <v>1E-4</v>
      </c>
      <c r="AY536" s="24">
        <v>0</v>
      </c>
      <c r="AZ536" s="24">
        <f t="shared" si="109"/>
        <v>0.54</v>
      </c>
      <c r="BA536" s="24">
        <f t="shared" si="105"/>
        <v>0.43200000000000005</v>
      </c>
      <c r="BB536" s="24">
        <f t="shared" si="106"/>
        <v>0.32400000000000001</v>
      </c>
      <c r="BC536" s="25">
        <v>1E-4</v>
      </c>
      <c r="BD536" s="24">
        <v>0</v>
      </c>
      <c r="BE536" s="34">
        <v>40</v>
      </c>
      <c r="BF536" s="34">
        <f t="shared" si="107"/>
        <v>32</v>
      </c>
      <c r="BG536" s="34">
        <f t="shared" si="108"/>
        <v>24</v>
      </c>
      <c r="BH536" s="26">
        <v>1</v>
      </c>
      <c r="BI536" s="26">
        <v>0</v>
      </c>
      <c r="BJ536" s="27">
        <v>0.32200000000000001</v>
      </c>
      <c r="BK536" s="27">
        <v>0.28522246906898813</v>
      </c>
      <c r="BL536" s="27" t="s">
        <v>6048</v>
      </c>
      <c r="BM536" s="27" t="s">
        <v>6049</v>
      </c>
      <c r="BN536" s="26"/>
      <c r="BO536" s="34"/>
      <c r="BP536" s="34"/>
      <c r="BQ536" s="34"/>
      <c r="BR536" s="34"/>
      <c r="BS536" s="34"/>
      <c r="BT536" s="34"/>
      <c r="BU536" s="34"/>
      <c r="BV536" s="34"/>
      <c r="BW536" s="34"/>
      <c r="BX536" s="34"/>
      <c r="BY536" s="34"/>
      <c r="BZ536" s="34">
        <v>1</v>
      </c>
      <c r="CA536" s="20" t="s">
        <v>3036</v>
      </c>
      <c r="CB536" s="20" t="s">
        <v>3036</v>
      </c>
      <c r="CC536" s="46">
        <v>46006</v>
      </c>
      <c r="CD536" s="36" t="s">
        <v>6050</v>
      </c>
    </row>
    <row r="537" spans="1:82" ht="66.75" customHeight="1" x14ac:dyDescent="0.25">
      <c r="A537" s="87">
        <v>533</v>
      </c>
      <c r="B537" s="141" t="s">
        <v>6051</v>
      </c>
      <c r="C537" s="6" t="s">
        <v>6052</v>
      </c>
      <c r="D537" s="6" t="s">
        <v>6053</v>
      </c>
      <c r="E537" s="75" t="s">
        <v>113</v>
      </c>
      <c r="F537" s="4" t="s">
        <v>81</v>
      </c>
      <c r="G537" s="5" t="s">
        <v>84</v>
      </c>
      <c r="H537" s="6" t="s">
        <v>775</v>
      </c>
      <c r="I537" s="6" t="s">
        <v>2901</v>
      </c>
      <c r="J537" s="6"/>
      <c r="K537" s="6"/>
      <c r="L537" s="6"/>
      <c r="M537" s="6" t="s">
        <v>136</v>
      </c>
      <c r="N537" s="6" t="s">
        <v>245</v>
      </c>
      <c r="O537" s="6" t="s">
        <v>2688</v>
      </c>
      <c r="P537" s="6" t="s">
        <v>2902</v>
      </c>
      <c r="Q537" s="6"/>
      <c r="R537" s="82" t="s">
        <v>91</v>
      </c>
      <c r="S537" s="5" t="s">
        <v>92</v>
      </c>
      <c r="T537" s="5" t="s">
        <v>93</v>
      </c>
      <c r="U537" s="91">
        <v>100</v>
      </c>
      <c r="V537" s="5" t="s">
        <v>94</v>
      </c>
      <c r="W537" s="5" t="s">
        <v>95</v>
      </c>
      <c r="X537" s="5">
        <v>2025</v>
      </c>
      <c r="Y537" s="5" t="s">
        <v>117</v>
      </c>
      <c r="Z537" s="5" t="s">
        <v>97</v>
      </c>
      <c r="AA537" s="5" t="s">
        <v>973</v>
      </c>
      <c r="AB537" s="6" t="s">
        <v>99</v>
      </c>
      <c r="AC537" s="79" t="s">
        <v>6054</v>
      </c>
      <c r="AD537" s="79" t="s">
        <v>6055</v>
      </c>
      <c r="AE537" s="47" t="s">
        <v>6056</v>
      </c>
      <c r="AF537" s="47" t="s">
        <v>6057</v>
      </c>
      <c r="AG537" s="49" t="s">
        <v>178</v>
      </c>
      <c r="AH537" s="49" t="s">
        <v>178</v>
      </c>
      <c r="AI537" s="49" t="s">
        <v>6058</v>
      </c>
      <c r="AJ537" s="49" t="s">
        <v>6059</v>
      </c>
      <c r="AK537" s="33" t="s">
        <v>97</v>
      </c>
      <c r="AL537" s="33" t="s">
        <v>97</v>
      </c>
      <c r="AM537" s="5" t="s">
        <v>2938</v>
      </c>
      <c r="AN537" s="5"/>
      <c r="AO537" s="5" t="s">
        <v>6060</v>
      </c>
      <c r="AP537" s="5" t="s">
        <v>6061</v>
      </c>
      <c r="AQ537" s="75" t="s">
        <v>2901</v>
      </c>
      <c r="AR537" s="20" t="s">
        <v>97</v>
      </c>
      <c r="AS537" s="20" t="s">
        <v>107</v>
      </c>
      <c r="AT537" s="20"/>
      <c r="AU537" s="24">
        <v>0.12</v>
      </c>
      <c r="AV537" s="24">
        <f t="shared" si="102"/>
        <v>9.6000000000000002E-2</v>
      </c>
      <c r="AW537" s="24">
        <f t="shared" si="103"/>
        <v>7.1999999999999995E-2</v>
      </c>
      <c r="AX537" s="25">
        <v>1E-4</v>
      </c>
      <c r="AY537" s="24">
        <v>0</v>
      </c>
      <c r="AZ537" s="24">
        <f t="shared" si="109"/>
        <v>0.108</v>
      </c>
      <c r="BA537" s="24">
        <f t="shared" si="105"/>
        <v>8.6400000000000005E-2</v>
      </c>
      <c r="BB537" s="24">
        <f t="shared" si="106"/>
        <v>6.4799999999999996E-2</v>
      </c>
      <c r="BC537" s="25">
        <v>1E-4</v>
      </c>
      <c r="BD537" s="24">
        <v>0</v>
      </c>
      <c r="BE537" s="26">
        <v>0</v>
      </c>
      <c r="BF537" s="34">
        <f t="shared" si="107"/>
        <v>0</v>
      </c>
      <c r="BG537" s="34">
        <f t="shared" si="108"/>
        <v>0</v>
      </c>
      <c r="BH537" s="26">
        <v>0</v>
      </c>
      <c r="BI537" s="26">
        <v>0</v>
      </c>
      <c r="BJ537" s="27"/>
      <c r="BK537" s="27"/>
      <c r="BL537" s="27"/>
      <c r="BM537" s="27" t="s">
        <v>6062</v>
      </c>
      <c r="BN537" s="26"/>
      <c r="BO537" s="34"/>
      <c r="BP537" s="34"/>
      <c r="BQ537" s="34"/>
      <c r="BR537" s="34"/>
      <c r="BS537" s="34"/>
      <c r="BT537" s="34"/>
      <c r="BU537" s="34"/>
      <c r="BV537" s="34"/>
      <c r="BW537" s="34"/>
      <c r="BX537" s="34"/>
      <c r="BY537" s="34"/>
      <c r="BZ537" s="34"/>
      <c r="CA537" s="20"/>
      <c r="CB537" s="20"/>
      <c r="CC537" s="46">
        <v>46003</v>
      </c>
      <c r="CD537" s="36" t="s">
        <v>6063</v>
      </c>
    </row>
    <row r="538" spans="1:82" ht="66.75" customHeight="1" x14ac:dyDescent="0.25">
      <c r="A538" s="121">
        <v>534</v>
      </c>
      <c r="B538" s="141" t="s">
        <v>6064</v>
      </c>
      <c r="C538" s="6" t="s">
        <v>6065</v>
      </c>
      <c r="D538" s="6" t="s">
        <v>6066</v>
      </c>
      <c r="E538" s="75" t="s">
        <v>113</v>
      </c>
      <c r="F538" s="4" t="s">
        <v>81</v>
      </c>
      <c r="G538" s="5" t="s">
        <v>84</v>
      </c>
      <c r="H538" s="6" t="s">
        <v>775</v>
      </c>
      <c r="I538" s="6" t="s">
        <v>2901</v>
      </c>
      <c r="J538" s="6"/>
      <c r="K538" s="6"/>
      <c r="L538" s="6"/>
      <c r="M538" s="6" t="s">
        <v>136</v>
      </c>
      <c r="N538" s="6" t="s">
        <v>89</v>
      </c>
      <c r="O538" s="6" t="s">
        <v>2688</v>
      </c>
      <c r="P538" s="6" t="s">
        <v>2946</v>
      </c>
      <c r="Q538" s="6"/>
      <c r="R538" s="82" t="s">
        <v>175</v>
      </c>
      <c r="S538" s="5" t="s">
        <v>92</v>
      </c>
      <c r="T538" s="5" t="s">
        <v>93</v>
      </c>
      <c r="U538" s="91">
        <v>100</v>
      </c>
      <c r="V538" s="5" t="s">
        <v>94</v>
      </c>
      <c r="W538" s="5" t="s">
        <v>95</v>
      </c>
      <c r="X538" s="5">
        <v>2025</v>
      </c>
      <c r="Y538" s="5" t="s">
        <v>117</v>
      </c>
      <c r="Z538" s="5" t="s">
        <v>95</v>
      </c>
      <c r="AA538" s="5" t="s">
        <v>973</v>
      </c>
      <c r="AB538" s="6" t="s">
        <v>99</v>
      </c>
      <c r="AC538" s="79" t="s">
        <v>6067</v>
      </c>
      <c r="AD538" s="79" t="s">
        <v>6068</v>
      </c>
      <c r="AE538" s="49" t="s">
        <v>6069</v>
      </c>
      <c r="AF538" s="49" t="s">
        <v>6070</v>
      </c>
      <c r="AG538" s="49" t="s">
        <v>218</v>
      </c>
      <c r="AH538" s="49" t="s">
        <v>218</v>
      </c>
      <c r="AI538" s="49" t="s">
        <v>6071</v>
      </c>
      <c r="AJ538" s="49" t="s">
        <v>2952</v>
      </c>
      <c r="AK538" s="33" t="s">
        <v>97</v>
      </c>
      <c r="AL538" s="33" t="s">
        <v>97</v>
      </c>
      <c r="AM538" s="5" t="s">
        <v>2953</v>
      </c>
      <c r="AN538" s="5"/>
      <c r="AO538" s="5" t="s">
        <v>6072</v>
      </c>
      <c r="AP538" s="5" t="s">
        <v>6073</v>
      </c>
      <c r="AQ538" s="75" t="s">
        <v>2901</v>
      </c>
      <c r="AR538" s="20" t="s">
        <v>97</v>
      </c>
      <c r="AS538" s="20" t="s">
        <v>107</v>
      </c>
      <c r="AT538" s="20"/>
      <c r="AU538" s="24">
        <v>0.8</v>
      </c>
      <c r="AV538" s="24">
        <f t="shared" si="102"/>
        <v>0.64000000000000012</v>
      </c>
      <c r="AW538" s="24">
        <f t="shared" si="103"/>
        <v>0.48</v>
      </c>
      <c r="AX538" s="25">
        <v>1E-4</v>
      </c>
      <c r="AY538" s="24">
        <v>0</v>
      </c>
      <c r="AZ538" s="24">
        <f t="shared" si="109"/>
        <v>0.72000000000000008</v>
      </c>
      <c r="BA538" s="24">
        <f t="shared" si="105"/>
        <v>0.57600000000000007</v>
      </c>
      <c r="BB538" s="24">
        <f t="shared" si="106"/>
        <v>0.43200000000000005</v>
      </c>
      <c r="BC538" s="25">
        <v>1E-4</v>
      </c>
      <c r="BD538" s="24">
        <v>0</v>
      </c>
      <c r="BE538" s="26">
        <v>0</v>
      </c>
      <c r="BF538" s="34">
        <f t="shared" si="107"/>
        <v>0</v>
      </c>
      <c r="BG538" s="34">
        <f t="shared" si="108"/>
        <v>0</v>
      </c>
      <c r="BH538" s="26">
        <v>0</v>
      </c>
      <c r="BI538" s="26">
        <v>0</v>
      </c>
      <c r="BJ538" s="20"/>
      <c r="BK538" s="27"/>
      <c r="BL538" s="27"/>
      <c r="BM538" s="27" t="s">
        <v>6074</v>
      </c>
      <c r="BN538" s="26"/>
      <c r="BO538" s="34"/>
      <c r="BP538" s="34"/>
      <c r="BQ538" s="34"/>
      <c r="BR538" s="34"/>
      <c r="BS538" s="34"/>
      <c r="BT538" s="34"/>
      <c r="BU538" s="34"/>
      <c r="BV538" s="34"/>
      <c r="BW538" s="34"/>
      <c r="BX538" s="34"/>
      <c r="BY538" s="34"/>
      <c r="BZ538" s="34"/>
      <c r="CA538" s="20"/>
      <c r="CB538" s="20"/>
      <c r="CC538" s="29">
        <v>46003</v>
      </c>
      <c r="CD538" s="11" t="s">
        <v>6075</v>
      </c>
    </row>
    <row r="539" spans="1:82" ht="66.75" customHeight="1" x14ac:dyDescent="0.25">
      <c r="A539" s="87">
        <v>535</v>
      </c>
      <c r="B539" s="141" t="s">
        <v>6076</v>
      </c>
      <c r="C539" s="6" t="s">
        <v>6077</v>
      </c>
      <c r="D539" s="6" t="s">
        <v>6078</v>
      </c>
      <c r="E539" s="75" t="s">
        <v>113</v>
      </c>
      <c r="F539" s="4" t="s">
        <v>81</v>
      </c>
      <c r="G539" s="5">
        <v>121</v>
      </c>
      <c r="H539" s="6" t="s">
        <v>775</v>
      </c>
      <c r="I539" s="6" t="s">
        <v>2901</v>
      </c>
      <c r="J539" s="6"/>
      <c r="K539" s="6"/>
      <c r="L539" s="6"/>
      <c r="M539" s="6" t="s">
        <v>136</v>
      </c>
      <c r="N539" s="6" t="s">
        <v>89</v>
      </c>
      <c r="O539" s="6" t="s">
        <v>3056</v>
      </c>
      <c r="P539" s="6" t="s">
        <v>3057</v>
      </c>
      <c r="Q539" s="6"/>
      <c r="R539" s="82" t="s">
        <v>175</v>
      </c>
      <c r="S539" s="5" t="s">
        <v>92</v>
      </c>
      <c r="T539" s="5" t="s">
        <v>93</v>
      </c>
      <c r="U539" s="91">
        <v>100</v>
      </c>
      <c r="V539" s="5" t="s">
        <v>94</v>
      </c>
      <c r="W539" s="5" t="s">
        <v>95</v>
      </c>
      <c r="X539" s="5">
        <v>2021</v>
      </c>
      <c r="Y539" s="5" t="s">
        <v>117</v>
      </c>
      <c r="Z539" s="5" t="s">
        <v>95</v>
      </c>
      <c r="AA539" s="5" t="s">
        <v>973</v>
      </c>
      <c r="AB539" s="6" t="s">
        <v>99</v>
      </c>
      <c r="AC539" s="79" t="s">
        <v>6079</v>
      </c>
      <c r="AD539" s="79" t="s">
        <v>6080</v>
      </c>
      <c r="AE539" s="6" t="s">
        <v>3078</v>
      </c>
      <c r="AF539" s="6" t="s">
        <v>6081</v>
      </c>
      <c r="AG539" s="6" t="s">
        <v>3095</v>
      </c>
      <c r="AH539" s="6" t="s">
        <v>6082</v>
      </c>
      <c r="AI539" s="6" t="s">
        <v>3080</v>
      </c>
      <c r="AJ539" s="6" t="s">
        <v>6083</v>
      </c>
      <c r="AK539" s="33" t="s">
        <v>97</v>
      </c>
      <c r="AL539" s="6" t="s">
        <v>3082</v>
      </c>
      <c r="AM539" s="6" t="s">
        <v>3083</v>
      </c>
      <c r="AN539" s="5"/>
      <c r="AO539" s="5" t="s">
        <v>6084</v>
      </c>
      <c r="AP539" s="5" t="s">
        <v>6085</v>
      </c>
      <c r="AQ539" s="49" t="s">
        <v>2901</v>
      </c>
      <c r="AR539" s="20" t="s">
        <v>97</v>
      </c>
      <c r="AS539" s="20" t="s">
        <v>107</v>
      </c>
      <c r="AT539" s="20"/>
      <c r="AU539" s="24">
        <v>0.85</v>
      </c>
      <c r="AV539" s="24">
        <f t="shared" ref="AV539:AV561" si="112">+AU539*80%</f>
        <v>0.68</v>
      </c>
      <c r="AW539" s="24">
        <f t="shared" ref="AW539:AW561" si="113">+AU539*60%</f>
        <v>0.51</v>
      </c>
      <c r="AX539" s="25">
        <v>1E-4</v>
      </c>
      <c r="AY539" s="24">
        <v>0</v>
      </c>
      <c r="AZ539" s="24">
        <f t="shared" si="109"/>
        <v>0.76500000000000001</v>
      </c>
      <c r="BA539" s="24">
        <f t="shared" ref="BA539:BA570" si="114">AZ539*80%</f>
        <v>0.6120000000000001</v>
      </c>
      <c r="BB539" s="24">
        <f t="shared" ref="BB539:BB570" si="115">AZ539*60%</f>
        <v>0.45899999999999996</v>
      </c>
      <c r="BC539" s="25">
        <v>1E-4</v>
      </c>
      <c r="BD539" s="24">
        <v>0</v>
      </c>
      <c r="BE539" s="26">
        <v>0</v>
      </c>
      <c r="BF539" s="34">
        <f t="shared" si="107"/>
        <v>0</v>
      </c>
      <c r="BG539" s="34">
        <f t="shared" si="108"/>
        <v>0</v>
      </c>
      <c r="BH539" s="26">
        <v>0</v>
      </c>
      <c r="BI539" s="26">
        <v>0</v>
      </c>
      <c r="BJ539" s="27">
        <v>0.88600000000000001</v>
      </c>
      <c r="BK539" s="27">
        <v>0.87025685931115004</v>
      </c>
      <c r="BL539" s="27" t="s">
        <v>6086</v>
      </c>
      <c r="BM539" s="27" t="s">
        <v>6087</v>
      </c>
      <c r="BN539" s="26"/>
      <c r="BO539" s="34"/>
      <c r="BP539" s="34"/>
      <c r="BQ539" s="34"/>
      <c r="BR539" s="34"/>
      <c r="BS539" s="34"/>
      <c r="BT539" s="34"/>
      <c r="BU539" s="34"/>
      <c r="BV539" s="34"/>
      <c r="BW539" s="34"/>
      <c r="BX539" s="34"/>
      <c r="BY539" s="34"/>
      <c r="BZ539" s="34">
        <v>1</v>
      </c>
      <c r="CA539" s="20" t="s">
        <v>3036</v>
      </c>
      <c r="CB539" s="20" t="s">
        <v>3036</v>
      </c>
      <c r="CC539" s="29">
        <v>46003</v>
      </c>
      <c r="CD539" s="36" t="s">
        <v>6088</v>
      </c>
    </row>
    <row r="540" spans="1:82" ht="66.75" customHeight="1" x14ac:dyDescent="0.25">
      <c r="A540" s="87">
        <v>536</v>
      </c>
      <c r="B540" s="141" t="s">
        <v>6089</v>
      </c>
      <c r="C540" s="6" t="s">
        <v>6090</v>
      </c>
      <c r="D540" s="6" t="s">
        <v>6091</v>
      </c>
      <c r="E540" s="75" t="s">
        <v>113</v>
      </c>
      <c r="F540" s="4" t="s">
        <v>81</v>
      </c>
      <c r="G540" s="5" t="s">
        <v>84</v>
      </c>
      <c r="H540" s="6" t="s">
        <v>775</v>
      </c>
      <c r="I540" s="6" t="s">
        <v>2901</v>
      </c>
      <c r="J540" s="6"/>
      <c r="K540" s="6"/>
      <c r="L540" s="6"/>
      <c r="M540" s="6" t="s">
        <v>136</v>
      </c>
      <c r="N540" s="6" t="s">
        <v>89</v>
      </c>
      <c r="O540" s="6" t="s">
        <v>3056</v>
      </c>
      <c r="P540" s="6" t="s">
        <v>3057</v>
      </c>
      <c r="Q540" s="6"/>
      <c r="R540" s="82" t="s">
        <v>175</v>
      </c>
      <c r="S540" s="5" t="s">
        <v>92</v>
      </c>
      <c r="T540" s="5" t="s">
        <v>93</v>
      </c>
      <c r="U540" s="91">
        <v>100</v>
      </c>
      <c r="V540" s="5" t="s">
        <v>94</v>
      </c>
      <c r="W540" s="5" t="s">
        <v>95</v>
      </c>
      <c r="X540" s="5">
        <v>2025</v>
      </c>
      <c r="Y540" s="5" t="s">
        <v>117</v>
      </c>
      <c r="Z540" s="5" t="s">
        <v>95</v>
      </c>
      <c r="AA540" s="5" t="s">
        <v>973</v>
      </c>
      <c r="AB540" s="6" t="s">
        <v>99</v>
      </c>
      <c r="AC540" s="79" t="s">
        <v>6092</v>
      </c>
      <c r="AD540" s="79" t="s">
        <v>6093</v>
      </c>
      <c r="AE540" s="49" t="s">
        <v>3093</v>
      </c>
      <c r="AF540" s="49" t="s">
        <v>6094</v>
      </c>
      <c r="AG540" s="6" t="s">
        <v>6095</v>
      </c>
      <c r="AH540" s="6" t="s">
        <v>6096</v>
      </c>
      <c r="AI540" s="47" t="s">
        <v>6097</v>
      </c>
      <c r="AJ540" s="47" t="s">
        <v>6098</v>
      </c>
      <c r="AK540" s="5" t="s">
        <v>6099</v>
      </c>
      <c r="AL540" s="6" t="s">
        <v>6100</v>
      </c>
      <c r="AM540" s="6" t="s">
        <v>3083</v>
      </c>
      <c r="AN540" s="5"/>
      <c r="AO540" s="5" t="s">
        <v>6101</v>
      </c>
      <c r="AP540" s="5" t="s">
        <v>6102</v>
      </c>
      <c r="AQ540" s="75" t="s">
        <v>2901</v>
      </c>
      <c r="AR540" s="20" t="s">
        <v>97</v>
      </c>
      <c r="AS540" s="20" t="s">
        <v>107</v>
      </c>
      <c r="AT540" s="20"/>
      <c r="AU540" s="24">
        <v>0.85</v>
      </c>
      <c r="AV540" s="24">
        <f t="shared" si="112"/>
        <v>0.68</v>
      </c>
      <c r="AW540" s="24">
        <f t="shared" si="113"/>
        <v>0.51</v>
      </c>
      <c r="AX540" s="25">
        <v>1E-4</v>
      </c>
      <c r="AY540" s="24">
        <v>0</v>
      </c>
      <c r="AZ540" s="24">
        <f t="shared" si="109"/>
        <v>0.76500000000000001</v>
      </c>
      <c r="BA540" s="24">
        <f t="shared" si="114"/>
        <v>0.6120000000000001</v>
      </c>
      <c r="BB540" s="24">
        <f t="shared" si="115"/>
        <v>0.45899999999999996</v>
      </c>
      <c r="BC540" s="25">
        <v>1E-4</v>
      </c>
      <c r="BD540" s="24">
        <v>0</v>
      </c>
      <c r="BE540" s="26">
        <v>0</v>
      </c>
      <c r="BF540" s="34">
        <f t="shared" si="107"/>
        <v>0</v>
      </c>
      <c r="BG540" s="34">
        <f t="shared" si="108"/>
        <v>0</v>
      </c>
      <c r="BH540" s="26">
        <v>0</v>
      </c>
      <c r="BI540" s="26">
        <v>0</v>
      </c>
      <c r="BJ540" s="27"/>
      <c r="BK540" s="27"/>
      <c r="BL540" s="27"/>
      <c r="BM540" s="27" t="s">
        <v>6103</v>
      </c>
      <c r="BN540" s="26"/>
      <c r="BO540" s="34"/>
      <c r="BP540" s="34"/>
      <c r="BQ540" s="34"/>
      <c r="BR540" s="34"/>
      <c r="BS540" s="34"/>
      <c r="BT540" s="34"/>
      <c r="BU540" s="34"/>
      <c r="BV540" s="34"/>
      <c r="BW540" s="34"/>
      <c r="BX540" s="34"/>
      <c r="BY540" s="34"/>
      <c r="BZ540" s="34"/>
      <c r="CA540" s="20"/>
      <c r="CB540" s="20"/>
      <c r="CC540" s="29">
        <v>46003</v>
      </c>
      <c r="CD540" s="36" t="s">
        <v>6104</v>
      </c>
    </row>
    <row r="541" spans="1:82" ht="66.75" customHeight="1" x14ac:dyDescent="0.25">
      <c r="A541" s="121">
        <v>537</v>
      </c>
      <c r="B541" s="141" t="s">
        <v>6105</v>
      </c>
      <c r="C541" s="6" t="s">
        <v>6106</v>
      </c>
      <c r="D541" s="6" t="s">
        <v>6107</v>
      </c>
      <c r="E541" s="75" t="s">
        <v>113</v>
      </c>
      <c r="F541" s="4" t="s">
        <v>81</v>
      </c>
      <c r="G541" s="5" t="s">
        <v>84</v>
      </c>
      <c r="H541" s="6" t="s">
        <v>114</v>
      </c>
      <c r="I541" s="6" t="s">
        <v>1948</v>
      </c>
      <c r="J541" s="6" t="s">
        <v>115</v>
      </c>
      <c r="K541" s="6"/>
      <c r="L541" s="6"/>
      <c r="M541" s="6" t="s">
        <v>136</v>
      </c>
      <c r="N541" s="6" t="s">
        <v>89</v>
      </c>
      <c r="O541" s="6" t="s">
        <v>116</v>
      </c>
      <c r="P541" s="6" t="s">
        <v>1949</v>
      </c>
      <c r="Q541" s="6"/>
      <c r="R541" s="82" t="s">
        <v>91</v>
      </c>
      <c r="S541" s="5" t="s">
        <v>92</v>
      </c>
      <c r="T541" s="5" t="s">
        <v>93</v>
      </c>
      <c r="U541" s="91">
        <v>100</v>
      </c>
      <c r="V541" s="5" t="s">
        <v>94</v>
      </c>
      <c r="W541" s="5" t="s">
        <v>95</v>
      </c>
      <c r="X541" s="5">
        <v>2021</v>
      </c>
      <c r="Y541" s="5" t="s">
        <v>117</v>
      </c>
      <c r="Z541" s="5" t="s">
        <v>95</v>
      </c>
      <c r="AA541" s="5" t="s">
        <v>98</v>
      </c>
      <c r="AB541" s="6" t="s">
        <v>99</v>
      </c>
      <c r="AC541" s="97" t="s">
        <v>6108</v>
      </c>
      <c r="AD541" s="79" t="s">
        <v>6109</v>
      </c>
      <c r="AE541" s="6" t="s">
        <v>6110</v>
      </c>
      <c r="AF541" s="49" t="s">
        <v>121</v>
      </c>
      <c r="AG541" s="49" t="s">
        <v>1042</v>
      </c>
      <c r="AH541" s="6" t="s">
        <v>123</v>
      </c>
      <c r="AI541" s="6" t="s">
        <v>1953</v>
      </c>
      <c r="AJ541" s="6" t="s">
        <v>6109</v>
      </c>
      <c r="AK541" s="33" t="s">
        <v>97</v>
      </c>
      <c r="AL541" s="33" t="s">
        <v>97</v>
      </c>
      <c r="AM541" s="5" t="s">
        <v>221</v>
      </c>
      <c r="AN541" s="6" t="s">
        <v>1955</v>
      </c>
      <c r="AO541" s="6"/>
      <c r="AP541" s="6"/>
      <c r="AQ541" s="6" t="s">
        <v>1956</v>
      </c>
      <c r="AR541" s="20" t="s">
        <v>97</v>
      </c>
      <c r="AS541" s="20" t="s">
        <v>107</v>
      </c>
      <c r="AT541" s="20"/>
      <c r="AU541" s="24">
        <v>0.35</v>
      </c>
      <c r="AV541" s="24">
        <f t="shared" si="112"/>
        <v>0.27999999999999997</v>
      </c>
      <c r="AW541" s="24">
        <f t="shared" si="113"/>
        <v>0.21</v>
      </c>
      <c r="AX541" s="25">
        <v>1E-4</v>
      </c>
      <c r="AY541" s="24">
        <v>0</v>
      </c>
      <c r="AZ541" s="24">
        <f t="shared" si="109"/>
        <v>0.315</v>
      </c>
      <c r="BA541" s="24">
        <f t="shared" si="114"/>
        <v>0.252</v>
      </c>
      <c r="BB541" s="24">
        <f t="shared" si="115"/>
        <v>0.189</v>
      </c>
      <c r="BC541" s="25">
        <v>1E-4</v>
      </c>
      <c r="BD541" s="24">
        <v>0</v>
      </c>
      <c r="BE541" s="26">
        <v>0</v>
      </c>
      <c r="BF541" s="34">
        <f t="shared" si="107"/>
        <v>0</v>
      </c>
      <c r="BG541" s="34">
        <f t="shared" si="108"/>
        <v>0</v>
      </c>
      <c r="BH541" s="26">
        <v>0</v>
      </c>
      <c r="BI541" s="26">
        <v>0</v>
      </c>
      <c r="BJ541" s="27">
        <v>0.44800000000000001</v>
      </c>
      <c r="BK541" s="27">
        <v>0.46684532342288793</v>
      </c>
      <c r="BL541" s="27" t="s">
        <v>6111</v>
      </c>
      <c r="BM541" s="27" t="s">
        <v>6112</v>
      </c>
      <c r="BN541" s="26">
        <v>1</v>
      </c>
      <c r="BO541" s="34"/>
      <c r="BP541" s="34"/>
      <c r="BQ541" s="34">
        <v>1</v>
      </c>
      <c r="BR541" s="34"/>
      <c r="BS541" s="34"/>
      <c r="BT541" s="34"/>
      <c r="BU541" s="34"/>
      <c r="BV541" s="34"/>
      <c r="BW541" s="34"/>
      <c r="BX541" s="34"/>
      <c r="BY541" s="34"/>
      <c r="BZ541" s="34"/>
      <c r="CA541" s="20"/>
      <c r="CB541" s="20"/>
      <c r="CC541" s="46">
        <v>45699</v>
      </c>
      <c r="CD541" s="11" t="s">
        <v>6113</v>
      </c>
    </row>
    <row r="542" spans="1:82" ht="66.75" customHeight="1" x14ac:dyDescent="0.25">
      <c r="A542" s="87">
        <v>538</v>
      </c>
      <c r="B542" s="141" t="s">
        <v>6114</v>
      </c>
      <c r="C542" s="6" t="s">
        <v>6115</v>
      </c>
      <c r="D542" s="6" t="s">
        <v>6116</v>
      </c>
      <c r="E542" s="75" t="s">
        <v>113</v>
      </c>
      <c r="F542" s="4" t="s">
        <v>81</v>
      </c>
      <c r="G542" s="5">
        <v>2</v>
      </c>
      <c r="H542" s="6" t="s">
        <v>309</v>
      </c>
      <c r="I542" s="6" t="s">
        <v>1948</v>
      </c>
      <c r="J542" s="6" t="s">
        <v>115</v>
      </c>
      <c r="K542" s="6"/>
      <c r="L542" s="6"/>
      <c r="M542" s="6" t="s">
        <v>136</v>
      </c>
      <c r="N542" s="6" t="s">
        <v>89</v>
      </c>
      <c r="O542" s="6" t="s">
        <v>116</v>
      </c>
      <c r="P542" s="6" t="s">
        <v>1949</v>
      </c>
      <c r="Q542" s="6"/>
      <c r="R542" s="82" t="s">
        <v>91</v>
      </c>
      <c r="S542" s="5" t="s">
        <v>92</v>
      </c>
      <c r="T542" s="5" t="s">
        <v>93</v>
      </c>
      <c r="U542" s="91">
        <v>100</v>
      </c>
      <c r="V542" s="5" t="s">
        <v>94</v>
      </c>
      <c r="W542" s="5" t="s">
        <v>95</v>
      </c>
      <c r="X542" s="5">
        <v>2021</v>
      </c>
      <c r="Y542" s="5" t="s">
        <v>117</v>
      </c>
      <c r="Z542" s="5" t="s">
        <v>95</v>
      </c>
      <c r="AA542" s="5" t="s">
        <v>98</v>
      </c>
      <c r="AB542" s="6" t="s">
        <v>99</v>
      </c>
      <c r="AC542" s="97" t="s">
        <v>6117</v>
      </c>
      <c r="AD542" s="79" t="s">
        <v>6118</v>
      </c>
      <c r="AE542" s="49" t="s">
        <v>6119</v>
      </c>
      <c r="AF542" s="49" t="s">
        <v>121</v>
      </c>
      <c r="AG542" s="49" t="s">
        <v>1042</v>
      </c>
      <c r="AH542" s="6" t="s">
        <v>123</v>
      </c>
      <c r="AI542" s="6" t="s">
        <v>1953</v>
      </c>
      <c r="AJ542" s="6" t="s">
        <v>6118</v>
      </c>
      <c r="AK542" s="33" t="s">
        <v>97</v>
      </c>
      <c r="AL542" s="33" t="s">
        <v>97</v>
      </c>
      <c r="AM542" s="5" t="s">
        <v>221</v>
      </c>
      <c r="AN542" s="6" t="s">
        <v>1955</v>
      </c>
      <c r="AO542" s="6"/>
      <c r="AP542" s="6"/>
      <c r="AQ542" s="6" t="s">
        <v>1956</v>
      </c>
      <c r="AR542" s="20" t="s">
        <v>97</v>
      </c>
      <c r="AS542" s="20" t="s">
        <v>107</v>
      </c>
      <c r="AT542" s="20"/>
      <c r="AU542" s="24">
        <v>0.4</v>
      </c>
      <c r="AV542" s="24">
        <f t="shared" si="112"/>
        <v>0.32000000000000006</v>
      </c>
      <c r="AW542" s="24">
        <f t="shared" si="113"/>
        <v>0.24</v>
      </c>
      <c r="AX542" s="25">
        <v>1E-4</v>
      </c>
      <c r="AY542" s="24">
        <v>0</v>
      </c>
      <c r="AZ542" s="24">
        <f t="shared" si="109"/>
        <v>0.36000000000000004</v>
      </c>
      <c r="BA542" s="24">
        <f t="shared" si="114"/>
        <v>0.28800000000000003</v>
      </c>
      <c r="BB542" s="24">
        <f t="shared" si="115"/>
        <v>0.21600000000000003</v>
      </c>
      <c r="BC542" s="25">
        <v>1E-4</v>
      </c>
      <c r="BD542" s="24">
        <v>0</v>
      </c>
      <c r="BE542" s="26">
        <v>0</v>
      </c>
      <c r="BF542" s="34">
        <f t="shared" si="107"/>
        <v>0</v>
      </c>
      <c r="BG542" s="34">
        <f t="shared" si="108"/>
        <v>0</v>
      </c>
      <c r="BH542" s="26">
        <v>0</v>
      </c>
      <c r="BI542" s="26">
        <v>0</v>
      </c>
      <c r="BJ542" s="27">
        <v>0.36199999999999999</v>
      </c>
      <c r="BK542" s="27">
        <v>0.37308865721464857</v>
      </c>
      <c r="BL542" s="27" t="s">
        <v>6120</v>
      </c>
      <c r="BM542" s="27" t="s">
        <v>6121</v>
      </c>
      <c r="BN542" s="26">
        <v>1</v>
      </c>
      <c r="BO542" s="34"/>
      <c r="BP542" s="34"/>
      <c r="BQ542" s="34">
        <v>1</v>
      </c>
      <c r="BR542" s="34"/>
      <c r="BS542" s="34"/>
      <c r="BT542" s="34"/>
      <c r="BU542" s="34"/>
      <c r="BV542" s="34"/>
      <c r="BW542" s="34"/>
      <c r="BX542" s="34"/>
      <c r="BY542" s="34"/>
      <c r="BZ542" s="34"/>
      <c r="CA542" s="20"/>
      <c r="CB542" s="20"/>
      <c r="CC542" s="29">
        <v>45671</v>
      </c>
      <c r="CD542" s="11" t="s">
        <v>6122</v>
      </c>
    </row>
    <row r="543" spans="1:82" ht="66.75" customHeight="1" x14ac:dyDescent="0.25">
      <c r="A543" s="87">
        <v>539</v>
      </c>
      <c r="B543" s="141" t="s">
        <v>6123</v>
      </c>
      <c r="C543" s="6" t="s">
        <v>6124</v>
      </c>
      <c r="D543" s="6" t="s">
        <v>6125</v>
      </c>
      <c r="E543" s="75" t="s">
        <v>113</v>
      </c>
      <c r="F543" s="4" t="s">
        <v>81</v>
      </c>
      <c r="G543" s="5">
        <v>3</v>
      </c>
      <c r="H543" s="6" t="s">
        <v>364</v>
      </c>
      <c r="I543" s="6" t="s">
        <v>1948</v>
      </c>
      <c r="J543" s="6" t="s">
        <v>115</v>
      </c>
      <c r="K543" s="6"/>
      <c r="L543" s="6"/>
      <c r="M543" s="6" t="s">
        <v>136</v>
      </c>
      <c r="N543" s="6" t="s">
        <v>89</v>
      </c>
      <c r="O543" s="6" t="s">
        <v>116</v>
      </c>
      <c r="P543" s="6" t="s">
        <v>1949</v>
      </c>
      <c r="Q543" s="6"/>
      <c r="R543" s="82" t="s">
        <v>91</v>
      </c>
      <c r="S543" s="5" t="s">
        <v>92</v>
      </c>
      <c r="T543" s="5" t="s">
        <v>93</v>
      </c>
      <c r="U543" s="91">
        <v>100</v>
      </c>
      <c r="V543" s="5" t="s">
        <v>94</v>
      </c>
      <c r="W543" s="5" t="s">
        <v>95</v>
      </c>
      <c r="X543" s="5">
        <v>2021</v>
      </c>
      <c r="Y543" s="5" t="s">
        <v>117</v>
      </c>
      <c r="Z543" s="5" t="s">
        <v>95</v>
      </c>
      <c r="AA543" s="5" t="s">
        <v>98</v>
      </c>
      <c r="AB543" s="6" t="s">
        <v>99</v>
      </c>
      <c r="AC543" s="79" t="s">
        <v>6126</v>
      </c>
      <c r="AD543" s="79" t="s">
        <v>6127</v>
      </c>
      <c r="AE543" s="49" t="s">
        <v>6119</v>
      </c>
      <c r="AF543" s="49" t="s">
        <v>5117</v>
      </c>
      <c r="AG543" s="49" t="s">
        <v>1042</v>
      </c>
      <c r="AH543" s="6" t="s">
        <v>123</v>
      </c>
      <c r="AI543" s="6" t="s">
        <v>6128</v>
      </c>
      <c r="AJ543" s="6" t="s">
        <v>6127</v>
      </c>
      <c r="AK543" s="33" t="s">
        <v>97</v>
      </c>
      <c r="AL543" s="33" t="s">
        <v>97</v>
      </c>
      <c r="AM543" s="5"/>
      <c r="AN543" s="6"/>
      <c r="AO543" s="6"/>
      <c r="AP543" s="6"/>
      <c r="AQ543" s="6" t="s">
        <v>1956</v>
      </c>
      <c r="AR543" s="20" t="s">
        <v>97</v>
      </c>
      <c r="AS543" s="20" t="s">
        <v>107</v>
      </c>
      <c r="AT543" s="20"/>
      <c r="AU543" s="24">
        <v>0.3</v>
      </c>
      <c r="AV543" s="24">
        <f t="shared" si="112"/>
        <v>0.24</v>
      </c>
      <c r="AW543" s="24">
        <f t="shared" si="113"/>
        <v>0.18</v>
      </c>
      <c r="AX543" s="25">
        <v>1E-4</v>
      </c>
      <c r="AY543" s="24">
        <v>0</v>
      </c>
      <c r="AZ543" s="24">
        <f t="shared" si="109"/>
        <v>0.27</v>
      </c>
      <c r="BA543" s="24">
        <f t="shared" si="114"/>
        <v>0.21600000000000003</v>
      </c>
      <c r="BB543" s="24">
        <f t="shared" si="115"/>
        <v>0.16200000000000001</v>
      </c>
      <c r="BC543" s="25">
        <v>1E-4</v>
      </c>
      <c r="BD543" s="24">
        <v>0</v>
      </c>
      <c r="BE543" s="26">
        <v>0</v>
      </c>
      <c r="BF543" s="34">
        <f t="shared" si="107"/>
        <v>0</v>
      </c>
      <c r="BG543" s="34">
        <f t="shared" si="108"/>
        <v>0</v>
      </c>
      <c r="BH543" s="26">
        <v>0</v>
      </c>
      <c r="BI543" s="26">
        <v>0</v>
      </c>
      <c r="BJ543" s="27">
        <v>0.28399999999999997</v>
      </c>
      <c r="BK543" s="27">
        <v>0.31371301566008764</v>
      </c>
      <c r="BL543" s="27" t="s">
        <v>6129</v>
      </c>
      <c r="BM543" s="27" t="s">
        <v>6130</v>
      </c>
      <c r="BN543" s="26">
        <v>1</v>
      </c>
      <c r="BO543" s="34"/>
      <c r="BP543" s="34"/>
      <c r="BQ543" s="34">
        <v>1</v>
      </c>
      <c r="BR543" s="34"/>
      <c r="BS543" s="34"/>
      <c r="BT543" s="34"/>
      <c r="BU543" s="34"/>
      <c r="BV543" s="34"/>
      <c r="BW543" s="34"/>
      <c r="BX543" s="34"/>
      <c r="BY543" s="34">
        <v>1</v>
      </c>
      <c r="BZ543" s="34"/>
      <c r="CA543" s="20"/>
      <c r="CB543" s="20"/>
      <c r="CC543" s="29">
        <v>45671</v>
      </c>
      <c r="CD543" s="11" t="s">
        <v>6131</v>
      </c>
    </row>
    <row r="544" spans="1:82" ht="66.75" customHeight="1" x14ac:dyDescent="0.25">
      <c r="A544" s="121">
        <v>540</v>
      </c>
      <c r="B544" s="141" t="s">
        <v>6132</v>
      </c>
      <c r="C544" s="6" t="s">
        <v>6133</v>
      </c>
      <c r="D544" s="6" t="s">
        <v>6134</v>
      </c>
      <c r="E544" s="75" t="s">
        <v>113</v>
      </c>
      <c r="F544" s="4" t="s">
        <v>81</v>
      </c>
      <c r="G544" s="5">
        <v>2</v>
      </c>
      <c r="H544" s="6" t="s">
        <v>423</v>
      </c>
      <c r="I544" s="6" t="s">
        <v>1948</v>
      </c>
      <c r="J544" s="6" t="s">
        <v>115</v>
      </c>
      <c r="K544" s="6"/>
      <c r="L544" s="6"/>
      <c r="M544" s="6" t="s">
        <v>136</v>
      </c>
      <c r="N544" s="6" t="s">
        <v>89</v>
      </c>
      <c r="O544" s="6" t="s">
        <v>116</v>
      </c>
      <c r="P544" s="6" t="s">
        <v>1949</v>
      </c>
      <c r="Q544" s="6"/>
      <c r="R544" s="82" t="s">
        <v>91</v>
      </c>
      <c r="S544" s="5" t="s">
        <v>92</v>
      </c>
      <c r="T544" s="5" t="s">
        <v>93</v>
      </c>
      <c r="U544" s="91">
        <v>100</v>
      </c>
      <c r="V544" s="5" t="s">
        <v>94</v>
      </c>
      <c r="W544" s="5" t="s">
        <v>95</v>
      </c>
      <c r="X544" s="5">
        <v>2021</v>
      </c>
      <c r="Y544" s="5" t="s">
        <v>117</v>
      </c>
      <c r="Z544" s="5" t="s">
        <v>95</v>
      </c>
      <c r="AA544" s="5" t="s">
        <v>98</v>
      </c>
      <c r="AB544" s="6" t="s">
        <v>99</v>
      </c>
      <c r="AC544" s="79" t="s">
        <v>6135</v>
      </c>
      <c r="AD544" s="79" t="s">
        <v>6136</v>
      </c>
      <c r="AE544" s="49" t="s">
        <v>6119</v>
      </c>
      <c r="AF544" s="49" t="s">
        <v>121</v>
      </c>
      <c r="AG544" s="49" t="s">
        <v>1965</v>
      </c>
      <c r="AH544" s="6" t="s">
        <v>123</v>
      </c>
      <c r="AI544" s="6" t="s">
        <v>6137</v>
      </c>
      <c r="AJ544" s="6" t="s">
        <v>6136</v>
      </c>
      <c r="AK544" s="33" t="s">
        <v>97</v>
      </c>
      <c r="AL544" s="33" t="s">
        <v>97</v>
      </c>
      <c r="AM544" s="5" t="s">
        <v>221</v>
      </c>
      <c r="AN544" s="6" t="s">
        <v>1968</v>
      </c>
      <c r="AO544" s="6"/>
      <c r="AP544" s="6"/>
      <c r="AQ544" s="6" t="s">
        <v>1956</v>
      </c>
      <c r="AR544" s="20" t="s">
        <v>97</v>
      </c>
      <c r="AS544" s="20" t="s">
        <v>107</v>
      </c>
      <c r="AT544" s="20"/>
      <c r="AU544" s="24">
        <v>0.45</v>
      </c>
      <c r="AV544" s="24">
        <f t="shared" si="112"/>
        <v>0.36000000000000004</v>
      </c>
      <c r="AW544" s="24">
        <f t="shared" si="113"/>
        <v>0.27</v>
      </c>
      <c r="AX544" s="25">
        <v>1E-4</v>
      </c>
      <c r="AY544" s="24">
        <v>0</v>
      </c>
      <c r="AZ544" s="24">
        <f t="shared" si="109"/>
        <v>0.40500000000000003</v>
      </c>
      <c r="BA544" s="24">
        <f t="shared" si="114"/>
        <v>0.32400000000000007</v>
      </c>
      <c r="BB544" s="24">
        <f t="shared" si="115"/>
        <v>0.24299999999999999</v>
      </c>
      <c r="BC544" s="25">
        <v>1E-4</v>
      </c>
      <c r="BD544" s="24">
        <v>0</v>
      </c>
      <c r="BE544" s="26">
        <v>0</v>
      </c>
      <c r="BF544" s="34">
        <f t="shared" si="107"/>
        <v>0</v>
      </c>
      <c r="BG544" s="34">
        <f t="shared" si="108"/>
        <v>0</v>
      </c>
      <c r="BH544" s="26">
        <v>0</v>
      </c>
      <c r="BI544" s="26">
        <v>0</v>
      </c>
      <c r="BJ544" s="27">
        <v>0.28000000000000003</v>
      </c>
      <c r="BK544" s="27">
        <v>0.32608063930257902</v>
      </c>
      <c r="BL544" s="27" t="s">
        <v>6138</v>
      </c>
      <c r="BM544" s="27" t="s">
        <v>6139</v>
      </c>
      <c r="BN544" s="26">
        <v>1</v>
      </c>
      <c r="BO544" s="34"/>
      <c r="BP544" s="34"/>
      <c r="BQ544" s="34">
        <v>1</v>
      </c>
      <c r="BR544" s="34"/>
      <c r="BS544" s="34"/>
      <c r="BT544" s="34"/>
      <c r="BU544" s="34"/>
      <c r="BV544" s="34"/>
      <c r="BW544" s="34"/>
      <c r="BX544" s="34"/>
      <c r="BY544" s="34"/>
      <c r="BZ544" s="34"/>
      <c r="CA544" s="20"/>
      <c r="CB544" s="20"/>
      <c r="CC544" s="46">
        <v>46003</v>
      </c>
      <c r="CD544" s="36" t="s">
        <v>6140</v>
      </c>
    </row>
    <row r="545" spans="1:82" ht="66.75" customHeight="1" x14ac:dyDescent="0.25">
      <c r="A545" s="87">
        <v>541</v>
      </c>
      <c r="B545" s="141" t="s">
        <v>6141</v>
      </c>
      <c r="C545" s="6" t="s">
        <v>6142</v>
      </c>
      <c r="D545" s="6" t="s">
        <v>6143</v>
      </c>
      <c r="E545" s="75" t="s">
        <v>113</v>
      </c>
      <c r="F545" s="4" t="s">
        <v>81</v>
      </c>
      <c r="G545" s="5">
        <v>2</v>
      </c>
      <c r="H545" s="6" t="s">
        <v>436</v>
      </c>
      <c r="I545" s="6" t="s">
        <v>1948</v>
      </c>
      <c r="J545" s="6" t="s">
        <v>115</v>
      </c>
      <c r="K545" s="6"/>
      <c r="L545" s="6"/>
      <c r="M545" s="6" t="s">
        <v>136</v>
      </c>
      <c r="N545" s="6" t="s">
        <v>89</v>
      </c>
      <c r="O545" s="6" t="s">
        <v>116</v>
      </c>
      <c r="P545" s="6" t="s">
        <v>1949</v>
      </c>
      <c r="Q545" s="6"/>
      <c r="R545" s="82" t="s">
        <v>91</v>
      </c>
      <c r="S545" s="5" t="s">
        <v>92</v>
      </c>
      <c r="T545" s="5" t="s">
        <v>93</v>
      </c>
      <c r="U545" s="91">
        <v>100</v>
      </c>
      <c r="V545" s="5" t="s">
        <v>94</v>
      </c>
      <c r="W545" s="5" t="s">
        <v>95</v>
      </c>
      <c r="X545" s="5">
        <v>2021</v>
      </c>
      <c r="Y545" s="5" t="s">
        <v>117</v>
      </c>
      <c r="Z545" s="5" t="s">
        <v>95</v>
      </c>
      <c r="AA545" s="5" t="s">
        <v>98</v>
      </c>
      <c r="AB545" s="6" t="s">
        <v>99</v>
      </c>
      <c r="AC545" s="79" t="s">
        <v>6144</v>
      </c>
      <c r="AD545" s="79" t="s">
        <v>6145</v>
      </c>
      <c r="AE545" s="49" t="s">
        <v>6119</v>
      </c>
      <c r="AF545" s="49" t="s">
        <v>121</v>
      </c>
      <c r="AG545" s="49" t="s">
        <v>1965</v>
      </c>
      <c r="AH545" s="6" t="s">
        <v>123</v>
      </c>
      <c r="AI545" s="6" t="s">
        <v>6137</v>
      </c>
      <c r="AJ545" s="6" t="s">
        <v>6146</v>
      </c>
      <c r="AK545" s="33" t="s">
        <v>97</v>
      </c>
      <c r="AL545" s="33" t="s">
        <v>97</v>
      </c>
      <c r="AM545" s="5" t="s">
        <v>221</v>
      </c>
      <c r="AN545" s="6" t="s">
        <v>1968</v>
      </c>
      <c r="AO545" s="6"/>
      <c r="AP545" s="6"/>
      <c r="AQ545" s="6" t="s">
        <v>1956</v>
      </c>
      <c r="AR545" s="20" t="s">
        <v>97</v>
      </c>
      <c r="AS545" s="20" t="s">
        <v>107</v>
      </c>
      <c r="AT545" s="20"/>
      <c r="AU545" s="24">
        <v>0.36</v>
      </c>
      <c r="AV545" s="24">
        <f t="shared" si="112"/>
        <v>0.28799999999999998</v>
      </c>
      <c r="AW545" s="24">
        <f t="shared" si="113"/>
        <v>0.216</v>
      </c>
      <c r="AX545" s="25">
        <v>1E-4</v>
      </c>
      <c r="AY545" s="24">
        <v>0</v>
      </c>
      <c r="AZ545" s="24">
        <f t="shared" si="109"/>
        <v>0.32400000000000001</v>
      </c>
      <c r="BA545" s="24">
        <f t="shared" si="114"/>
        <v>0.25920000000000004</v>
      </c>
      <c r="BB545" s="24">
        <f t="shared" si="115"/>
        <v>0.19439999999999999</v>
      </c>
      <c r="BC545" s="25">
        <v>1E-4</v>
      </c>
      <c r="BD545" s="24">
        <v>0</v>
      </c>
      <c r="BE545" s="26">
        <v>0</v>
      </c>
      <c r="BF545" s="34">
        <f t="shared" si="107"/>
        <v>0</v>
      </c>
      <c r="BG545" s="34">
        <f t="shared" si="108"/>
        <v>0</v>
      </c>
      <c r="BH545" s="26">
        <v>0</v>
      </c>
      <c r="BI545" s="26">
        <v>0</v>
      </c>
      <c r="BJ545" s="27">
        <v>0.28399999999999997</v>
      </c>
      <c r="BK545" s="27">
        <v>0.31600611368044251</v>
      </c>
      <c r="BL545" s="27" t="s">
        <v>6147</v>
      </c>
      <c r="BM545" s="27" t="s">
        <v>6148</v>
      </c>
      <c r="BN545" s="26">
        <v>1</v>
      </c>
      <c r="BO545" s="34"/>
      <c r="BP545" s="34"/>
      <c r="BQ545" s="34">
        <v>1</v>
      </c>
      <c r="BR545" s="34"/>
      <c r="BS545" s="34"/>
      <c r="BT545" s="34"/>
      <c r="BU545" s="34"/>
      <c r="BV545" s="34"/>
      <c r="BW545" s="34"/>
      <c r="BX545" s="34"/>
      <c r="BY545" s="34"/>
      <c r="BZ545" s="34"/>
      <c r="CA545" s="20"/>
      <c r="CB545" s="20"/>
      <c r="CC545" s="46">
        <v>46003</v>
      </c>
      <c r="CD545" s="36" t="s">
        <v>6149</v>
      </c>
    </row>
    <row r="546" spans="1:82" ht="66.75" customHeight="1" x14ac:dyDescent="0.25">
      <c r="A546" s="87">
        <v>542</v>
      </c>
      <c r="B546" s="141" t="s">
        <v>6150</v>
      </c>
      <c r="C546" s="6" t="s">
        <v>6151</v>
      </c>
      <c r="D546" s="6" t="s">
        <v>6152</v>
      </c>
      <c r="E546" s="75" t="s">
        <v>113</v>
      </c>
      <c r="F546" s="4" t="s">
        <v>81</v>
      </c>
      <c r="G546" s="5">
        <v>1</v>
      </c>
      <c r="H546" s="6" t="s">
        <v>463</v>
      </c>
      <c r="I546" s="6" t="s">
        <v>1948</v>
      </c>
      <c r="J546" s="6" t="s">
        <v>115</v>
      </c>
      <c r="K546" s="6"/>
      <c r="L546" s="6"/>
      <c r="M546" s="6" t="s">
        <v>136</v>
      </c>
      <c r="N546" s="6" t="s">
        <v>89</v>
      </c>
      <c r="O546" s="6" t="s">
        <v>116</v>
      </c>
      <c r="P546" s="6" t="s">
        <v>1949</v>
      </c>
      <c r="Q546" s="6"/>
      <c r="R546" s="82" t="s">
        <v>91</v>
      </c>
      <c r="S546" s="5" t="s">
        <v>92</v>
      </c>
      <c r="T546" s="5" t="s">
        <v>93</v>
      </c>
      <c r="U546" s="91">
        <v>100</v>
      </c>
      <c r="V546" s="5" t="s">
        <v>94</v>
      </c>
      <c r="W546" s="5" t="s">
        <v>95</v>
      </c>
      <c r="X546" s="5">
        <v>2021</v>
      </c>
      <c r="Y546" s="5" t="s">
        <v>117</v>
      </c>
      <c r="Z546" s="5" t="s">
        <v>95</v>
      </c>
      <c r="AA546" s="5" t="s">
        <v>98</v>
      </c>
      <c r="AB546" s="6" t="s">
        <v>99</v>
      </c>
      <c r="AC546" s="79" t="s">
        <v>6153</v>
      </c>
      <c r="AD546" s="79" t="s">
        <v>6154</v>
      </c>
      <c r="AE546" s="49" t="s">
        <v>6119</v>
      </c>
      <c r="AF546" s="49" t="s">
        <v>121</v>
      </c>
      <c r="AG546" s="49" t="s">
        <v>1965</v>
      </c>
      <c r="AH546" s="6" t="s">
        <v>123</v>
      </c>
      <c r="AI546" s="6" t="s">
        <v>6137</v>
      </c>
      <c r="AJ546" s="6" t="s">
        <v>6154</v>
      </c>
      <c r="AK546" s="33" t="s">
        <v>97</v>
      </c>
      <c r="AL546" s="33" t="s">
        <v>97</v>
      </c>
      <c r="AM546" s="5" t="s">
        <v>221</v>
      </c>
      <c r="AN546" s="6" t="s">
        <v>1968</v>
      </c>
      <c r="AO546" s="6"/>
      <c r="AP546" s="6"/>
      <c r="AQ546" s="6" t="s">
        <v>1956</v>
      </c>
      <c r="AR546" s="20" t="s">
        <v>97</v>
      </c>
      <c r="AS546" s="20" t="s">
        <v>107</v>
      </c>
      <c r="AT546" s="20"/>
      <c r="AU546" s="24">
        <v>0.3</v>
      </c>
      <c r="AV546" s="24">
        <f t="shared" si="112"/>
        <v>0.24</v>
      </c>
      <c r="AW546" s="24">
        <f t="shared" si="113"/>
        <v>0.18</v>
      </c>
      <c r="AX546" s="25">
        <v>1E-4</v>
      </c>
      <c r="AY546" s="24">
        <v>0</v>
      </c>
      <c r="AZ546" s="24">
        <f t="shared" si="109"/>
        <v>0.27</v>
      </c>
      <c r="BA546" s="24">
        <f t="shared" si="114"/>
        <v>0.21600000000000003</v>
      </c>
      <c r="BB546" s="24">
        <f t="shared" si="115"/>
        <v>0.16200000000000001</v>
      </c>
      <c r="BC546" s="25">
        <v>1E-4</v>
      </c>
      <c r="BD546" s="24">
        <v>0</v>
      </c>
      <c r="BE546" s="26">
        <v>0</v>
      </c>
      <c r="BF546" s="34">
        <f t="shared" si="107"/>
        <v>0</v>
      </c>
      <c r="BG546" s="34">
        <f t="shared" si="108"/>
        <v>0</v>
      </c>
      <c r="BH546" s="26">
        <v>0</v>
      </c>
      <c r="BI546" s="26">
        <v>0</v>
      </c>
      <c r="BJ546" s="27">
        <v>0.28000000000000003</v>
      </c>
      <c r="BK546" s="27">
        <v>0.28126114685420389</v>
      </c>
      <c r="BL546" s="27" t="s">
        <v>6155</v>
      </c>
      <c r="BM546" s="27" t="s">
        <v>6156</v>
      </c>
      <c r="BN546" s="26">
        <v>1</v>
      </c>
      <c r="BO546" s="34"/>
      <c r="BP546" s="34"/>
      <c r="BQ546" s="34">
        <v>1</v>
      </c>
      <c r="BR546" s="34"/>
      <c r="BS546" s="34"/>
      <c r="BT546" s="34"/>
      <c r="BU546" s="34"/>
      <c r="BV546" s="34"/>
      <c r="BW546" s="34"/>
      <c r="BX546" s="34"/>
      <c r="BY546" s="34"/>
      <c r="BZ546" s="34"/>
      <c r="CA546" s="20"/>
      <c r="CB546" s="20"/>
      <c r="CC546" s="29">
        <v>45671</v>
      </c>
      <c r="CD546" s="36" t="s">
        <v>6157</v>
      </c>
    </row>
    <row r="547" spans="1:82" ht="96.75" customHeight="1" x14ac:dyDescent="0.25">
      <c r="A547" s="121">
        <v>543</v>
      </c>
      <c r="B547" s="141" t="s">
        <v>6158</v>
      </c>
      <c r="C547" s="6" t="s">
        <v>6159</v>
      </c>
      <c r="D547" s="6" t="s">
        <v>6160</v>
      </c>
      <c r="E547" s="75" t="s">
        <v>174</v>
      </c>
      <c r="F547" s="4" t="s">
        <v>81</v>
      </c>
      <c r="G547" s="5">
        <v>1</v>
      </c>
      <c r="H547" s="6" t="s">
        <v>775</v>
      </c>
      <c r="I547" s="6" t="s">
        <v>3328</v>
      </c>
      <c r="J547" s="6"/>
      <c r="K547" s="6"/>
      <c r="L547" s="6"/>
      <c r="M547" s="6" t="s">
        <v>88</v>
      </c>
      <c r="N547" s="6" t="s">
        <v>89</v>
      </c>
      <c r="O547" s="6" t="s">
        <v>2688</v>
      </c>
      <c r="P547" s="6" t="s">
        <v>6161</v>
      </c>
      <c r="Q547" s="6"/>
      <c r="R547" s="82" t="s">
        <v>175</v>
      </c>
      <c r="S547" s="5" t="s">
        <v>92</v>
      </c>
      <c r="T547" s="5" t="s">
        <v>93</v>
      </c>
      <c r="U547" s="91">
        <v>100</v>
      </c>
      <c r="V547" s="5" t="s">
        <v>94</v>
      </c>
      <c r="W547" s="5" t="s">
        <v>95</v>
      </c>
      <c r="X547" s="5">
        <v>2025</v>
      </c>
      <c r="Y547" s="5" t="s">
        <v>117</v>
      </c>
      <c r="Z547" s="5" t="s">
        <v>95</v>
      </c>
      <c r="AA547" s="5" t="s">
        <v>98</v>
      </c>
      <c r="AB547" s="6" t="s">
        <v>99</v>
      </c>
      <c r="AC547" s="79" t="s">
        <v>7400</v>
      </c>
      <c r="AD547" s="79" t="s">
        <v>6162</v>
      </c>
      <c r="AE547" s="175" t="s">
        <v>6163</v>
      </c>
      <c r="AF547" s="6" t="s">
        <v>121</v>
      </c>
      <c r="AG547" s="6" t="s">
        <v>178</v>
      </c>
      <c r="AH547" s="6" t="s">
        <v>123</v>
      </c>
      <c r="AI547" s="6" t="s">
        <v>6164</v>
      </c>
      <c r="AJ547" s="6" t="s">
        <v>5934</v>
      </c>
      <c r="AK547" s="33" t="s">
        <v>97</v>
      </c>
      <c r="AL547" s="33" t="s">
        <v>97</v>
      </c>
      <c r="AM547" s="5" t="s">
        <v>221</v>
      </c>
      <c r="AN547" s="5"/>
      <c r="AO547" s="5" t="s">
        <v>6165</v>
      </c>
      <c r="AP547" s="5" t="s">
        <v>6166</v>
      </c>
      <c r="AQ547" s="75" t="s">
        <v>3328</v>
      </c>
      <c r="AR547" s="20" t="s">
        <v>97</v>
      </c>
      <c r="AS547" s="20" t="s">
        <v>107</v>
      </c>
      <c r="AT547" s="20"/>
      <c r="AU547" s="24">
        <v>0.4</v>
      </c>
      <c r="AV547" s="24">
        <f t="shared" si="112"/>
        <v>0.32000000000000006</v>
      </c>
      <c r="AW547" s="24">
        <f t="shared" si="113"/>
        <v>0.24</v>
      </c>
      <c r="AX547" s="25">
        <v>1E-4</v>
      </c>
      <c r="AY547" s="24">
        <v>0</v>
      </c>
      <c r="AZ547" s="24">
        <f t="shared" si="109"/>
        <v>0.36000000000000004</v>
      </c>
      <c r="BA547" s="24">
        <f t="shared" si="114"/>
        <v>0.28800000000000003</v>
      </c>
      <c r="BB547" s="24">
        <f t="shared" si="115"/>
        <v>0.21600000000000003</v>
      </c>
      <c r="BC547" s="25">
        <v>1E-4</v>
      </c>
      <c r="BD547" s="24">
        <v>0</v>
      </c>
      <c r="BE547" s="38">
        <v>20</v>
      </c>
      <c r="BF547" s="43">
        <f t="shared" si="107"/>
        <v>16</v>
      </c>
      <c r="BG547" s="43">
        <f t="shared" si="108"/>
        <v>12</v>
      </c>
      <c r="BH547" s="38">
        <v>1</v>
      </c>
      <c r="BI547" s="38">
        <v>0</v>
      </c>
      <c r="BJ547" s="27" t="s">
        <v>84</v>
      </c>
      <c r="BK547" s="27" t="s">
        <v>84</v>
      </c>
      <c r="BL547" s="27" t="s">
        <v>84</v>
      </c>
      <c r="BM547" s="27" t="s">
        <v>5938</v>
      </c>
      <c r="BN547" s="26"/>
      <c r="BO547" s="34"/>
      <c r="BP547" s="34"/>
      <c r="BQ547" s="34"/>
      <c r="BR547" s="34"/>
      <c r="BS547" s="34"/>
      <c r="BT547" s="34"/>
      <c r="BU547" s="34"/>
      <c r="BV547" s="34"/>
      <c r="BW547" s="34"/>
      <c r="BX547" s="34"/>
      <c r="BY547" s="34"/>
      <c r="BZ547" s="34"/>
      <c r="CA547" s="20"/>
      <c r="CB547" s="20"/>
      <c r="CC547" s="46">
        <v>46030</v>
      </c>
      <c r="CD547" s="36" t="s">
        <v>6167</v>
      </c>
    </row>
    <row r="548" spans="1:82" ht="107.25" customHeight="1" x14ac:dyDescent="0.25">
      <c r="A548" s="87">
        <v>544</v>
      </c>
      <c r="B548" s="142" t="s">
        <v>6168</v>
      </c>
      <c r="C548" s="2" t="s">
        <v>6169</v>
      </c>
      <c r="D548" s="6" t="s">
        <v>6170</v>
      </c>
      <c r="E548" s="75" t="s">
        <v>174</v>
      </c>
      <c r="F548" s="4" t="s">
        <v>81</v>
      </c>
      <c r="G548" s="5">
        <v>1</v>
      </c>
      <c r="H548" s="6" t="s">
        <v>775</v>
      </c>
      <c r="I548" s="6" t="s">
        <v>3328</v>
      </c>
      <c r="J548" s="6"/>
      <c r="K548" s="6"/>
      <c r="L548" s="6"/>
      <c r="M548" s="6" t="s">
        <v>136</v>
      </c>
      <c r="N548" s="6" t="s">
        <v>89</v>
      </c>
      <c r="O548" s="6" t="s">
        <v>2688</v>
      </c>
      <c r="P548" s="6" t="s">
        <v>6161</v>
      </c>
      <c r="Q548" s="6"/>
      <c r="R548" s="82" t="s">
        <v>91</v>
      </c>
      <c r="S548" s="5" t="s">
        <v>92</v>
      </c>
      <c r="T548" s="5" t="s">
        <v>93</v>
      </c>
      <c r="U548" s="91">
        <v>100</v>
      </c>
      <c r="V548" s="5" t="s">
        <v>94</v>
      </c>
      <c r="W548" s="5" t="s">
        <v>95</v>
      </c>
      <c r="X548" s="5">
        <v>2025</v>
      </c>
      <c r="Y548" s="5" t="s">
        <v>117</v>
      </c>
      <c r="Z548" s="5" t="s">
        <v>95</v>
      </c>
      <c r="AA548" s="5" t="s">
        <v>98</v>
      </c>
      <c r="AB548" s="6" t="s">
        <v>99</v>
      </c>
      <c r="AC548" s="79" t="s">
        <v>6171</v>
      </c>
      <c r="AD548" s="79" t="s">
        <v>5919</v>
      </c>
      <c r="AE548" s="47" t="s">
        <v>6163</v>
      </c>
      <c r="AF548" s="6" t="s">
        <v>121</v>
      </c>
      <c r="AG548" s="6" t="s">
        <v>6172</v>
      </c>
      <c r="AH548" s="6" t="s">
        <v>123</v>
      </c>
      <c r="AI548" s="6" t="s">
        <v>6173</v>
      </c>
      <c r="AJ548" s="6" t="s">
        <v>6174</v>
      </c>
      <c r="AK548" s="33" t="s">
        <v>97</v>
      </c>
      <c r="AL548" s="33" t="s">
        <v>97</v>
      </c>
      <c r="AM548" s="6" t="s">
        <v>221</v>
      </c>
      <c r="AN548" s="6" t="s">
        <v>6175</v>
      </c>
      <c r="AO548" s="6" t="s">
        <v>6176</v>
      </c>
      <c r="AP548" s="5" t="s">
        <v>6177</v>
      </c>
      <c r="AQ548" s="75" t="s">
        <v>3328</v>
      </c>
      <c r="AR548" s="20" t="s">
        <v>97</v>
      </c>
      <c r="AS548" s="20" t="s">
        <v>107</v>
      </c>
      <c r="AT548" s="20"/>
      <c r="AU548" s="24">
        <v>0.55000000000000004</v>
      </c>
      <c r="AV548" s="24">
        <f t="shared" si="112"/>
        <v>0.44000000000000006</v>
      </c>
      <c r="AW548" s="24">
        <f t="shared" si="113"/>
        <v>0.33</v>
      </c>
      <c r="AX548" s="25">
        <v>1E-4</v>
      </c>
      <c r="AY548" s="24">
        <v>0</v>
      </c>
      <c r="AZ548" s="24">
        <f t="shared" si="109"/>
        <v>0.49500000000000005</v>
      </c>
      <c r="BA548" s="24">
        <f t="shared" si="114"/>
        <v>0.39600000000000007</v>
      </c>
      <c r="BB548" s="24">
        <f t="shared" si="115"/>
        <v>0.29700000000000004</v>
      </c>
      <c r="BC548" s="25">
        <v>1E-4</v>
      </c>
      <c r="BD548" s="24">
        <v>0</v>
      </c>
      <c r="BE548" s="26">
        <v>10</v>
      </c>
      <c r="BF548" s="34">
        <f t="shared" si="107"/>
        <v>8</v>
      </c>
      <c r="BG548" s="34">
        <f t="shared" si="108"/>
        <v>6</v>
      </c>
      <c r="BH548" s="26">
        <v>1</v>
      </c>
      <c r="BI548" s="26">
        <v>0</v>
      </c>
      <c r="BJ548" s="27"/>
      <c r="BK548" s="27"/>
      <c r="BL548" s="27"/>
      <c r="BM548" s="27" t="s">
        <v>6178</v>
      </c>
      <c r="BN548" s="26">
        <v>1</v>
      </c>
      <c r="BO548" s="34"/>
      <c r="BP548" s="34"/>
      <c r="BQ548" s="34"/>
      <c r="BR548" s="34"/>
      <c r="BS548" s="34"/>
      <c r="BT548" s="34"/>
      <c r="BU548" s="34"/>
      <c r="BV548" s="34"/>
      <c r="BW548" s="34"/>
      <c r="BX548" s="34"/>
      <c r="BY548" s="34"/>
      <c r="BZ548" s="34"/>
      <c r="CA548" s="20"/>
      <c r="CB548" s="20"/>
      <c r="CC548" s="46">
        <v>46006</v>
      </c>
      <c r="CD548" s="19" t="s">
        <v>6179</v>
      </c>
    </row>
    <row r="549" spans="1:82" ht="66.75" customHeight="1" x14ac:dyDescent="0.25">
      <c r="A549" s="87">
        <v>545</v>
      </c>
      <c r="B549" s="141" t="s">
        <v>6180</v>
      </c>
      <c r="C549" s="6" t="s">
        <v>6181</v>
      </c>
      <c r="D549" s="6" t="s">
        <v>7483</v>
      </c>
      <c r="E549" s="75" t="s">
        <v>113</v>
      </c>
      <c r="F549" s="4" t="s">
        <v>81</v>
      </c>
      <c r="G549" s="5">
        <v>1</v>
      </c>
      <c r="H549" s="6" t="s">
        <v>775</v>
      </c>
      <c r="I549" s="6" t="s">
        <v>3328</v>
      </c>
      <c r="J549" s="6"/>
      <c r="K549" s="6"/>
      <c r="L549" s="6"/>
      <c r="M549" s="6" t="s">
        <v>136</v>
      </c>
      <c r="N549" s="6" t="s">
        <v>245</v>
      </c>
      <c r="O549" s="6" t="s">
        <v>246</v>
      </c>
      <c r="P549" s="6" t="s">
        <v>3244</v>
      </c>
      <c r="Q549" s="6"/>
      <c r="R549" s="82" t="s">
        <v>175</v>
      </c>
      <c r="S549" s="5" t="s">
        <v>92</v>
      </c>
      <c r="T549" s="5" t="s">
        <v>93</v>
      </c>
      <c r="U549" s="91">
        <v>100</v>
      </c>
      <c r="V549" s="5" t="s">
        <v>94</v>
      </c>
      <c r="W549" s="5" t="s">
        <v>95</v>
      </c>
      <c r="X549" s="5">
        <v>2023</v>
      </c>
      <c r="Y549" s="5" t="s">
        <v>117</v>
      </c>
      <c r="Z549" s="5" t="s">
        <v>95</v>
      </c>
      <c r="AA549" s="5" t="s">
        <v>98</v>
      </c>
      <c r="AB549" s="6" t="s">
        <v>99</v>
      </c>
      <c r="AC549" s="79" t="s">
        <v>7485</v>
      </c>
      <c r="AD549" s="117" t="s">
        <v>7507</v>
      </c>
      <c r="AE549" s="14" t="s">
        <v>7515</v>
      </c>
      <c r="AF549" s="14" t="s">
        <v>7516</v>
      </c>
      <c r="AG549" s="49" t="s">
        <v>178</v>
      </c>
      <c r="AH549" s="49" t="s">
        <v>178</v>
      </c>
      <c r="AI549" s="6" t="s">
        <v>7526</v>
      </c>
      <c r="AJ549" s="14" t="s">
        <v>7527</v>
      </c>
      <c r="AK549" s="98" t="s">
        <v>7528</v>
      </c>
      <c r="AL549" s="39" t="s">
        <v>97</v>
      </c>
      <c r="AM549" s="6" t="s">
        <v>3250</v>
      </c>
      <c r="AN549" s="5"/>
      <c r="AO549" s="5" t="s">
        <v>6182</v>
      </c>
      <c r="AP549" s="5" t="s">
        <v>6183</v>
      </c>
      <c r="AQ549" s="75" t="s">
        <v>3239</v>
      </c>
      <c r="AR549" s="20" t="s">
        <v>97</v>
      </c>
      <c r="AS549" s="20" t="s">
        <v>107</v>
      </c>
      <c r="AT549" s="20"/>
      <c r="AU549" s="24">
        <v>0.8</v>
      </c>
      <c r="AV549" s="24">
        <f t="shared" si="112"/>
        <v>0.64000000000000012</v>
      </c>
      <c r="AW549" s="24">
        <f t="shared" si="113"/>
        <v>0.48</v>
      </c>
      <c r="AX549" s="25">
        <v>1E-4</v>
      </c>
      <c r="AY549" s="24">
        <v>0</v>
      </c>
      <c r="AZ549" s="24">
        <f t="shared" si="109"/>
        <v>0.72000000000000008</v>
      </c>
      <c r="BA549" s="24">
        <f t="shared" si="114"/>
        <v>0.57600000000000007</v>
      </c>
      <c r="BB549" s="24">
        <f t="shared" si="115"/>
        <v>0.43200000000000005</v>
      </c>
      <c r="BC549" s="25">
        <v>1E-4</v>
      </c>
      <c r="BD549" s="24">
        <v>0</v>
      </c>
      <c r="BE549" s="26">
        <v>0</v>
      </c>
      <c r="BF549" s="34">
        <f t="shared" si="107"/>
        <v>0</v>
      </c>
      <c r="BG549" s="34">
        <f t="shared" si="108"/>
        <v>0</v>
      </c>
      <c r="BH549" s="26">
        <v>0</v>
      </c>
      <c r="BI549" s="26">
        <v>0</v>
      </c>
      <c r="BJ549" s="27">
        <v>0.31871345029239767</v>
      </c>
      <c r="BK549" s="27" t="s">
        <v>84</v>
      </c>
      <c r="BL549" s="27" t="s">
        <v>1176</v>
      </c>
      <c r="BM549" s="27" t="s">
        <v>1176</v>
      </c>
      <c r="BN549" s="26"/>
      <c r="BO549" s="34"/>
      <c r="BP549" s="34"/>
      <c r="BQ549" s="34"/>
      <c r="BR549" s="34"/>
      <c r="BS549" s="34"/>
      <c r="BT549" s="34"/>
      <c r="BU549" s="34"/>
      <c r="BV549" s="34"/>
      <c r="BW549" s="34"/>
      <c r="BX549" s="34"/>
      <c r="BY549" s="34"/>
      <c r="BZ549" s="34"/>
      <c r="CA549" s="20"/>
      <c r="CB549" s="20"/>
      <c r="CC549" s="109">
        <v>46086</v>
      </c>
      <c r="CD549" s="36" t="s">
        <v>7490</v>
      </c>
    </row>
    <row r="550" spans="1:82" ht="66.75" customHeight="1" x14ac:dyDescent="0.25">
      <c r="A550" s="121">
        <v>546</v>
      </c>
      <c r="B550" s="141" t="s">
        <v>6184</v>
      </c>
      <c r="C550" s="6" t="s">
        <v>6185</v>
      </c>
      <c r="D550" s="6" t="s">
        <v>6186</v>
      </c>
      <c r="E550" s="75" t="s">
        <v>113</v>
      </c>
      <c r="F550" s="4" t="s">
        <v>81</v>
      </c>
      <c r="G550" s="5">
        <v>1</v>
      </c>
      <c r="H550" s="6" t="s">
        <v>775</v>
      </c>
      <c r="I550" s="6" t="s">
        <v>1948</v>
      </c>
      <c r="J550" s="6" t="s">
        <v>1975</v>
      </c>
      <c r="K550" s="6"/>
      <c r="L550" s="6"/>
      <c r="M550" s="6" t="s">
        <v>88</v>
      </c>
      <c r="N550" s="6" t="s">
        <v>89</v>
      </c>
      <c r="O550" s="6" t="s">
        <v>579</v>
      </c>
      <c r="P550" s="6" t="s">
        <v>5310</v>
      </c>
      <c r="Q550" s="6"/>
      <c r="R550" s="82" t="s">
        <v>91</v>
      </c>
      <c r="S550" s="5" t="s">
        <v>92</v>
      </c>
      <c r="T550" s="5" t="s">
        <v>93</v>
      </c>
      <c r="U550" s="91">
        <v>100</v>
      </c>
      <c r="V550" s="5" t="s">
        <v>94</v>
      </c>
      <c r="W550" s="5" t="s">
        <v>95</v>
      </c>
      <c r="X550" s="5">
        <v>2021</v>
      </c>
      <c r="Y550" s="5" t="s">
        <v>117</v>
      </c>
      <c r="Z550" s="5" t="s">
        <v>185</v>
      </c>
      <c r="AA550" s="5" t="s">
        <v>98</v>
      </c>
      <c r="AB550" s="6" t="s">
        <v>99</v>
      </c>
      <c r="AC550" s="79" t="s">
        <v>6187</v>
      </c>
      <c r="AD550" s="79" t="s">
        <v>6188</v>
      </c>
      <c r="AE550" s="49" t="s">
        <v>6189</v>
      </c>
      <c r="AF550" s="49" t="s">
        <v>121</v>
      </c>
      <c r="AG550" s="49" t="s">
        <v>1980</v>
      </c>
      <c r="AH550" s="49" t="s">
        <v>123</v>
      </c>
      <c r="AI550" s="6" t="s">
        <v>6190</v>
      </c>
      <c r="AJ550" s="6" t="s">
        <v>5314</v>
      </c>
      <c r="AK550" s="33" t="s">
        <v>97</v>
      </c>
      <c r="AL550" s="33" t="s">
        <v>97</v>
      </c>
      <c r="AM550" s="5" t="s">
        <v>6191</v>
      </c>
      <c r="AN550" s="5" t="s">
        <v>470</v>
      </c>
      <c r="AO550" s="5"/>
      <c r="AP550" s="5"/>
      <c r="AQ550" s="6" t="s">
        <v>1956</v>
      </c>
      <c r="AR550" s="20" t="s">
        <v>97</v>
      </c>
      <c r="AS550" s="20" t="s">
        <v>107</v>
      </c>
      <c r="AT550" s="20"/>
      <c r="AU550" s="24">
        <v>0.3</v>
      </c>
      <c r="AV550" s="24">
        <f t="shared" si="112"/>
        <v>0.24</v>
      </c>
      <c r="AW550" s="24">
        <f t="shared" si="113"/>
        <v>0.18</v>
      </c>
      <c r="AX550" s="25">
        <v>1E-4</v>
      </c>
      <c r="AY550" s="24">
        <v>0</v>
      </c>
      <c r="AZ550" s="24">
        <f t="shared" si="109"/>
        <v>0.27</v>
      </c>
      <c r="BA550" s="24">
        <f t="shared" si="114"/>
        <v>0.21600000000000003</v>
      </c>
      <c r="BB550" s="24">
        <f t="shared" si="115"/>
        <v>0.16200000000000001</v>
      </c>
      <c r="BC550" s="25">
        <v>1E-4</v>
      </c>
      <c r="BD550" s="24">
        <v>0</v>
      </c>
      <c r="BE550" s="26">
        <v>0</v>
      </c>
      <c r="BF550" s="34">
        <f t="shared" si="107"/>
        <v>0</v>
      </c>
      <c r="BG550" s="34">
        <f t="shared" si="108"/>
        <v>0</v>
      </c>
      <c r="BH550" s="26">
        <v>0</v>
      </c>
      <c r="BI550" s="26">
        <v>0</v>
      </c>
      <c r="BJ550" s="27">
        <v>0.22</v>
      </c>
      <c r="BK550" s="27">
        <v>0.25913442117704555</v>
      </c>
      <c r="BL550" s="27" t="s">
        <v>6192</v>
      </c>
      <c r="BM550" s="27" t="s">
        <v>6155</v>
      </c>
      <c r="BN550" s="26"/>
      <c r="BO550" s="34"/>
      <c r="BP550" s="34"/>
      <c r="BQ550" s="34"/>
      <c r="BR550" s="34"/>
      <c r="BS550" s="34"/>
      <c r="BT550" s="34"/>
      <c r="BU550" s="34"/>
      <c r="BV550" s="34"/>
      <c r="BW550" s="34"/>
      <c r="BX550" s="34"/>
      <c r="BY550" s="34"/>
      <c r="BZ550" s="34"/>
      <c r="CA550" s="20"/>
      <c r="CB550" s="20"/>
      <c r="CC550" s="29">
        <v>46003</v>
      </c>
      <c r="CD550" s="36" t="s">
        <v>6193</v>
      </c>
    </row>
    <row r="551" spans="1:82" ht="66.75" customHeight="1" x14ac:dyDescent="0.25">
      <c r="A551" s="87">
        <v>547</v>
      </c>
      <c r="B551" s="141" t="s">
        <v>6194</v>
      </c>
      <c r="C551" s="82" t="s">
        <v>6195</v>
      </c>
      <c r="D551" s="82" t="s">
        <v>6196</v>
      </c>
      <c r="E551" s="75" t="s">
        <v>113</v>
      </c>
      <c r="F551" s="4" t="s">
        <v>81</v>
      </c>
      <c r="G551" s="5">
        <v>1</v>
      </c>
      <c r="H551" s="6" t="s">
        <v>775</v>
      </c>
      <c r="I551" s="82" t="s">
        <v>2295</v>
      </c>
      <c r="J551" s="82"/>
      <c r="K551" s="82"/>
      <c r="L551" s="82"/>
      <c r="M551" s="82" t="s">
        <v>88</v>
      </c>
      <c r="N551" s="82" t="s">
        <v>89</v>
      </c>
      <c r="O551" s="82" t="s">
        <v>1444</v>
      </c>
      <c r="P551" s="82" t="s">
        <v>2296</v>
      </c>
      <c r="Q551" s="82"/>
      <c r="R551" s="82" t="s">
        <v>91</v>
      </c>
      <c r="S551" s="5" t="s">
        <v>92</v>
      </c>
      <c r="T551" s="82" t="s">
        <v>93</v>
      </c>
      <c r="U551" s="91">
        <v>100</v>
      </c>
      <c r="V551" s="5" t="s">
        <v>94</v>
      </c>
      <c r="W551" s="5" t="s">
        <v>95</v>
      </c>
      <c r="X551" s="5">
        <v>2025</v>
      </c>
      <c r="Y551" s="5" t="s">
        <v>117</v>
      </c>
      <c r="Z551" s="5" t="s">
        <v>95</v>
      </c>
      <c r="AA551" s="5" t="s">
        <v>973</v>
      </c>
      <c r="AB551" s="6" t="s">
        <v>99</v>
      </c>
      <c r="AC551" s="79" t="s">
        <v>6197</v>
      </c>
      <c r="AD551" s="79" t="s">
        <v>6198</v>
      </c>
      <c r="AE551" s="33" t="s">
        <v>2299</v>
      </c>
      <c r="AF551" s="49" t="s">
        <v>6199</v>
      </c>
      <c r="AG551" s="33" t="s">
        <v>2301</v>
      </c>
      <c r="AH551" s="33" t="s">
        <v>123</v>
      </c>
      <c r="AI551" s="75" t="s">
        <v>6200</v>
      </c>
      <c r="AJ551" s="75" t="s">
        <v>6201</v>
      </c>
      <c r="AK551" s="33" t="s">
        <v>2304</v>
      </c>
      <c r="AL551" s="75" t="s">
        <v>2304</v>
      </c>
      <c r="AM551" s="5" t="s">
        <v>6202</v>
      </c>
      <c r="AN551" s="5"/>
      <c r="AO551" s="5" t="s">
        <v>6203</v>
      </c>
      <c r="AP551" s="5" t="s">
        <v>6204</v>
      </c>
      <c r="AQ551" s="75" t="s">
        <v>6205</v>
      </c>
      <c r="AR551" s="20" t="s">
        <v>97</v>
      </c>
      <c r="AS551" s="20" t="s">
        <v>107</v>
      </c>
      <c r="AT551" s="20"/>
      <c r="AU551" s="24">
        <v>0.7</v>
      </c>
      <c r="AV551" s="24">
        <f t="shared" si="112"/>
        <v>0.55999999999999994</v>
      </c>
      <c r="AW551" s="24">
        <f t="shared" si="113"/>
        <v>0.42</v>
      </c>
      <c r="AX551" s="25">
        <v>1E-4</v>
      </c>
      <c r="AY551" s="24">
        <v>0</v>
      </c>
      <c r="AZ551" s="24">
        <f t="shared" si="109"/>
        <v>0.63</v>
      </c>
      <c r="BA551" s="24">
        <f t="shared" si="114"/>
        <v>0.504</v>
      </c>
      <c r="BB551" s="24">
        <f t="shared" si="115"/>
        <v>0.378</v>
      </c>
      <c r="BC551" s="25">
        <v>1E-4</v>
      </c>
      <c r="BD551" s="24">
        <v>0</v>
      </c>
      <c r="BE551" s="26">
        <v>0</v>
      </c>
      <c r="BF551" s="34">
        <f t="shared" si="107"/>
        <v>0</v>
      </c>
      <c r="BG551" s="34">
        <f t="shared" si="108"/>
        <v>0</v>
      </c>
      <c r="BH551" s="26">
        <v>0</v>
      </c>
      <c r="BI551" s="26">
        <v>0</v>
      </c>
      <c r="BJ551" s="20"/>
      <c r="BK551" s="20"/>
      <c r="BL551" s="27"/>
      <c r="BM551" s="27" t="s">
        <v>1212</v>
      </c>
      <c r="BN551" s="26"/>
      <c r="BO551" s="34"/>
      <c r="BP551" s="34"/>
      <c r="BQ551" s="34"/>
      <c r="BR551" s="34"/>
      <c r="BS551" s="34"/>
      <c r="BT551" s="34"/>
      <c r="BU551" s="34"/>
      <c r="BV551" s="34"/>
      <c r="BW551" s="34"/>
      <c r="BX551" s="34"/>
      <c r="BY551" s="34"/>
      <c r="BZ551" s="34"/>
      <c r="CA551" s="20"/>
      <c r="CB551" s="20"/>
      <c r="CC551" s="46">
        <v>46003</v>
      </c>
      <c r="CD551" s="35" t="s">
        <v>6206</v>
      </c>
    </row>
    <row r="552" spans="1:82" ht="66.75" customHeight="1" x14ac:dyDescent="0.25">
      <c r="A552" s="87">
        <v>548</v>
      </c>
      <c r="B552" s="141" t="s">
        <v>6207</v>
      </c>
      <c r="C552" s="82" t="s">
        <v>6208</v>
      </c>
      <c r="D552" s="82" t="s">
        <v>6209</v>
      </c>
      <c r="E552" s="75" t="s">
        <v>113</v>
      </c>
      <c r="F552" s="4" t="s">
        <v>81</v>
      </c>
      <c r="G552" s="5">
        <v>1</v>
      </c>
      <c r="H552" s="6" t="s">
        <v>775</v>
      </c>
      <c r="I552" s="82" t="s">
        <v>2295</v>
      </c>
      <c r="J552" s="82"/>
      <c r="K552" s="82"/>
      <c r="L552" s="82"/>
      <c r="M552" s="82" t="s">
        <v>88</v>
      </c>
      <c r="N552" s="82" t="s">
        <v>89</v>
      </c>
      <c r="O552" s="82" t="s">
        <v>1444</v>
      </c>
      <c r="P552" s="82" t="s">
        <v>2296</v>
      </c>
      <c r="Q552" s="82"/>
      <c r="R552" s="82" t="s">
        <v>91</v>
      </c>
      <c r="S552" s="5" t="s">
        <v>92</v>
      </c>
      <c r="T552" s="82" t="s">
        <v>93</v>
      </c>
      <c r="U552" s="91">
        <v>100</v>
      </c>
      <c r="V552" s="5" t="s">
        <v>94</v>
      </c>
      <c r="W552" s="5" t="s">
        <v>95</v>
      </c>
      <c r="X552" s="5">
        <v>2025</v>
      </c>
      <c r="Y552" s="5" t="s">
        <v>117</v>
      </c>
      <c r="Z552" s="5" t="s">
        <v>95</v>
      </c>
      <c r="AA552" s="5" t="s">
        <v>973</v>
      </c>
      <c r="AB552" s="6" t="s">
        <v>99</v>
      </c>
      <c r="AC552" s="79" t="s">
        <v>6210</v>
      </c>
      <c r="AD552" s="79" t="s">
        <v>6211</v>
      </c>
      <c r="AE552" s="33" t="s">
        <v>2299</v>
      </c>
      <c r="AF552" s="49" t="s">
        <v>3582</v>
      </c>
      <c r="AG552" s="33" t="s">
        <v>2301</v>
      </c>
      <c r="AH552" s="33" t="s">
        <v>123</v>
      </c>
      <c r="AI552" s="75" t="s">
        <v>6212</v>
      </c>
      <c r="AJ552" s="75" t="s">
        <v>6213</v>
      </c>
      <c r="AK552" s="33" t="s">
        <v>2304</v>
      </c>
      <c r="AL552" s="75" t="s">
        <v>2304</v>
      </c>
      <c r="AM552" s="5" t="s">
        <v>6214</v>
      </c>
      <c r="AN552" s="5"/>
      <c r="AO552" s="5" t="s">
        <v>6215</v>
      </c>
      <c r="AP552" s="5" t="s">
        <v>6216</v>
      </c>
      <c r="AQ552" s="75" t="s">
        <v>6205</v>
      </c>
      <c r="AR552" s="20" t="s">
        <v>97</v>
      </c>
      <c r="AS552" s="20" t="s">
        <v>107</v>
      </c>
      <c r="AT552" s="20"/>
      <c r="AU552" s="24">
        <v>0.7</v>
      </c>
      <c r="AV552" s="24">
        <f t="shared" si="112"/>
        <v>0.55999999999999994</v>
      </c>
      <c r="AW552" s="24">
        <f t="shared" si="113"/>
        <v>0.42</v>
      </c>
      <c r="AX552" s="25">
        <v>1E-4</v>
      </c>
      <c r="AY552" s="24">
        <v>0</v>
      </c>
      <c r="AZ552" s="24">
        <f t="shared" si="109"/>
        <v>0.63</v>
      </c>
      <c r="BA552" s="24">
        <f t="shared" si="114"/>
        <v>0.504</v>
      </c>
      <c r="BB552" s="24">
        <f t="shared" si="115"/>
        <v>0.378</v>
      </c>
      <c r="BC552" s="25">
        <v>1E-4</v>
      </c>
      <c r="BD552" s="24">
        <v>0</v>
      </c>
      <c r="BE552" s="26">
        <v>0</v>
      </c>
      <c r="BF552" s="34">
        <f t="shared" si="107"/>
        <v>0</v>
      </c>
      <c r="BG552" s="34">
        <f t="shared" si="108"/>
        <v>0</v>
      </c>
      <c r="BH552" s="26">
        <v>0</v>
      </c>
      <c r="BI552" s="26">
        <v>0</v>
      </c>
      <c r="BJ552" s="20"/>
      <c r="BK552" s="20"/>
      <c r="BL552" s="27"/>
      <c r="BM552" s="27" t="s">
        <v>1176</v>
      </c>
      <c r="BN552" s="26"/>
      <c r="BO552" s="34"/>
      <c r="BP552" s="34"/>
      <c r="BQ552" s="34"/>
      <c r="BR552" s="34"/>
      <c r="BS552" s="34"/>
      <c r="BT552" s="34"/>
      <c r="BU552" s="34"/>
      <c r="BV552" s="34"/>
      <c r="BW552" s="34"/>
      <c r="BX552" s="34"/>
      <c r="BY552" s="34"/>
      <c r="BZ552" s="34"/>
      <c r="CA552" s="20"/>
      <c r="CB552" s="20"/>
      <c r="CC552" s="46">
        <v>46003</v>
      </c>
      <c r="CD552" s="35" t="s">
        <v>6206</v>
      </c>
    </row>
    <row r="553" spans="1:82" ht="66.75" customHeight="1" x14ac:dyDescent="0.25">
      <c r="A553" s="121">
        <v>549</v>
      </c>
      <c r="B553" s="141" t="s">
        <v>6217</v>
      </c>
      <c r="C553" s="82" t="s">
        <v>6218</v>
      </c>
      <c r="D553" s="82" t="s">
        <v>6219</v>
      </c>
      <c r="E553" s="75" t="s">
        <v>113</v>
      </c>
      <c r="F553" s="4" t="s">
        <v>81</v>
      </c>
      <c r="G553" s="5">
        <v>1</v>
      </c>
      <c r="H553" s="6" t="s">
        <v>775</v>
      </c>
      <c r="I553" s="82" t="s">
        <v>2295</v>
      </c>
      <c r="J553" s="82"/>
      <c r="K553" s="82"/>
      <c r="L553" s="82"/>
      <c r="M553" s="82" t="s">
        <v>88</v>
      </c>
      <c r="N553" s="82" t="s">
        <v>89</v>
      </c>
      <c r="O553" s="82" t="s">
        <v>1444</v>
      </c>
      <c r="P553" s="82" t="s">
        <v>2296</v>
      </c>
      <c r="Q553" s="82"/>
      <c r="R553" s="82" t="s">
        <v>91</v>
      </c>
      <c r="S553" s="5" t="s">
        <v>92</v>
      </c>
      <c r="T553" s="82" t="s">
        <v>93</v>
      </c>
      <c r="U553" s="91">
        <v>100</v>
      </c>
      <c r="V553" s="5" t="s">
        <v>94</v>
      </c>
      <c r="W553" s="5" t="s">
        <v>95</v>
      </c>
      <c r="X553" s="5">
        <v>2025</v>
      </c>
      <c r="Y553" s="5" t="s">
        <v>117</v>
      </c>
      <c r="Z553" s="5" t="s">
        <v>95</v>
      </c>
      <c r="AA553" s="5" t="s">
        <v>973</v>
      </c>
      <c r="AB553" s="6" t="s">
        <v>99</v>
      </c>
      <c r="AC553" s="79" t="s">
        <v>6220</v>
      </c>
      <c r="AD553" s="79" t="s">
        <v>6221</v>
      </c>
      <c r="AE553" s="33" t="s">
        <v>2299</v>
      </c>
      <c r="AF553" s="49" t="s">
        <v>3582</v>
      </c>
      <c r="AG553" s="33" t="s">
        <v>2301</v>
      </c>
      <c r="AH553" s="33" t="s">
        <v>123</v>
      </c>
      <c r="AI553" s="75" t="s">
        <v>6222</v>
      </c>
      <c r="AJ553" s="75" t="s">
        <v>6223</v>
      </c>
      <c r="AK553" s="33" t="s">
        <v>2304</v>
      </c>
      <c r="AL553" s="75" t="s">
        <v>2304</v>
      </c>
      <c r="AM553" s="5" t="s">
        <v>2413</v>
      </c>
      <c r="AN553" s="5"/>
      <c r="AO553" s="5" t="s">
        <v>6224</v>
      </c>
      <c r="AP553" s="5" t="s">
        <v>6225</v>
      </c>
      <c r="AQ553" s="75" t="s">
        <v>6205</v>
      </c>
      <c r="AR553" s="20" t="s">
        <v>97</v>
      </c>
      <c r="AS553" s="20" t="s">
        <v>107</v>
      </c>
      <c r="AT553" s="20"/>
      <c r="AU553" s="24">
        <v>0.7</v>
      </c>
      <c r="AV553" s="24">
        <f t="shared" si="112"/>
        <v>0.55999999999999994</v>
      </c>
      <c r="AW553" s="24">
        <f t="shared" si="113"/>
        <v>0.42</v>
      </c>
      <c r="AX553" s="25">
        <v>1E-4</v>
      </c>
      <c r="AY553" s="24">
        <v>0</v>
      </c>
      <c r="AZ553" s="24">
        <f t="shared" si="109"/>
        <v>0.63</v>
      </c>
      <c r="BA553" s="24">
        <f t="shared" si="114"/>
        <v>0.504</v>
      </c>
      <c r="BB553" s="24">
        <f t="shared" si="115"/>
        <v>0.378</v>
      </c>
      <c r="BC553" s="25">
        <v>1E-4</v>
      </c>
      <c r="BD553" s="24">
        <v>0</v>
      </c>
      <c r="BE553" s="26">
        <v>0</v>
      </c>
      <c r="BF553" s="34">
        <f t="shared" si="107"/>
        <v>0</v>
      </c>
      <c r="BG553" s="34">
        <f t="shared" si="108"/>
        <v>0</v>
      </c>
      <c r="BH553" s="26">
        <v>0</v>
      </c>
      <c r="BI553" s="26">
        <v>0</v>
      </c>
      <c r="BJ553" s="20"/>
      <c r="BK553" s="20"/>
      <c r="BL553" s="27"/>
      <c r="BM553" s="27" t="s">
        <v>6226</v>
      </c>
      <c r="BN553" s="26"/>
      <c r="BO553" s="34"/>
      <c r="BP553" s="34"/>
      <c r="BQ553" s="34"/>
      <c r="BR553" s="34"/>
      <c r="BS553" s="34"/>
      <c r="BT553" s="34"/>
      <c r="BU553" s="34"/>
      <c r="BV553" s="34"/>
      <c r="BW553" s="34"/>
      <c r="BX553" s="34"/>
      <c r="BY553" s="34"/>
      <c r="BZ553" s="34"/>
      <c r="CA553" s="20"/>
      <c r="CB553" s="20"/>
      <c r="CC553" s="46">
        <v>46003</v>
      </c>
      <c r="CD553" s="35" t="s">
        <v>6206</v>
      </c>
    </row>
    <row r="554" spans="1:82" ht="66.75" customHeight="1" x14ac:dyDescent="0.25">
      <c r="A554" s="87">
        <v>550</v>
      </c>
      <c r="B554" s="141" t="s">
        <v>6227</v>
      </c>
      <c r="C554" s="82" t="s">
        <v>6228</v>
      </c>
      <c r="D554" s="82" t="s">
        <v>6229</v>
      </c>
      <c r="E554" s="75" t="s">
        <v>113</v>
      </c>
      <c r="F554" s="4" t="s">
        <v>81</v>
      </c>
      <c r="G554" s="5">
        <v>0</v>
      </c>
      <c r="H554" s="6" t="s">
        <v>775</v>
      </c>
      <c r="I554" s="82" t="s">
        <v>2295</v>
      </c>
      <c r="J554" s="82"/>
      <c r="K554" s="82"/>
      <c r="L554" s="82"/>
      <c r="M554" s="82" t="s">
        <v>88</v>
      </c>
      <c r="N554" s="82" t="s">
        <v>89</v>
      </c>
      <c r="O554" s="82" t="s">
        <v>1444</v>
      </c>
      <c r="P554" s="82" t="s">
        <v>2296</v>
      </c>
      <c r="Q554" s="82"/>
      <c r="R554" s="82" t="s">
        <v>91</v>
      </c>
      <c r="S554" s="5" t="s">
        <v>92</v>
      </c>
      <c r="T554" s="82" t="s">
        <v>93</v>
      </c>
      <c r="U554" s="91">
        <v>100</v>
      </c>
      <c r="V554" s="5" t="s">
        <v>94</v>
      </c>
      <c r="W554" s="5" t="s">
        <v>95</v>
      </c>
      <c r="X554" s="5">
        <v>2025</v>
      </c>
      <c r="Y554" s="5" t="s">
        <v>117</v>
      </c>
      <c r="Z554" s="5" t="s">
        <v>95</v>
      </c>
      <c r="AA554" s="5" t="s">
        <v>973</v>
      </c>
      <c r="AB554" s="6" t="s">
        <v>99</v>
      </c>
      <c r="AC554" s="79" t="s">
        <v>6230</v>
      </c>
      <c r="AD554" s="79" t="s">
        <v>6231</v>
      </c>
      <c r="AE554" s="33" t="s">
        <v>2299</v>
      </c>
      <c r="AF554" s="49" t="s">
        <v>3582</v>
      </c>
      <c r="AG554" s="33" t="s">
        <v>2301</v>
      </c>
      <c r="AH554" s="33" t="s">
        <v>123</v>
      </c>
      <c r="AI554" s="75" t="s">
        <v>6232</v>
      </c>
      <c r="AJ554" s="75" t="s">
        <v>6233</v>
      </c>
      <c r="AK554" s="33" t="s">
        <v>2304</v>
      </c>
      <c r="AL554" s="75" t="s">
        <v>2304</v>
      </c>
      <c r="AM554" s="5" t="s">
        <v>2413</v>
      </c>
      <c r="AN554" s="5"/>
      <c r="AO554" s="5" t="s">
        <v>6234</v>
      </c>
      <c r="AP554" s="5" t="s">
        <v>6235</v>
      </c>
      <c r="AQ554" s="75" t="s">
        <v>6205</v>
      </c>
      <c r="AR554" s="20" t="s">
        <v>97</v>
      </c>
      <c r="AS554" s="20" t="s">
        <v>107</v>
      </c>
      <c r="AT554" s="20"/>
      <c r="AU554" s="24">
        <v>0.7</v>
      </c>
      <c r="AV554" s="24">
        <f t="shared" si="112"/>
        <v>0.55999999999999994</v>
      </c>
      <c r="AW554" s="24">
        <f t="shared" si="113"/>
        <v>0.42</v>
      </c>
      <c r="AX554" s="25">
        <v>1E-4</v>
      </c>
      <c r="AY554" s="24">
        <v>0</v>
      </c>
      <c r="AZ554" s="24">
        <f t="shared" si="109"/>
        <v>0.63</v>
      </c>
      <c r="BA554" s="24">
        <f t="shared" si="114"/>
        <v>0.504</v>
      </c>
      <c r="BB554" s="24">
        <f t="shared" si="115"/>
        <v>0.378</v>
      </c>
      <c r="BC554" s="25">
        <v>1E-4</v>
      </c>
      <c r="BD554" s="24">
        <v>0</v>
      </c>
      <c r="BE554" s="26">
        <v>0</v>
      </c>
      <c r="BF554" s="34">
        <f t="shared" si="107"/>
        <v>0</v>
      </c>
      <c r="BG554" s="34">
        <f t="shared" si="108"/>
        <v>0</v>
      </c>
      <c r="BH554" s="26">
        <v>0</v>
      </c>
      <c r="BI554" s="26">
        <v>0</v>
      </c>
      <c r="BJ554" s="20"/>
      <c r="BK554" s="20"/>
      <c r="BL554" s="27"/>
      <c r="BM554" s="27" t="s">
        <v>1176</v>
      </c>
      <c r="BN554" s="26"/>
      <c r="BO554" s="34"/>
      <c r="BP554" s="34"/>
      <c r="BQ554" s="34"/>
      <c r="BR554" s="34"/>
      <c r="BS554" s="34"/>
      <c r="BT554" s="34"/>
      <c r="BU554" s="34"/>
      <c r="BV554" s="34"/>
      <c r="BW554" s="34"/>
      <c r="BX554" s="34"/>
      <c r="BY554" s="34"/>
      <c r="BZ554" s="34"/>
      <c r="CA554" s="20"/>
      <c r="CB554" s="20"/>
      <c r="CC554" s="46">
        <v>46003</v>
      </c>
      <c r="CD554" s="35" t="s">
        <v>6206</v>
      </c>
    </row>
    <row r="555" spans="1:82" ht="66.75" customHeight="1" x14ac:dyDescent="0.25">
      <c r="A555" s="87">
        <v>551</v>
      </c>
      <c r="B555" s="141" t="s">
        <v>6236</v>
      </c>
      <c r="C555" s="6" t="s">
        <v>6237</v>
      </c>
      <c r="D555" s="6" t="s">
        <v>6238</v>
      </c>
      <c r="E555" s="75" t="s">
        <v>113</v>
      </c>
      <c r="F555" s="4" t="s">
        <v>81</v>
      </c>
      <c r="G555" s="5">
        <v>1</v>
      </c>
      <c r="H555" s="82" t="s">
        <v>1577</v>
      </c>
      <c r="I555" s="82" t="s">
        <v>1948</v>
      </c>
      <c r="J555" s="6" t="s">
        <v>1975</v>
      </c>
      <c r="K555" s="6"/>
      <c r="L555" s="6"/>
      <c r="M555" s="6" t="s">
        <v>136</v>
      </c>
      <c r="N555" s="82" t="s">
        <v>89</v>
      </c>
      <c r="O555" s="82" t="s">
        <v>579</v>
      </c>
      <c r="P555" s="82" t="s">
        <v>1976</v>
      </c>
      <c r="Q555" s="82"/>
      <c r="R555" s="82" t="s">
        <v>91</v>
      </c>
      <c r="S555" s="5" t="s">
        <v>92</v>
      </c>
      <c r="T555" s="82" t="s">
        <v>93</v>
      </c>
      <c r="U555" s="91">
        <v>100</v>
      </c>
      <c r="V555" s="5" t="s">
        <v>94</v>
      </c>
      <c r="W555" s="5" t="s">
        <v>95</v>
      </c>
      <c r="X555" s="5">
        <v>2025</v>
      </c>
      <c r="Y555" s="5" t="s">
        <v>117</v>
      </c>
      <c r="Z555" s="5" t="s">
        <v>95</v>
      </c>
      <c r="AA555" s="5" t="s">
        <v>98</v>
      </c>
      <c r="AB555" s="6" t="s">
        <v>99</v>
      </c>
      <c r="AC555" s="79" t="s">
        <v>6239</v>
      </c>
      <c r="AD555" s="79" t="s">
        <v>6240</v>
      </c>
      <c r="AE555" s="33" t="s">
        <v>1979</v>
      </c>
      <c r="AF555" s="49" t="s">
        <v>121</v>
      </c>
      <c r="AG555" s="33" t="s">
        <v>1980</v>
      </c>
      <c r="AH555" s="33" t="s">
        <v>123</v>
      </c>
      <c r="AI555" s="75" t="s">
        <v>6241</v>
      </c>
      <c r="AJ555" s="82" t="s">
        <v>1487</v>
      </c>
      <c r="AK555" s="33" t="s">
        <v>97</v>
      </c>
      <c r="AL555" s="75" t="s">
        <v>97</v>
      </c>
      <c r="AM555" s="5" t="s">
        <v>221</v>
      </c>
      <c r="AN555" s="5" t="s">
        <v>6242</v>
      </c>
      <c r="AO555" s="5"/>
      <c r="AP555" s="5"/>
      <c r="AQ555" s="6" t="s">
        <v>1956</v>
      </c>
      <c r="AR555" s="20" t="s">
        <v>97</v>
      </c>
      <c r="AS555" s="20" t="s">
        <v>107</v>
      </c>
      <c r="AT555" s="20"/>
      <c r="AU555" s="24">
        <v>0.3</v>
      </c>
      <c r="AV555" s="24">
        <f t="shared" si="112"/>
        <v>0.24</v>
      </c>
      <c r="AW555" s="24">
        <f t="shared" si="113"/>
        <v>0.18</v>
      </c>
      <c r="AX555" s="25">
        <v>1E-4</v>
      </c>
      <c r="AY555" s="24">
        <v>0</v>
      </c>
      <c r="AZ555" s="24">
        <f t="shared" si="109"/>
        <v>0.27</v>
      </c>
      <c r="BA555" s="24">
        <f t="shared" si="114"/>
        <v>0.21600000000000003</v>
      </c>
      <c r="BB555" s="24">
        <f t="shared" si="115"/>
        <v>0.16200000000000001</v>
      </c>
      <c r="BC555" s="25">
        <v>1E-4</v>
      </c>
      <c r="BD555" s="24">
        <v>0</v>
      </c>
      <c r="BE555" s="26">
        <v>0</v>
      </c>
      <c r="BF555" s="34">
        <f t="shared" si="107"/>
        <v>0</v>
      </c>
      <c r="BG555" s="34">
        <f t="shared" si="108"/>
        <v>0</v>
      </c>
      <c r="BH555" s="26">
        <v>0</v>
      </c>
      <c r="BI555" s="26">
        <v>0</v>
      </c>
      <c r="BJ555" s="20"/>
      <c r="BK555" s="20"/>
      <c r="BL555" s="27"/>
      <c r="BM555" s="27" t="s">
        <v>6243</v>
      </c>
      <c r="BN555" s="26"/>
      <c r="BO555" s="34"/>
      <c r="BP555" s="34"/>
      <c r="BQ555" s="34">
        <v>1</v>
      </c>
      <c r="BR555" s="34"/>
      <c r="BS555" s="34"/>
      <c r="BT555" s="34"/>
      <c r="BU555" s="34"/>
      <c r="BV555" s="34"/>
      <c r="BW555" s="34"/>
      <c r="BX555" s="34"/>
      <c r="BY555" s="34">
        <v>1</v>
      </c>
      <c r="BZ555" s="34"/>
      <c r="CA555" s="20"/>
      <c r="CB555" s="20"/>
      <c r="CC555" s="46">
        <v>46006</v>
      </c>
      <c r="CD555" s="32" t="s">
        <v>7361</v>
      </c>
    </row>
    <row r="556" spans="1:82" ht="66.75" customHeight="1" x14ac:dyDescent="0.25">
      <c r="A556" s="121">
        <v>552</v>
      </c>
      <c r="B556" s="141" t="s">
        <v>6244</v>
      </c>
      <c r="C556" s="6" t="s">
        <v>6245</v>
      </c>
      <c r="D556" s="6" t="s">
        <v>6246</v>
      </c>
      <c r="E556" s="75" t="s">
        <v>113</v>
      </c>
      <c r="F556" s="4" t="s">
        <v>81</v>
      </c>
      <c r="G556" s="5">
        <v>1</v>
      </c>
      <c r="H556" s="82" t="s">
        <v>309</v>
      </c>
      <c r="I556" s="82" t="s">
        <v>1948</v>
      </c>
      <c r="J556" s="6" t="s">
        <v>1975</v>
      </c>
      <c r="K556" s="6"/>
      <c r="L556" s="6"/>
      <c r="M556" s="6" t="s">
        <v>136</v>
      </c>
      <c r="N556" s="82" t="s">
        <v>89</v>
      </c>
      <c r="O556" s="82" t="s">
        <v>579</v>
      </c>
      <c r="P556" s="82" t="s">
        <v>1976</v>
      </c>
      <c r="Q556" s="82"/>
      <c r="R556" s="82" t="s">
        <v>91</v>
      </c>
      <c r="S556" s="5" t="s">
        <v>92</v>
      </c>
      <c r="T556" s="5" t="s">
        <v>93</v>
      </c>
      <c r="U556" s="91">
        <v>100</v>
      </c>
      <c r="V556" s="5" t="s">
        <v>94</v>
      </c>
      <c r="W556" s="5" t="s">
        <v>95</v>
      </c>
      <c r="X556" s="5">
        <v>2025</v>
      </c>
      <c r="Y556" s="5" t="s">
        <v>117</v>
      </c>
      <c r="Z556" s="5"/>
      <c r="AA556" s="5" t="s">
        <v>98</v>
      </c>
      <c r="AB556" s="6" t="s">
        <v>99</v>
      </c>
      <c r="AC556" s="79" t="s">
        <v>6247</v>
      </c>
      <c r="AD556" s="79" t="s">
        <v>6248</v>
      </c>
      <c r="AE556" s="33" t="s">
        <v>1979</v>
      </c>
      <c r="AF556" s="49" t="s">
        <v>121</v>
      </c>
      <c r="AG556" s="49" t="s">
        <v>1980</v>
      </c>
      <c r="AH556" s="49" t="s">
        <v>123</v>
      </c>
      <c r="AI556" s="48" t="s">
        <v>6249</v>
      </c>
      <c r="AJ556" s="79" t="s">
        <v>6250</v>
      </c>
      <c r="AK556" s="33" t="s">
        <v>97</v>
      </c>
      <c r="AL556" s="75" t="s">
        <v>97</v>
      </c>
      <c r="AM556" s="5" t="s">
        <v>221</v>
      </c>
      <c r="AN556" s="6" t="s">
        <v>6242</v>
      </c>
      <c r="AO556" s="6"/>
      <c r="AP556" s="6"/>
      <c r="AQ556" s="6" t="s">
        <v>1956</v>
      </c>
      <c r="AR556" s="20" t="s">
        <v>97</v>
      </c>
      <c r="AS556" s="20" t="s">
        <v>107</v>
      </c>
      <c r="AT556" s="20"/>
      <c r="AU556" s="24">
        <v>0.3</v>
      </c>
      <c r="AV556" s="24">
        <f t="shared" si="112"/>
        <v>0.24</v>
      </c>
      <c r="AW556" s="24">
        <f t="shared" si="113"/>
        <v>0.18</v>
      </c>
      <c r="AX556" s="25">
        <v>1E-4</v>
      </c>
      <c r="AY556" s="24">
        <v>0</v>
      </c>
      <c r="AZ556" s="24">
        <f t="shared" ref="AZ556:AZ587" si="116">+AU556*90%</f>
        <v>0.27</v>
      </c>
      <c r="BA556" s="24">
        <f t="shared" si="114"/>
        <v>0.21600000000000003</v>
      </c>
      <c r="BB556" s="24">
        <f t="shared" si="115"/>
        <v>0.16200000000000001</v>
      </c>
      <c r="BC556" s="25">
        <v>1E-4</v>
      </c>
      <c r="BD556" s="24">
        <v>0</v>
      </c>
      <c r="BE556" s="26">
        <v>0</v>
      </c>
      <c r="BF556" s="34">
        <f t="shared" si="107"/>
        <v>0</v>
      </c>
      <c r="BG556" s="34">
        <f t="shared" si="108"/>
        <v>0</v>
      </c>
      <c r="BH556" s="26">
        <v>0</v>
      </c>
      <c r="BI556" s="26">
        <v>0</v>
      </c>
      <c r="BJ556" s="20"/>
      <c r="BK556" s="20"/>
      <c r="BL556" s="27"/>
      <c r="BM556" s="27" t="s">
        <v>6251</v>
      </c>
      <c r="BN556" s="26"/>
      <c r="BO556" s="34"/>
      <c r="BP556" s="34"/>
      <c r="BQ556" s="34">
        <v>1</v>
      </c>
      <c r="BR556" s="34"/>
      <c r="BS556" s="34"/>
      <c r="BT556" s="34"/>
      <c r="BU556" s="34"/>
      <c r="BV556" s="34"/>
      <c r="BW556" s="34"/>
      <c r="BX556" s="34"/>
      <c r="BY556" s="34">
        <v>1</v>
      </c>
      <c r="BZ556" s="34"/>
      <c r="CA556" s="20"/>
      <c r="CB556" s="20"/>
      <c r="CC556" s="29">
        <v>46003</v>
      </c>
      <c r="CD556" s="30" t="s">
        <v>6252</v>
      </c>
    </row>
    <row r="557" spans="1:82" ht="66.75" customHeight="1" x14ac:dyDescent="0.25">
      <c r="A557" s="87">
        <v>553</v>
      </c>
      <c r="B557" s="141" t="s">
        <v>6253</v>
      </c>
      <c r="C557" s="6" t="s">
        <v>6254</v>
      </c>
      <c r="D557" s="6" t="s">
        <v>6255</v>
      </c>
      <c r="E557" s="75" t="s">
        <v>113</v>
      </c>
      <c r="F557" s="4" t="s">
        <v>81</v>
      </c>
      <c r="G557" s="5">
        <v>0</v>
      </c>
      <c r="H557" s="82" t="s">
        <v>364</v>
      </c>
      <c r="I557" s="82" t="s">
        <v>1948</v>
      </c>
      <c r="J557" s="6" t="s">
        <v>1975</v>
      </c>
      <c r="K557" s="6"/>
      <c r="L557" s="6"/>
      <c r="M557" s="6" t="s">
        <v>136</v>
      </c>
      <c r="N557" s="82" t="s">
        <v>89</v>
      </c>
      <c r="O557" s="82" t="s">
        <v>579</v>
      </c>
      <c r="P557" s="82" t="s">
        <v>1976</v>
      </c>
      <c r="Q557" s="82"/>
      <c r="R557" s="82" t="s">
        <v>91</v>
      </c>
      <c r="S557" s="5" t="s">
        <v>92</v>
      </c>
      <c r="T557" s="5" t="s">
        <v>93</v>
      </c>
      <c r="U557" s="91">
        <v>100</v>
      </c>
      <c r="V557" s="5" t="s">
        <v>94</v>
      </c>
      <c r="W557" s="5" t="s">
        <v>95</v>
      </c>
      <c r="X557" s="5">
        <v>2025</v>
      </c>
      <c r="Y557" s="5" t="s">
        <v>117</v>
      </c>
      <c r="Z557" s="5"/>
      <c r="AA557" s="5" t="s">
        <v>98</v>
      </c>
      <c r="AB557" s="6" t="s">
        <v>99</v>
      </c>
      <c r="AC557" s="79" t="s">
        <v>6256</v>
      </c>
      <c r="AD557" s="79" t="s">
        <v>1372</v>
      </c>
      <c r="AE557" s="33" t="s">
        <v>1979</v>
      </c>
      <c r="AF557" s="49" t="s">
        <v>121</v>
      </c>
      <c r="AG557" s="49" t="s">
        <v>1980</v>
      </c>
      <c r="AH557" s="49" t="s">
        <v>123</v>
      </c>
      <c r="AI557" s="48" t="s">
        <v>6257</v>
      </c>
      <c r="AJ557" s="79" t="s">
        <v>6258</v>
      </c>
      <c r="AK557" s="33" t="s">
        <v>97</v>
      </c>
      <c r="AL557" s="75" t="s">
        <v>97</v>
      </c>
      <c r="AM557" s="5" t="s">
        <v>221</v>
      </c>
      <c r="AN557" s="6" t="s">
        <v>6242</v>
      </c>
      <c r="AO557" s="6"/>
      <c r="AP557" s="6"/>
      <c r="AQ557" s="6" t="s">
        <v>1956</v>
      </c>
      <c r="AR557" s="20" t="s">
        <v>97</v>
      </c>
      <c r="AS557" s="20" t="s">
        <v>107</v>
      </c>
      <c r="AT557" s="20"/>
      <c r="AU557" s="24">
        <v>0.3</v>
      </c>
      <c r="AV557" s="24">
        <f t="shared" si="112"/>
        <v>0.24</v>
      </c>
      <c r="AW557" s="24">
        <f t="shared" si="113"/>
        <v>0.18</v>
      </c>
      <c r="AX557" s="25">
        <v>1E-4</v>
      </c>
      <c r="AY557" s="24">
        <v>0</v>
      </c>
      <c r="AZ557" s="24">
        <f t="shared" si="116"/>
        <v>0.27</v>
      </c>
      <c r="BA557" s="24">
        <f t="shared" si="114"/>
        <v>0.21600000000000003</v>
      </c>
      <c r="BB557" s="24">
        <f t="shared" si="115"/>
        <v>0.16200000000000001</v>
      </c>
      <c r="BC557" s="25">
        <v>1E-4</v>
      </c>
      <c r="BD557" s="24">
        <v>0</v>
      </c>
      <c r="BE557" s="26">
        <v>0</v>
      </c>
      <c r="BF557" s="34">
        <f t="shared" si="107"/>
        <v>0</v>
      </c>
      <c r="BG557" s="34">
        <f t="shared" si="108"/>
        <v>0</v>
      </c>
      <c r="BH557" s="26">
        <v>0</v>
      </c>
      <c r="BI557" s="26">
        <v>0</v>
      </c>
      <c r="BJ557" s="20"/>
      <c r="BK557" s="20"/>
      <c r="BL557" s="27"/>
      <c r="BM557" s="27" t="s">
        <v>995</v>
      </c>
      <c r="BN557" s="26"/>
      <c r="BO557" s="34"/>
      <c r="BP557" s="34"/>
      <c r="BQ557" s="34">
        <v>1</v>
      </c>
      <c r="BR557" s="34"/>
      <c r="BS557" s="34"/>
      <c r="BT557" s="34"/>
      <c r="BU557" s="34"/>
      <c r="BV557" s="34"/>
      <c r="BW557" s="34"/>
      <c r="BX557" s="34"/>
      <c r="BY557" s="34">
        <v>1</v>
      </c>
      <c r="BZ557" s="34"/>
      <c r="CA557" s="20"/>
      <c r="CB557" s="20"/>
      <c r="CC557" s="29">
        <v>46003</v>
      </c>
      <c r="CD557" s="30" t="s">
        <v>6252</v>
      </c>
    </row>
    <row r="558" spans="1:82" ht="66.75" customHeight="1" x14ac:dyDescent="0.25">
      <c r="A558" s="87">
        <v>554</v>
      </c>
      <c r="B558" s="141" t="s">
        <v>6259</v>
      </c>
      <c r="C558" s="6" t="s">
        <v>6260</v>
      </c>
      <c r="D558" s="6" t="s">
        <v>6261</v>
      </c>
      <c r="E558" s="75" t="s">
        <v>113</v>
      </c>
      <c r="F558" s="4" t="s">
        <v>81</v>
      </c>
      <c r="G558" s="5">
        <v>0</v>
      </c>
      <c r="H558" s="82" t="s">
        <v>423</v>
      </c>
      <c r="I558" s="82" t="s">
        <v>1948</v>
      </c>
      <c r="J558" s="6" t="s">
        <v>1975</v>
      </c>
      <c r="K558" s="6"/>
      <c r="L558" s="6"/>
      <c r="M558" s="6" t="s">
        <v>136</v>
      </c>
      <c r="N558" s="82" t="s">
        <v>89</v>
      </c>
      <c r="O558" s="82" t="s">
        <v>579</v>
      </c>
      <c r="P558" s="82" t="s">
        <v>1976</v>
      </c>
      <c r="Q558" s="82"/>
      <c r="R558" s="82" t="s">
        <v>91</v>
      </c>
      <c r="S558" s="5" t="s">
        <v>92</v>
      </c>
      <c r="T558" s="5" t="s">
        <v>93</v>
      </c>
      <c r="U558" s="91">
        <v>100</v>
      </c>
      <c r="V558" s="5" t="s">
        <v>94</v>
      </c>
      <c r="W558" s="5" t="s">
        <v>95</v>
      </c>
      <c r="X558" s="5">
        <v>2025</v>
      </c>
      <c r="Y558" s="5" t="s">
        <v>117</v>
      </c>
      <c r="Z558" s="5"/>
      <c r="AA558" s="5" t="s">
        <v>98</v>
      </c>
      <c r="AB558" s="6" t="s">
        <v>99</v>
      </c>
      <c r="AC558" s="79" t="s">
        <v>1988</v>
      </c>
      <c r="AD558" s="79" t="s">
        <v>1718</v>
      </c>
      <c r="AE558" s="33" t="s">
        <v>1979</v>
      </c>
      <c r="AF558" s="49" t="s">
        <v>121</v>
      </c>
      <c r="AG558" s="49" t="s">
        <v>1042</v>
      </c>
      <c r="AH558" s="49" t="s">
        <v>123</v>
      </c>
      <c r="AI558" s="48" t="s">
        <v>6262</v>
      </c>
      <c r="AJ558" s="79" t="s">
        <v>6263</v>
      </c>
      <c r="AK558" s="33" t="s">
        <v>97</v>
      </c>
      <c r="AL558" s="75" t="s">
        <v>97</v>
      </c>
      <c r="AM558" s="5" t="s">
        <v>221</v>
      </c>
      <c r="AN558" s="6" t="s">
        <v>6264</v>
      </c>
      <c r="AO558" s="6"/>
      <c r="AP558" s="6"/>
      <c r="AQ558" s="6" t="s">
        <v>1956</v>
      </c>
      <c r="AR558" s="20" t="s">
        <v>97</v>
      </c>
      <c r="AS558" s="20" t="s">
        <v>107</v>
      </c>
      <c r="AT558" s="20"/>
      <c r="AU558" s="68">
        <v>0.25</v>
      </c>
      <c r="AV558" s="24">
        <f t="shared" si="112"/>
        <v>0.2</v>
      </c>
      <c r="AW558" s="24">
        <f t="shared" si="113"/>
        <v>0.15</v>
      </c>
      <c r="AX558" s="25">
        <v>1E-4</v>
      </c>
      <c r="AY558" s="24">
        <v>0</v>
      </c>
      <c r="AZ558" s="24">
        <f t="shared" si="116"/>
        <v>0.22500000000000001</v>
      </c>
      <c r="BA558" s="24">
        <f t="shared" si="114"/>
        <v>0.18000000000000002</v>
      </c>
      <c r="BB558" s="24">
        <f t="shared" si="115"/>
        <v>0.13500000000000001</v>
      </c>
      <c r="BC558" s="25">
        <v>1E-4</v>
      </c>
      <c r="BD558" s="24">
        <v>0</v>
      </c>
      <c r="BE558" s="26">
        <v>0</v>
      </c>
      <c r="BF558" s="34">
        <f t="shared" si="107"/>
        <v>0</v>
      </c>
      <c r="BG558" s="34">
        <f t="shared" si="108"/>
        <v>0</v>
      </c>
      <c r="BH558" s="26">
        <v>0</v>
      </c>
      <c r="BI558" s="26">
        <v>0</v>
      </c>
      <c r="BJ558" s="20"/>
      <c r="BK558" s="20"/>
      <c r="BL558" s="27"/>
      <c r="BM558" s="27" t="s">
        <v>6265</v>
      </c>
      <c r="BN558" s="26"/>
      <c r="BO558" s="34"/>
      <c r="BP558" s="34"/>
      <c r="BQ558" s="34">
        <v>1</v>
      </c>
      <c r="BR558" s="34"/>
      <c r="BS558" s="34"/>
      <c r="BT558" s="34"/>
      <c r="BU558" s="34"/>
      <c r="BV558" s="34"/>
      <c r="BW558" s="34"/>
      <c r="BX558" s="34"/>
      <c r="BY558" s="34">
        <v>1</v>
      </c>
      <c r="BZ558" s="34"/>
      <c r="CA558" s="20"/>
      <c r="CB558" s="20"/>
      <c r="CC558" s="29">
        <v>46003</v>
      </c>
      <c r="CD558" s="30" t="s">
        <v>6252</v>
      </c>
    </row>
    <row r="559" spans="1:82" ht="66.75" customHeight="1" x14ac:dyDescent="0.25">
      <c r="A559" s="121">
        <v>555</v>
      </c>
      <c r="B559" s="141" t="s">
        <v>6266</v>
      </c>
      <c r="C559" s="6" t="s">
        <v>6267</v>
      </c>
      <c r="D559" s="6" t="s">
        <v>6268</v>
      </c>
      <c r="E559" s="75" t="s">
        <v>113</v>
      </c>
      <c r="F559" s="4" t="s">
        <v>81</v>
      </c>
      <c r="G559" s="5">
        <v>0</v>
      </c>
      <c r="H559" s="82" t="s">
        <v>436</v>
      </c>
      <c r="I559" s="82" t="s">
        <v>1948</v>
      </c>
      <c r="J559" s="6" t="s">
        <v>1975</v>
      </c>
      <c r="K559" s="6"/>
      <c r="L559" s="6"/>
      <c r="M559" s="6" t="s">
        <v>136</v>
      </c>
      <c r="N559" s="82" t="s">
        <v>89</v>
      </c>
      <c r="O559" s="82" t="s">
        <v>579</v>
      </c>
      <c r="P559" s="82" t="s">
        <v>1976</v>
      </c>
      <c r="Q559" s="82"/>
      <c r="R559" s="82" t="s">
        <v>91</v>
      </c>
      <c r="S559" s="5" t="s">
        <v>92</v>
      </c>
      <c r="T559" s="5" t="s">
        <v>93</v>
      </c>
      <c r="U559" s="91">
        <v>100</v>
      </c>
      <c r="V559" s="5" t="s">
        <v>94</v>
      </c>
      <c r="W559" s="5" t="s">
        <v>95</v>
      </c>
      <c r="X559" s="5">
        <v>2025</v>
      </c>
      <c r="Y559" s="5" t="s">
        <v>117</v>
      </c>
      <c r="Z559" s="5"/>
      <c r="AA559" s="5" t="s">
        <v>98</v>
      </c>
      <c r="AB559" s="6" t="s">
        <v>99</v>
      </c>
      <c r="AC559" s="79" t="s">
        <v>6269</v>
      </c>
      <c r="AD559" s="79" t="s">
        <v>6270</v>
      </c>
      <c r="AE559" s="33" t="s">
        <v>1979</v>
      </c>
      <c r="AF559" s="49" t="s">
        <v>121</v>
      </c>
      <c r="AG559" s="49" t="s">
        <v>1965</v>
      </c>
      <c r="AH559" s="49" t="s">
        <v>123</v>
      </c>
      <c r="AI559" s="48" t="s">
        <v>6271</v>
      </c>
      <c r="AJ559" s="79" t="s">
        <v>6272</v>
      </c>
      <c r="AK559" s="33" t="s">
        <v>97</v>
      </c>
      <c r="AL559" s="75" t="s">
        <v>97</v>
      </c>
      <c r="AM559" s="5" t="s">
        <v>221</v>
      </c>
      <c r="AN559" s="6" t="s">
        <v>6273</v>
      </c>
      <c r="AO559" s="6"/>
      <c r="AP559" s="6"/>
      <c r="AQ559" s="6" t="s">
        <v>1956</v>
      </c>
      <c r="AR559" s="20" t="s">
        <v>97</v>
      </c>
      <c r="AS559" s="20" t="s">
        <v>107</v>
      </c>
      <c r="AT559" s="20"/>
      <c r="AU559" s="68">
        <v>0.3</v>
      </c>
      <c r="AV559" s="24">
        <f t="shared" si="112"/>
        <v>0.24</v>
      </c>
      <c r="AW559" s="24">
        <f t="shared" si="113"/>
        <v>0.18</v>
      </c>
      <c r="AX559" s="25">
        <v>1E-4</v>
      </c>
      <c r="AY559" s="24">
        <v>0</v>
      </c>
      <c r="AZ559" s="24">
        <f t="shared" si="116"/>
        <v>0.27</v>
      </c>
      <c r="BA559" s="24">
        <f t="shared" si="114"/>
        <v>0.21600000000000003</v>
      </c>
      <c r="BB559" s="24">
        <f t="shared" si="115"/>
        <v>0.16200000000000001</v>
      </c>
      <c r="BC559" s="25">
        <v>1E-4</v>
      </c>
      <c r="BD559" s="24">
        <v>0</v>
      </c>
      <c r="BE559" s="26">
        <v>0</v>
      </c>
      <c r="BF559" s="34">
        <f t="shared" si="107"/>
        <v>0</v>
      </c>
      <c r="BG559" s="34">
        <f t="shared" si="108"/>
        <v>0</v>
      </c>
      <c r="BH559" s="26">
        <v>0</v>
      </c>
      <c r="BI559" s="26">
        <v>0</v>
      </c>
      <c r="BJ559" s="20"/>
      <c r="BK559" s="20"/>
      <c r="BL559" s="27"/>
      <c r="BM559" s="27" t="s">
        <v>6274</v>
      </c>
      <c r="BN559" s="26"/>
      <c r="BO559" s="34"/>
      <c r="BP559" s="34"/>
      <c r="BQ559" s="34">
        <v>1</v>
      </c>
      <c r="BR559" s="34"/>
      <c r="BS559" s="34"/>
      <c r="BT559" s="34"/>
      <c r="BU559" s="34"/>
      <c r="BV559" s="34"/>
      <c r="BW559" s="34"/>
      <c r="BX559" s="34"/>
      <c r="BY559" s="34">
        <v>1</v>
      </c>
      <c r="BZ559" s="34"/>
      <c r="CA559" s="20"/>
      <c r="CB559" s="20"/>
      <c r="CC559" s="29">
        <v>46003</v>
      </c>
      <c r="CD559" s="30" t="s">
        <v>6252</v>
      </c>
    </row>
    <row r="560" spans="1:82" ht="66.75" customHeight="1" x14ac:dyDescent="0.25">
      <c r="A560" s="87">
        <v>556</v>
      </c>
      <c r="B560" s="141" t="s">
        <v>6275</v>
      </c>
      <c r="C560" s="6" t="s">
        <v>6276</v>
      </c>
      <c r="D560" s="6" t="s">
        <v>6277</v>
      </c>
      <c r="E560" s="75" t="s">
        <v>113</v>
      </c>
      <c r="F560" s="4" t="s">
        <v>81</v>
      </c>
      <c r="G560" s="5">
        <v>0</v>
      </c>
      <c r="H560" s="82" t="s">
        <v>463</v>
      </c>
      <c r="I560" s="82" t="s">
        <v>1948</v>
      </c>
      <c r="J560" s="6" t="s">
        <v>1975</v>
      </c>
      <c r="K560" s="6"/>
      <c r="L560" s="6"/>
      <c r="M560" s="6" t="s">
        <v>136</v>
      </c>
      <c r="N560" s="82" t="s">
        <v>89</v>
      </c>
      <c r="O560" s="82" t="s">
        <v>579</v>
      </c>
      <c r="P560" s="82" t="s">
        <v>1976</v>
      </c>
      <c r="Q560" s="82"/>
      <c r="R560" s="82" t="s">
        <v>91</v>
      </c>
      <c r="S560" s="5" t="s">
        <v>92</v>
      </c>
      <c r="T560" s="5" t="s">
        <v>93</v>
      </c>
      <c r="U560" s="91">
        <v>100</v>
      </c>
      <c r="V560" s="5" t="s">
        <v>94</v>
      </c>
      <c r="W560" s="5" t="s">
        <v>95</v>
      </c>
      <c r="X560" s="5">
        <v>2025</v>
      </c>
      <c r="Y560" s="5" t="s">
        <v>117</v>
      </c>
      <c r="Z560" s="5"/>
      <c r="AA560" s="5" t="s">
        <v>98</v>
      </c>
      <c r="AB560" s="6" t="s">
        <v>99</v>
      </c>
      <c r="AC560" s="79" t="s">
        <v>6278</v>
      </c>
      <c r="AD560" s="79" t="s">
        <v>491</v>
      </c>
      <c r="AE560" s="33" t="s">
        <v>1979</v>
      </c>
      <c r="AF560" s="49" t="s">
        <v>121</v>
      </c>
      <c r="AG560" s="49" t="s">
        <v>1965</v>
      </c>
      <c r="AH560" s="49" t="s">
        <v>123</v>
      </c>
      <c r="AI560" s="48" t="s">
        <v>6279</v>
      </c>
      <c r="AJ560" s="79" t="s">
        <v>6280</v>
      </c>
      <c r="AK560" s="33" t="s">
        <v>97</v>
      </c>
      <c r="AL560" s="75" t="s">
        <v>97</v>
      </c>
      <c r="AM560" s="5" t="s">
        <v>221</v>
      </c>
      <c r="AN560" s="6" t="s">
        <v>6273</v>
      </c>
      <c r="AO560" s="6"/>
      <c r="AP560" s="6"/>
      <c r="AQ560" s="6" t="s">
        <v>1956</v>
      </c>
      <c r="AR560" s="20" t="s">
        <v>97</v>
      </c>
      <c r="AS560" s="20" t="s">
        <v>107</v>
      </c>
      <c r="AT560" s="20"/>
      <c r="AU560" s="68">
        <v>0.3</v>
      </c>
      <c r="AV560" s="24">
        <f t="shared" si="112"/>
        <v>0.24</v>
      </c>
      <c r="AW560" s="24">
        <f t="shared" si="113"/>
        <v>0.18</v>
      </c>
      <c r="AX560" s="25">
        <v>1E-4</v>
      </c>
      <c r="AY560" s="24">
        <v>0</v>
      </c>
      <c r="AZ560" s="24">
        <f t="shared" si="116"/>
        <v>0.27</v>
      </c>
      <c r="BA560" s="24">
        <f t="shared" si="114"/>
        <v>0.21600000000000003</v>
      </c>
      <c r="BB560" s="24">
        <f t="shared" si="115"/>
        <v>0.16200000000000001</v>
      </c>
      <c r="BC560" s="25">
        <v>1E-4</v>
      </c>
      <c r="BD560" s="24">
        <v>0</v>
      </c>
      <c r="BE560" s="26">
        <v>0</v>
      </c>
      <c r="BF560" s="34">
        <f t="shared" si="107"/>
        <v>0</v>
      </c>
      <c r="BG560" s="34">
        <f t="shared" si="108"/>
        <v>0</v>
      </c>
      <c r="BH560" s="26">
        <v>0</v>
      </c>
      <c r="BI560" s="26">
        <v>0</v>
      </c>
      <c r="BJ560" s="20"/>
      <c r="BK560" s="20"/>
      <c r="BL560" s="27"/>
      <c r="BM560" s="27" t="s">
        <v>6281</v>
      </c>
      <c r="BN560" s="26"/>
      <c r="BO560" s="34"/>
      <c r="BP560" s="34"/>
      <c r="BQ560" s="34">
        <v>1</v>
      </c>
      <c r="BR560" s="34"/>
      <c r="BS560" s="34"/>
      <c r="BT560" s="34"/>
      <c r="BU560" s="34"/>
      <c r="BV560" s="34"/>
      <c r="BW560" s="34"/>
      <c r="BX560" s="34"/>
      <c r="BY560" s="34">
        <v>1</v>
      </c>
      <c r="BZ560" s="34"/>
      <c r="CA560" s="20"/>
      <c r="CB560" s="20"/>
      <c r="CC560" s="29">
        <v>46003</v>
      </c>
      <c r="CD560" s="30" t="s">
        <v>6252</v>
      </c>
    </row>
    <row r="561" spans="1:82" ht="66.75" customHeight="1" x14ac:dyDescent="0.25">
      <c r="A561" s="87">
        <v>557</v>
      </c>
      <c r="B561" s="144" t="s">
        <v>6282</v>
      </c>
      <c r="C561" s="11" t="s">
        <v>6283</v>
      </c>
      <c r="D561" s="11" t="s">
        <v>6284</v>
      </c>
      <c r="E561" s="75" t="s">
        <v>113</v>
      </c>
      <c r="F561" s="19" t="s">
        <v>81</v>
      </c>
      <c r="G561" s="7">
        <v>0</v>
      </c>
      <c r="H561" s="7" t="s">
        <v>775</v>
      </c>
      <c r="I561" s="7" t="s">
        <v>578</v>
      </c>
      <c r="J561" s="7"/>
      <c r="K561" s="7"/>
      <c r="L561" s="7"/>
      <c r="M561" s="7" t="s">
        <v>88</v>
      </c>
      <c r="N561" s="7" t="s">
        <v>89</v>
      </c>
      <c r="O561" s="7" t="s">
        <v>579</v>
      </c>
      <c r="P561" s="7" t="s">
        <v>580</v>
      </c>
      <c r="Q561" s="7"/>
      <c r="R561" s="7" t="s">
        <v>91</v>
      </c>
      <c r="S561" s="5" t="s">
        <v>92</v>
      </c>
      <c r="T561" s="7" t="s">
        <v>93</v>
      </c>
      <c r="U561" s="7">
        <v>100</v>
      </c>
      <c r="V561" s="7" t="s">
        <v>94</v>
      </c>
      <c r="W561" s="7" t="s">
        <v>95</v>
      </c>
      <c r="X561" s="7">
        <v>2025</v>
      </c>
      <c r="Y561" s="5" t="s">
        <v>117</v>
      </c>
      <c r="Z561" s="7" t="s">
        <v>97</v>
      </c>
      <c r="AA561" s="7" t="s">
        <v>98</v>
      </c>
      <c r="AB561" s="7" t="s">
        <v>99</v>
      </c>
      <c r="AC561" s="7" t="s">
        <v>6285</v>
      </c>
      <c r="AD561" s="7" t="s">
        <v>6286</v>
      </c>
      <c r="AE561" s="7" t="s">
        <v>6287</v>
      </c>
      <c r="AF561" s="20" t="s">
        <v>121</v>
      </c>
      <c r="AG561" s="20" t="s">
        <v>218</v>
      </c>
      <c r="AH561" s="20" t="s">
        <v>123</v>
      </c>
      <c r="AI561" s="7" t="s">
        <v>7442</v>
      </c>
      <c r="AJ561" s="7" t="s">
        <v>6288</v>
      </c>
      <c r="AK561" s="20" t="s">
        <v>97</v>
      </c>
      <c r="AL561" s="20" t="s">
        <v>97</v>
      </c>
      <c r="AM561" s="5" t="s">
        <v>5539</v>
      </c>
      <c r="AN561" s="7" t="s">
        <v>631</v>
      </c>
      <c r="AO561" s="7" t="s">
        <v>781</v>
      </c>
      <c r="AP561" s="7" t="s">
        <v>781</v>
      </c>
      <c r="AQ561" s="7" t="s">
        <v>6289</v>
      </c>
      <c r="AR561" s="20" t="s">
        <v>97</v>
      </c>
      <c r="AS561" s="20" t="s">
        <v>107</v>
      </c>
      <c r="AT561" s="20"/>
      <c r="AU561" s="59">
        <v>0.95</v>
      </c>
      <c r="AV561" s="24">
        <f t="shared" si="112"/>
        <v>0.76</v>
      </c>
      <c r="AW561" s="24">
        <f t="shared" si="113"/>
        <v>0.56999999999999995</v>
      </c>
      <c r="AX561" s="25">
        <v>1E-4</v>
      </c>
      <c r="AY561" s="24">
        <v>0</v>
      </c>
      <c r="AZ561" s="24">
        <f t="shared" si="116"/>
        <v>0.85499999999999998</v>
      </c>
      <c r="BA561" s="24">
        <f t="shared" si="114"/>
        <v>0.68400000000000005</v>
      </c>
      <c r="BB561" s="24">
        <f t="shared" si="115"/>
        <v>0.51300000000000001</v>
      </c>
      <c r="BC561" s="25">
        <v>1E-4</v>
      </c>
      <c r="BD561" s="24">
        <v>0</v>
      </c>
      <c r="BE561" s="26">
        <v>0</v>
      </c>
      <c r="BF561" s="34">
        <f t="shared" si="107"/>
        <v>0</v>
      </c>
      <c r="BG561" s="34">
        <f t="shared" si="108"/>
        <v>0</v>
      </c>
      <c r="BH561" s="26">
        <v>0</v>
      </c>
      <c r="BI561" s="26">
        <v>0</v>
      </c>
      <c r="BJ561" s="20"/>
      <c r="BK561" s="20"/>
      <c r="BL561" s="27"/>
      <c r="BM561" s="27" t="s">
        <v>6290</v>
      </c>
      <c r="BN561" s="26"/>
      <c r="BO561" s="34"/>
      <c r="BP561" s="34"/>
      <c r="BQ561" s="34"/>
      <c r="BR561" s="34"/>
      <c r="BS561" s="34"/>
      <c r="BT561" s="34"/>
      <c r="BU561" s="34"/>
      <c r="BV561" s="34"/>
      <c r="BW561" s="34"/>
      <c r="BX561" s="34"/>
      <c r="BY561" s="34"/>
      <c r="BZ561" s="34"/>
      <c r="CA561" s="20"/>
      <c r="CB561" s="33"/>
      <c r="CC561" s="29">
        <v>46003</v>
      </c>
      <c r="CD561" s="36" t="s">
        <v>6291</v>
      </c>
    </row>
    <row r="562" spans="1:82" ht="66.75" customHeight="1" x14ac:dyDescent="0.25">
      <c r="A562" s="121">
        <v>558</v>
      </c>
      <c r="B562" s="141" t="s">
        <v>6292</v>
      </c>
      <c r="C562" s="82" t="s">
        <v>6293</v>
      </c>
      <c r="D562" s="82" t="s">
        <v>6294</v>
      </c>
      <c r="E562" s="75" t="s">
        <v>113</v>
      </c>
      <c r="F562" s="4" t="s">
        <v>81</v>
      </c>
      <c r="G562" s="5">
        <v>0</v>
      </c>
      <c r="H562" s="6" t="s">
        <v>775</v>
      </c>
      <c r="I562" s="6" t="s">
        <v>2901</v>
      </c>
      <c r="J562" s="6"/>
      <c r="K562" s="6"/>
      <c r="L562" s="6"/>
      <c r="M562" s="6" t="s">
        <v>136</v>
      </c>
      <c r="N562" s="6" t="s">
        <v>89</v>
      </c>
      <c r="O562" s="6" t="s">
        <v>3056</v>
      </c>
      <c r="P562" s="82" t="s">
        <v>3057</v>
      </c>
      <c r="Q562" s="82"/>
      <c r="R562" s="82" t="s">
        <v>175</v>
      </c>
      <c r="S562" s="5" t="s">
        <v>92</v>
      </c>
      <c r="T562" s="82" t="s">
        <v>6295</v>
      </c>
      <c r="U562" s="91" t="s">
        <v>84</v>
      </c>
      <c r="V562" s="5" t="s">
        <v>94</v>
      </c>
      <c r="W562" s="5" t="s">
        <v>95</v>
      </c>
      <c r="X562" s="5">
        <v>2025</v>
      </c>
      <c r="Y562" s="5" t="s">
        <v>117</v>
      </c>
      <c r="Z562" s="5" t="s">
        <v>95</v>
      </c>
      <c r="AA562" s="5" t="s">
        <v>973</v>
      </c>
      <c r="AB562" s="6" t="s">
        <v>99</v>
      </c>
      <c r="AC562" s="79" t="s">
        <v>6296</v>
      </c>
      <c r="AD562" s="79" t="s">
        <v>6297</v>
      </c>
      <c r="AE562" s="6" t="s">
        <v>3093</v>
      </c>
      <c r="AF562" s="6" t="s">
        <v>6298</v>
      </c>
      <c r="AG562" s="5" t="s">
        <v>3112</v>
      </c>
      <c r="AH562" s="5" t="s">
        <v>1042</v>
      </c>
      <c r="AI562" s="5" t="s">
        <v>6299</v>
      </c>
      <c r="AJ562" s="5" t="s">
        <v>6300</v>
      </c>
      <c r="AK562" s="33"/>
      <c r="AL562" s="5" t="s">
        <v>3082</v>
      </c>
      <c r="AM562" s="5" t="s">
        <v>6301</v>
      </c>
      <c r="AN562" s="5" t="s">
        <v>6302</v>
      </c>
      <c r="AO562" s="5" t="s">
        <v>6303</v>
      </c>
      <c r="AP562" s="5" t="s">
        <v>6304</v>
      </c>
      <c r="AQ562" s="75" t="s">
        <v>6305</v>
      </c>
      <c r="AR562" s="20" t="s">
        <v>97</v>
      </c>
      <c r="AS562" s="20" t="s">
        <v>107</v>
      </c>
      <c r="AT562" s="20"/>
      <c r="AU562" s="20">
        <v>30</v>
      </c>
      <c r="AV562" s="26">
        <v>24</v>
      </c>
      <c r="AW562" s="26">
        <v>18</v>
      </c>
      <c r="AX562" s="26">
        <v>1E-4</v>
      </c>
      <c r="AY562" s="26">
        <v>0</v>
      </c>
      <c r="AZ562" s="50">
        <f t="shared" si="116"/>
        <v>27</v>
      </c>
      <c r="BA562" s="26">
        <f t="shared" si="114"/>
        <v>21.6</v>
      </c>
      <c r="BB562" s="26">
        <f t="shared" si="115"/>
        <v>16.2</v>
      </c>
      <c r="BC562" s="26">
        <v>1E-4</v>
      </c>
      <c r="BD562" s="26">
        <v>0</v>
      </c>
      <c r="BE562" s="26">
        <v>0</v>
      </c>
      <c r="BF562" s="34">
        <f t="shared" si="107"/>
        <v>0</v>
      </c>
      <c r="BG562" s="34">
        <f t="shared" si="108"/>
        <v>0</v>
      </c>
      <c r="BH562" s="26">
        <v>0</v>
      </c>
      <c r="BI562" s="26">
        <v>0</v>
      </c>
      <c r="BJ562" s="20"/>
      <c r="BK562" s="20"/>
      <c r="BL562" s="27"/>
      <c r="BM562" s="27" t="s">
        <v>6306</v>
      </c>
      <c r="BN562" s="26"/>
      <c r="BO562" s="34"/>
      <c r="BP562" s="34"/>
      <c r="BQ562" s="34"/>
      <c r="BR562" s="34"/>
      <c r="BS562" s="34"/>
      <c r="BT562" s="34"/>
      <c r="BU562" s="34"/>
      <c r="BV562" s="34"/>
      <c r="BW562" s="34"/>
      <c r="BX562" s="34"/>
      <c r="BY562" s="34"/>
      <c r="BZ562" s="34"/>
      <c r="CA562" s="20"/>
      <c r="CB562" s="20"/>
      <c r="CC562" s="29">
        <v>46003</v>
      </c>
      <c r="CD562" s="11" t="s">
        <v>1428</v>
      </c>
    </row>
    <row r="563" spans="1:82" ht="66.75" customHeight="1" x14ac:dyDescent="0.25">
      <c r="A563" s="87">
        <v>559</v>
      </c>
      <c r="B563" s="141" t="s">
        <v>6307</v>
      </c>
      <c r="C563" s="82" t="s">
        <v>6308</v>
      </c>
      <c r="D563" s="82" t="s">
        <v>6309</v>
      </c>
      <c r="E563" s="75" t="s">
        <v>113</v>
      </c>
      <c r="F563" s="4" t="s">
        <v>81</v>
      </c>
      <c r="G563" s="5">
        <v>0</v>
      </c>
      <c r="H563" s="6" t="s">
        <v>775</v>
      </c>
      <c r="I563" s="82" t="s">
        <v>2901</v>
      </c>
      <c r="J563" s="82"/>
      <c r="K563" s="82"/>
      <c r="L563" s="82"/>
      <c r="M563" s="82" t="s">
        <v>136</v>
      </c>
      <c r="N563" s="82" t="s">
        <v>89</v>
      </c>
      <c r="O563" s="82" t="s">
        <v>2688</v>
      </c>
      <c r="P563" s="82" t="s">
        <v>6310</v>
      </c>
      <c r="Q563" s="82"/>
      <c r="R563" s="82" t="s">
        <v>91</v>
      </c>
      <c r="S563" s="5" t="s">
        <v>92</v>
      </c>
      <c r="T563" s="82" t="s">
        <v>93</v>
      </c>
      <c r="U563" s="91">
        <v>100</v>
      </c>
      <c r="V563" s="5" t="s">
        <v>94</v>
      </c>
      <c r="W563" s="5" t="s">
        <v>95</v>
      </c>
      <c r="X563" s="5">
        <v>2025</v>
      </c>
      <c r="Y563" s="5" t="s">
        <v>117</v>
      </c>
      <c r="Z563" s="5" t="s">
        <v>97</v>
      </c>
      <c r="AA563" s="5" t="s">
        <v>973</v>
      </c>
      <c r="AB563" s="6" t="s">
        <v>99</v>
      </c>
      <c r="AC563" s="79" t="s">
        <v>6311</v>
      </c>
      <c r="AD563" s="79" t="s">
        <v>6312</v>
      </c>
      <c r="AE563" s="6" t="s">
        <v>6313</v>
      </c>
      <c r="AF563" s="6" t="s">
        <v>121</v>
      </c>
      <c r="AG563" s="6" t="s">
        <v>2967</v>
      </c>
      <c r="AH563" s="6" t="s">
        <v>123</v>
      </c>
      <c r="AI563" s="6" t="s">
        <v>6314</v>
      </c>
      <c r="AJ563" s="6" t="s">
        <v>6315</v>
      </c>
      <c r="AK563" s="33" t="s">
        <v>97</v>
      </c>
      <c r="AL563" s="5" t="s">
        <v>2908</v>
      </c>
      <c r="AM563" s="5" t="s">
        <v>221</v>
      </c>
      <c r="AN563" s="5"/>
      <c r="AO563" s="5" t="s">
        <v>6316</v>
      </c>
      <c r="AP563" s="5" t="s">
        <v>6317</v>
      </c>
      <c r="AQ563" s="75" t="s">
        <v>2901</v>
      </c>
      <c r="AR563" s="20" t="s">
        <v>97</v>
      </c>
      <c r="AS563" s="20" t="s">
        <v>107</v>
      </c>
      <c r="AT563" s="20"/>
      <c r="AU563" s="24">
        <v>0.6</v>
      </c>
      <c r="AV563" s="24">
        <f t="shared" ref="AV563:AV593" si="117">+AU563*80%</f>
        <v>0.48</v>
      </c>
      <c r="AW563" s="24">
        <f t="shared" ref="AW563:AW593" si="118">+AU563*60%</f>
        <v>0.36</v>
      </c>
      <c r="AX563" s="25">
        <v>1E-4</v>
      </c>
      <c r="AY563" s="24">
        <v>0</v>
      </c>
      <c r="AZ563" s="24">
        <f t="shared" si="116"/>
        <v>0.54</v>
      </c>
      <c r="BA563" s="24">
        <f t="shared" si="114"/>
        <v>0.43200000000000005</v>
      </c>
      <c r="BB563" s="24">
        <f t="shared" si="115"/>
        <v>0.32400000000000001</v>
      </c>
      <c r="BC563" s="25">
        <v>1E-4</v>
      </c>
      <c r="BD563" s="24">
        <v>0</v>
      </c>
      <c r="BE563" s="26">
        <v>0</v>
      </c>
      <c r="BF563" s="34">
        <f t="shared" si="107"/>
        <v>0</v>
      </c>
      <c r="BG563" s="34">
        <f t="shared" si="108"/>
        <v>0</v>
      </c>
      <c r="BH563" s="26">
        <v>0</v>
      </c>
      <c r="BI563" s="26">
        <v>0</v>
      </c>
      <c r="BJ563" s="20"/>
      <c r="BK563" s="20"/>
      <c r="BL563" s="27"/>
      <c r="BM563" s="27" t="s">
        <v>6318</v>
      </c>
      <c r="BN563" s="26"/>
      <c r="BO563" s="34"/>
      <c r="BP563" s="34"/>
      <c r="BQ563" s="34"/>
      <c r="BR563" s="34"/>
      <c r="BS563" s="34"/>
      <c r="BT563" s="34"/>
      <c r="BU563" s="34"/>
      <c r="BV563" s="34"/>
      <c r="BW563" s="34"/>
      <c r="BX563" s="34"/>
      <c r="BY563" s="34"/>
      <c r="BZ563" s="34"/>
      <c r="CA563" s="20"/>
      <c r="CB563" s="20"/>
      <c r="CC563" s="29">
        <v>46003</v>
      </c>
      <c r="CD563" s="11" t="s">
        <v>6319</v>
      </c>
    </row>
    <row r="564" spans="1:82" ht="66.75" customHeight="1" x14ac:dyDescent="0.25">
      <c r="A564" s="87">
        <v>560</v>
      </c>
      <c r="B564" s="141" t="s">
        <v>6320</v>
      </c>
      <c r="C564" s="82" t="s">
        <v>6321</v>
      </c>
      <c r="D564" s="82" t="s">
        <v>6322</v>
      </c>
      <c r="E564" s="75" t="s">
        <v>113</v>
      </c>
      <c r="F564" s="4" t="s">
        <v>81</v>
      </c>
      <c r="G564" s="5">
        <v>0</v>
      </c>
      <c r="H564" s="6" t="s">
        <v>114</v>
      </c>
      <c r="I564" s="82" t="s">
        <v>2133</v>
      </c>
      <c r="J564" s="82"/>
      <c r="K564" s="82"/>
      <c r="L564" s="82"/>
      <c r="M564" s="6" t="s">
        <v>136</v>
      </c>
      <c r="N564" s="82" t="s">
        <v>89</v>
      </c>
      <c r="O564" s="82" t="s">
        <v>579</v>
      </c>
      <c r="P564" s="82" t="s">
        <v>2134</v>
      </c>
      <c r="Q564" s="82"/>
      <c r="R564" s="82" t="s">
        <v>91</v>
      </c>
      <c r="S564" s="5" t="s">
        <v>92</v>
      </c>
      <c r="T564" s="82" t="s">
        <v>93</v>
      </c>
      <c r="U564" s="91">
        <v>100</v>
      </c>
      <c r="V564" s="5" t="s">
        <v>94</v>
      </c>
      <c r="W564" s="5" t="s">
        <v>95</v>
      </c>
      <c r="X564" s="5">
        <v>2025</v>
      </c>
      <c r="Y564" s="5" t="s">
        <v>117</v>
      </c>
      <c r="Z564" s="5" t="s">
        <v>95</v>
      </c>
      <c r="AA564" s="5" t="s">
        <v>98</v>
      </c>
      <c r="AB564" s="6" t="s">
        <v>99</v>
      </c>
      <c r="AC564" s="79" t="s">
        <v>6323</v>
      </c>
      <c r="AD564" s="79" t="s">
        <v>6324</v>
      </c>
      <c r="AE564" s="49" t="s">
        <v>6325</v>
      </c>
      <c r="AF564" s="49" t="s">
        <v>121</v>
      </c>
      <c r="AG564" s="33" t="s">
        <v>122</v>
      </c>
      <c r="AH564" s="33" t="s">
        <v>123</v>
      </c>
      <c r="AI564" s="75" t="s">
        <v>6326</v>
      </c>
      <c r="AJ564" s="75" t="s">
        <v>6327</v>
      </c>
      <c r="AK564" s="33" t="s">
        <v>97</v>
      </c>
      <c r="AL564" s="75" t="s">
        <v>97</v>
      </c>
      <c r="AM564" s="5" t="s">
        <v>221</v>
      </c>
      <c r="AN564" s="5"/>
      <c r="AO564" s="5" t="s">
        <v>6328</v>
      </c>
      <c r="AP564" s="5" t="s">
        <v>6329</v>
      </c>
      <c r="AQ564" s="82" t="s">
        <v>6330</v>
      </c>
      <c r="AR564" s="20" t="s">
        <v>97</v>
      </c>
      <c r="AS564" s="20" t="s">
        <v>107</v>
      </c>
      <c r="AT564" s="20"/>
      <c r="AU564" s="24">
        <v>0.55000000000000004</v>
      </c>
      <c r="AV564" s="24">
        <f t="shared" si="117"/>
        <v>0.44000000000000006</v>
      </c>
      <c r="AW564" s="24">
        <f t="shared" si="118"/>
        <v>0.33</v>
      </c>
      <c r="AX564" s="25">
        <v>1E-4</v>
      </c>
      <c r="AY564" s="24">
        <v>0</v>
      </c>
      <c r="AZ564" s="24">
        <f t="shared" si="116"/>
        <v>0.49500000000000005</v>
      </c>
      <c r="BA564" s="24">
        <f t="shared" si="114"/>
        <v>0.39600000000000007</v>
      </c>
      <c r="BB564" s="24">
        <f t="shared" si="115"/>
        <v>0.29700000000000004</v>
      </c>
      <c r="BC564" s="25">
        <v>1E-4</v>
      </c>
      <c r="BD564" s="24">
        <v>0</v>
      </c>
      <c r="BE564" s="26">
        <v>0</v>
      </c>
      <c r="BF564" s="34">
        <f t="shared" si="107"/>
        <v>0</v>
      </c>
      <c r="BG564" s="34">
        <f t="shared" si="108"/>
        <v>0</v>
      </c>
      <c r="BH564" s="26">
        <v>0</v>
      </c>
      <c r="BI564" s="26">
        <v>0</v>
      </c>
      <c r="BJ564" s="24"/>
      <c r="BK564" s="24"/>
      <c r="BL564" s="27"/>
      <c r="BM564" s="27" t="s">
        <v>6331</v>
      </c>
      <c r="BN564" s="26"/>
      <c r="BO564" s="34"/>
      <c r="BP564" s="34"/>
      <c r="BQ564" s="34">
        <v>1</v>
      </c>
      <c r="BR564" s="34"/>
      <c r="BS564" s="34"/>
      <c r="BT564" s="34"/>
      <c r="BU564" s="34"/>
      <c r="BV564" s="34"/>
      <c r="BW564" s="34"/>
      <c r="BX564" s="34"/>
      <c r="BY564" s="34">
        <v>1</v>
      </c>
      <c r="BZ564" s="34"/>
      <c r="CA564" s="20"/>
      <c r="CB564" s="20"/>
      <c r="CC564" s="29">
        <v>45671</v>
      </c>
      <c r="CD564" s="32" t="s">
        <v>6332</v>
      </c>
    </row>
    <row r="565" spans="1:82" ht="66.75" customHeight="1" x14ac:dyDescent="0.25">
      <c r="A565" s="121">
        <v>561</v>
      </c>
      <c r="B565" s="141" t="s">
        <v>6333</v>
      </c>
      <c r="C565" s="82" t="s">
        <v>6334</v>
      </c>
      <c r="D565" s="82" t="s">
        <v>6335</v>
      </c>
      <c r="E565" s="75" t="s">
        <v>113</v>
      </c>
      <c r="F565" s="4" t="s">
        <v>81</v>
      </c>
      <c r="G565" s="5">
        <v>0</v>
      </c>
      <c r="H565" s="6" t="s">
        <v>309</v>
      </c>
      <c r="I565" s="82" t="s">
        <v>2133</v>
      </c>
      <c r="J565" s="82"/>
      <c r="K565" s="82"/>
      <c r="L565" s="82"/>
      <c r="M565" s="6" t="s">
        <v>136</v>
      </c>
      <c r="N565" s="82" t="s">
        <v>89</v>
      </c>
      <c r="O565" s="82" t="s">
        <v>579</v>
      </c>
      <c r="P565" s="82" t="s">
        <v>2134</v>
      </c>
      <c r="Q565" s="82"/>
      <c r="R565" s="82" t="s">
        <v>91</v>
      </c>
      <c r="S565" s="5" t="s">
        <v>92</v>
      </c>
      <c r="T565" s="82" t="s">
        <v>93</v>
      </c>
      <c r="U565" s="91">
        <v>100</v>
      </c>
      <c r="V565" s="5" t="s">
        <v>94</v>
      </c>
      <c r="W565" s="5" t="s">
        <v>95</v>
      </c>
      <c r="X565" s="5">
        <v>2025</v>
      </c>
      <c r="Y565" s="5" t="s">
        <v>117</v>
      </c>
      <c r="Z565" s="5" t="s">
        <v>95</v>
      </c>
      <c r="AA565" s="5" t="s">
        <v>98</v>
      </c>
      <c r="AB565" s="6" t="s">
        <v>99</v>
      </c>
      <c r="AC565" s="79" t="s">
        <v>6336</v>
      </c>
      <c r="AD565" s="79" t="s">
        <v>6337</v>
      </c>
      <c r="AE565" s="49" t="s">
        <v>6325</v>
      </c>
      <c r="AF565" s="49" t="s">
        <v>121</v>
      </c>
      <c r="AG565" s="33" t="s">
        <v>122</v>
      </c>
      <c r="AH565" s="33" t="s">
        <v>123</v>
      </c>
      <c r="AI565" s="75" t="s">
        <v>6326</v>
      </c>
      <c r="AJ565" s="75" t="s">
        <v>6338</v>
      </c>
      <c r="AK565" s="33" t="s">
        <v>97</v>
      </c>
      <c r="AL565" s="75" t="s">
        <v>97</v>
      </c>
      <c r="AM565" s="5" t="s">
        <v>221</v>
      </c>
      <c r="AN565" s="5"/>
      <c r="AO565" s="5" t="s">
        <v>6339</v>
      </c>
      <c r="AP565" s="5" t="s">
        <v>6340</v>
      </c>
      <c r="AQ565" s="5" t="s">
        <v>6341</v>
      </c>
      <c r="AR565" s="20" t="s">
        <v>97</v>
      </c>
      <c r="AS565" s="20" t="s">
        <v>107</v>
      </c>
      <c r="AT565" s="20"/>
      <c r="AU565" s="24">
        <v>0.4</v>
      </c>
      <c r="AV565" s="24">
        <f t="shared" si="117"/>
        <v>0.32000000000000006</v>
      </c>
      <c r="AW565" s="24">
        <f t="shared" si="118"/>
        <v>0.24</v>
      </c>
      <c r="AX565" s="25">
        <v>1E-4</v>
      </c>
      <c r="AY565" s="24">
        <v>0</v>
      </c>
      <c r="AZ565" s="24">
        <f t="shared" si="116"/>
        <v>0.36000000000000004</v>
      </c>
      <c r="BA565" s="24">
        <f t="shared" si="114"/>
        <v>0.28800000000000003</v>
      </c>
      <c r="BB565" s="24">
        <f t="shared" si="115"/>
        <v>0.21600000000000003</v>
      </c>
      <c r="BC565" s="25">
        <v>1E-4</v>
      </c>
      <c r="BD565" s="24">
        <v>0</v>
      </c>
      <c r="BE565" s="26">
        <v>0</v>
      </c>
      <c r="BF565" s="34">
        <f t="shared" si="107"/>
        <v>0</v>
      </c>
      <c r="BG565" s="34">
        <f t="shared" si="108"/>
        <v>0</v>
      </c>
      <c r="BH565" s="26">
        <v>0</v>
      </c>
      <c r="BI565" s="26">
        <v>0</v>
      </c>
      <c r="BJ565" s="20"/>
      <c r="BK565" s="20"/>
      <c r="BL565" s="27"/>
      <c r="BM565" s="27" t="s">
        <v>6342</v>
      </c>
      <c r="BN565" s="26"/>
      <c r="BO565" s="34"/>
      <c r="BP565" s="34"/>
      <c r="BQ565" s="34">
        <v>1</v>
      </c>
      <c r="BR565" s="34"/>
      <c r="BS565" s="34"/>
      <c r="BT565" s="34"/>
      <c r="BU565" s="34"/>
      <c r="BV565" s="34"/>
      <c r="BW565" s="34"/>
      <c r="BX565" s="34"/>
      <c r="BY565" s="34">
        <v>1</v>
      </c>
      <c r="BZ565" s="34"/>
      <c r="CA565" s="20"/>
      <c r="CB565" s="20"/>
      <c r="CC565" s="29">
        <v>45671</v>
      </c>
      <c r="CD565" s="30" t="s">
        <v>6343</v>
      </c>
    </row>
    <row r="566" spans="1:82" ht="66.75" customHeight="1" x14ac:dyDescent="0.25">
      <c r="A566" s="87">
        <v>562</v>
      </c>
      <c r="B566" s="141" t="s">
        <v>6344</v>
      </c>
      <c r="C566" s="82" t="s">
        <v>6345</v>
      </c>
      <c r="D566" s="82" t="s">
        <v>6346</v>
      </c>
      <c r="E566" s="75" t="s">
        <v>113</v>
      </c>
      <c r="F566" s="4" t="s">
        <v>81</v>
      </c>
      <c r="G566" s="5">
        <v>0</v>
      </c>
      <c r="H566" s="6" t="s">
        <v>364</v>
      </c>
      <c r="I566" s="82" t="s">
        <v>2133</v>
      </c>
      <c r="J566" s="82"/>
      <c r="K566" s="82"/>
      <c r="L566" s="82"/>
      <c r="M566" s="6" t="s">
        <v>136</v>
      </c>
      <c r="N566" s="82" t="s">
        <v>89</v>
      </c>
      <c r="O566" s="82" t="s">
        <v>579</v>
      </c>
      <c r="P566" s="82" t="s">
        <v>2134</v>
      </c>
      <c r="Q566" s="82"/>
      <c r="R566" s="82" t="s">
        <v>91</v>
      </c>
      <c r="S566" s="5" t="s">
        <v>92</v>
      </c>
      <c r="T566" s="82" t="s">
        <v>93</v>
      </c>
      <c r="U566" s="91">
        <v>100</v>
      </c>
      <c r="V566" s="5" t="s">
        <v>94</v>
      </c>
      <c r="W566" s="5" t="s">
        <v>95</v>
      </c>
      <c r="X566" s="5">
        <v>2025</v>
      </c>
      <c r="Y566" s="5" t="s">
        <v>117</v>
      </c>
      <c r="Z566" s="5" t="s">
        <v>95</v>
      </c>
      <c r="AA566" s="5" t="s">
        <v>98</v>
      </c>
      <c r="AB566" s="6" t="s">
        <v>99</v>
      </c>
      <c r="AC566" s="79" t="s">
        <v>6347</v>
      </c>
      <c r="AD566" s="79" t="s">
        <v>7465</v>
      </c>
      <c r="AE566" s="49" t="s">
        <v>6325</v>
      </c>
      <c r="AF566" s="49" t="s">
        <v>121</v>
      </c>
      <c r="AG566" s="5" t="s">
        <v>122</v>
      </c>
      <c r="AH566" s="5" t="s">
        <v>123</v>
      </c>
      <c r="AI566" s="82" t="s">
        <v>6326</v>
      </c>
      <c r="AJ566" s="82" t="s">
        <v>7443</v>
      </c>
      <c r="AK566" s="33" t="s">
        <v>97</v>
      </c>
      <c r="AL566" s="75" t="s">
        <v>97</v>
      </c>
      <c r="AM566" s="5" t="s">
        <v>221</v>
      </c>
      <c r="AN566" s="5"/>
      <c r="AO566" s="5" t="s">
        <v>6339</v>
      </c>
      <c r="AP566" s="5" t="s">
        <v>6348</v>
      </c>
      <c r="AQ566" s="5" t="s">
        <v>6349</v>
      </c>
      <c r="AR566" s="20" t="s">
        <v>97</v>
      </c>
      <c r="AS566" s="20" t="s">
        <v>107</v>
      </c>
      <c r="AT566" s="20"/>
      <c r="AU566" s="24">
        <v>0.4</v>
      </c>
      <c r="AV566" s="24">
        <f t="shared" si="117"/>
        <v>0.32000000000000006</v>
      </c>
      <c r="AW566" s="24">
        <f t="shared" si="118"/>
        <v>0.24</v>
      </c>
      <c r="AX566" s="25">
        <v>1E-4</v>
      </c>
      <c r="AY566" s="24">
        <v>0</v>
      </c>
      <c r="AZ566" s="24">
        <f t="shared" si="116"/>
        <v>0.36000000000000004</v>
      </c>
      <c r="BA566" s="24">
        <f t="shared" si="114"/>
        <v>0.28800000000000003</v>
      </c>
      <c r="BB566" s="24">
        <f t="shared" si="115"/>
        <v>0.21600000000000003</v>
      </c>
      <c r="BC566" s="25">
        <v>1E-4</v>
      </c>
      <c r="BD566" s="24">
        <v>0</v>
      </c>
      <c r="BE566" s="26">
        <v>0</v>
      </c>
      <c r="BF566" s="34">
        <f t="shared" si="107"/>
        <v>0</v>
      </c>
      <c r="BG566" s="34">
        <f t="shared" si="108"/>
        <v>0</v>
      </c>
      <c r="BH566" s="26">
        <v>0</v>
      </c>
      <c r="BI566" s="26">
        <v>0</v>
      </c>
      <c r="BJ566" s="20"/>
      <c r="BK566" s="20"/>
      <c r="BL566" s="27"/>
      <c r="BM566" s="27" t="s">
        <v>6350</v>
      </c>
      <c r="BN566" s="26"/>
      <c r="BO566" s="34"/>
      <c r="BP566" s="34"/>
      <c r="BQ566" s="34">
        <v>1</v>
      </c>
      <c r="BR566" s="34"/>
      <c r="BS566" s="34"/>
      <c r="BT566" s="34"/>
      <c r="BU566" s="34"/>
      <c r="BV566" s="34"/>
      <c r="BW566" s="34"/>
      <c r="BX566" s="34"/>
      <c r="BY566" s="34">
        <v>1</v>
      </c>
      <c r="BZ566" s="34"/>
      <c r="CA566" s="20"/>
      <c r="CB566" s="20"/>
      <c r="CC566" s="29">
        <v>45671</v>
      </c>
      <c r="CD566" s="32" t="s">
        <v>6351</v>
      </c>
    </row>
    <row r="567" spans="1:82" ht="66.75" customHeight="1" x14ac:dyDescent="0.25">
      <c r="A567" s="87">
        <v>563</v>
      </c>
      <c r="B567" s="141" t="s">
        <v>6352</v>
      </c>
      <c r="C567" s="82" t="s">
        <v>6353</v>
      </c>
      <c r="D567" s="82" t="s">
        <v>6354</v>
      </c>
      <c r="E567" s="75" t="s">
        <v>113</v>
      </c>
      <c r="F567" s="4" t="s">
        <v>81</v>
      </c>
      <c r="G567" s="5">
        <v>0</v>
      </c>
      <c r="H567" s="6" t="s">
        <v>423</v>
      </c>
      <c r="I567" s="82" t="s">
        <v>2133</v>
      </c>
      <c r="J567" s="82"/>
      <c r="K567" s="82"/>
      <c r="L567" s="82"/>
      <c r="M567" s="6" t="s">
        <v>136</v>
      </c>
      <c r="N567" s="82" t="s">
        <v>89</v>
      </c>
      <c r="O567" s="82" t="s">
        <v>579</v>
      </c>
      <c r="P567" s="82" t="s">
        <v>2134</v>
      </c>
      <c r="Q567" s="82"/>
      <c r="R567" s="82" t="s">
        <v>91</v>
      </c>
      <c r="S567" s="5" t="s">
        <v>92</v>
      </c>
      <c r="T567" s="82" t="s">
        <v>93</v>
      </c>
      <c r="U567" s="91">
        <v>100</v>
      </c>
      <c r="V567" s="5" t="s">
        <v>94</v>
      </c>
      <c r="W567" s="5" t="s">
        <v>95</v>
      </c>
      <c r="X567" s="5">
        <v>2025</v>
      </c>
      <c r="Y567" s="5" t="s">
        <v>117</v>
      </c>
      <c r="Z567" s="5" t="s">
        <v>95</v>
      </c>
      <c r="AA567" s="5" t="s">
        <v>98</v>
      </c>
      <c r="AB567" s="6" t="s">
        <v>99</v>
      </c>
      <c r="AC567" s="79" t="s">
        <v>6355</v>
      </c>
      <c r="AD567" s="79" t="s">
        <v>7466</v>
      </c>
      <c r="AE567" s="49" t="s">
        <v>6325</v>
      </c>
      <c r="AF567" s="49" t="s">
        <v>121</v>
      </c>
      <c r="AG567" s="5" t="s">
        <v>122</v>
      </c>
      <c r="AH567" s="5" t="s">
        <v>123</v>
      </c>
      <c r="AI567" s="82" t="s">
        <v>6326</v>
      </c>
      <c r="AJ567" s="82" t="s">
        <v>7444</v>
      </c>
      <c r="AK567" s="33" t="s">
        <v>97</v>
      </c>
      <c r="AL567" s="75" t="s">
        <v>97</v>
      </c>
      <c r="AM567" s="5" t="s">
        <v>221</v>
      </c>
      <c r="AN567" s="5"/>
      <c r="AO567" s="5" t="s">
        <v>6356</v>
      </c>
      <c r="AP567" s="5" t="s">
        <v>6357</v>
      </c>
      <c r="AQ567" s="5" t="s">
        <v>6358</v>
      </c>
      <c r="AR567" s="20" t="s">
        <v>97</v>
      </c>
      <c r="AS567" s="20" t="s">
        <v>107</v>
      </c>
      <c r="AT567" s="20"/>
      <c r="AU567" s="24">
        <v>0.4</v>
      </c>
      <c r="AV567" s="24">
        <f t="shared" si="117"/>
        <v>0.32000000000000006</v>
      </c>
      <c r="AW567" s="24">
        <f t="shared" si="118"/>
        <v>0.24</v>
      </c>
      <c r="AX567" s="25">
        <v>1E-4</v>
      </c>
      <c r="AY567" s="24">
        <v>0</v>
      </c>
      <c r="AZ567" s="24">
        <f t="shared" si="116"/>
        <v>0.36000000000000004</v>
      </c>
      <c r="BA567" s="24">
        <f t="shared" si="114"/>
        <v>0.28800000000000003</v>
      </c>
      <c r="BB567" s="24">
        <f t="shared" si="115"/>
        <v>0.21600000000000003</v>
      </c>
      <c r="BC567" s="25">
        <v>1E-4</v>
      </c>
      <c r="BD567" s="24">
        <v>0</v>
      </c>
      <c r="BE567" s="26">
        <v>0</v>
      </c>
      <c r="BF567" s="34">
        <f t="shared" si="107"/>
        <v>0</v>
      </c>
      <c r="BG567" s="34">
        <f t="shared" si="108"/>
        <v>0</v>
      </c>
      <c r="BH567" s="26">
        <v>0</v>
      </c>
      <c r="BI567" s="26">
        <v>0</v>
      </c>
      <c r="BJ567" s="20"/>
      <c r="BK567" s="20"/>
      <c r="BL567" s="27"/>
      <c r="BM567" s="27" t="s">
        <v>6359</v>
      </c>
      <c r="BN567" s="26"/>
      <c r="BO567" s="34"/>
      <c r="BP567" s="34"/>
      <c r="BQ567" s="34">
        <v>1</v>
      </c>
      <c r="BR567" s="34"/>
      <c r="BS567" s="34"/>
      <c r="BT567" s="34"/>
      <c r="BU567" s="34"/>
      <c r="BV567" s="34"/>
      <c r="BW567" s="34"/>
      <c r="BX567" s="34"/>
      <c r="BY567" s="34">
        <v>1</v>
      </c>
      <c r="BZ567" s="34"/>
      <c r="CA567" s="20"/>
      <c r="CB567" s="20"/>
      <c r="CC567" s="29">
        <v>45671</v>
      </c>
      <c r="CD567" s="32" t="s">
        <v>6351</v>
      </c>
    </row>
    <row r="568" spans="1:82" ht="66.75" customHeight="1" x14ac:dyDescent="0.25">
      <c r="A568" s="121">
        <v>564</v>
      </c>
      <c r="B568" s="141" t="s">
        <v>6360</v>
      </c>
      <c r="C568" s="82" t="s">
        <v>6361</v>
      </c>
      <c r="D568" s="82" t="s">
        <v>6362</v>
      </c>
      <c r="E568" s="75" t="s">
        <v>113</v>
      </c>
      <c r="F568" s="4" t="s">
        <v>81</v>
      </c>
      <c r="G568" s="5">
        <v>0</v>
      </c>
      <c r="H568" s="6" t="s">
        <v>436</v>
      </c>
      <c r="I568" s="82" t="s">
        <v>2133</v>
      </c>
      <c r="J568" s="82"/>
      <c r="K568" s="82"/>
      <c r="L568" s="82"/>
      <c r="M568" s="6" t="s">
        <v>136</v>
      </c>
      <c r="N568" s="82" t="s">
        <v>89</v>
      </c>
      <c r="O568" s="82" t="s">
        <v>579</v>
      </c>
      <c r="P568" s="82" t="s">
        <v>2134</v>
      </c>
      <c r="Q568" s="82"/>
      <c r="R568" s="82" t="s">
        <v>91</v>
      </c>
      <c r="S568" s="5" t="s">
        <v>92</v>
      </c>
      <c r="T568" s="82" t="s">
        <v>93</v>
      </c>
      <c r="U568" s="91">
        <v>100</v>
      </c>
      <c r="V568" s="5" t="s">
        <v>94</v>
      </c>
      <c r="W568" s="5" t="s">
        <v>95</v>
      </c>
      <c r="X568" s="5">
        <v>2025</v>
      </c>
      <c r="Y568" s="5" t="s">
        <v>117</v>
      </c>
      <c r="Z568" s="5" t="s">
        <v>95</v>
      </c>
      <c r="AA568" s="5" t="s">
        <v>98</v>
      </c>
      <c r="AB568" s="6" t="s">
        <v>99</v>
      </c>
      <c r="AC568" s="79" t="s">
        <v>6363</v>
      </c>
      <c r="AD568" s="79" t="s">
        <v>7401</v>
      </c>
      <c r="AE568" s="49" t="s">
        <v>6325</v>
      </c>
      <c r="AF568" s="49" t="s">
        <v>121</v>
      </c>
      <c r="AG568" s="5" t="s">
        <v>122</v>
      </c>
      <c r="AH568" s="5" t="s">
        <v>123</v>
      </c>
      <c r="AI568" s="82" t="s">
        <v>6326</v>
      </c>
      <c r="AJ568" s="82" t="s">
        <v>7445</v>
      </c>
      <c r="AK568" s="33" t="s">
        <v>97</v>
      </c>
      <c r="AL568" s="75" t="s">
        <v>97</v>
      </c>
      <c r="AM568" s="5" t="s">
        <v>221</v>
      </c>
      <c r="AN568" s="5"/>
      <c r="AO568" s="5" t="s">
        <v>6356</v>
      </c>
      <c r="AP568" s="5" t="s">
        <v>6364</v>
      </c>
      <c r="AQ568" s="5" t="s">
        <v>6365</v>
      </c>
      <c r="AR568" s="20" t="s">
        <v>97</v>
      </c>
      <c r="AS568" s="20" t="s">
        <v>107</v>
      </c>
      <c r="AT568" s="20"/>
      <c r="AU568" s="24">
        <v>0.4</v>
      </c>
      <c r="AV568" s="24">
        <f t="shared" si="117"/>
        <v>0.32000000000000006</v>
      </c>
      <c r="AW568" s="24">
        <f t="shared" si="118"/>
        <v>0.24</v>
      </c>
      <c r="AX568" s="25">
        <v>1E-4</v>
      </c>
      <c r="AY568" s="24">
        <v>0</v>
      </c>
      <c r="AZ568" s="24">
        <f t="shared" si="116"/>
        <v>0.36000000000000004</v>
      </c>
      <c r="BA568" s="24">
        <f t="shared" si="114"/>
        <v>0.28800000000000003</v>
      </c>
      <c r="BB568" s="24">
        <f t="shared" si="115"/>
        <v>0.21600000000000003</v>
      </c>
      <c r="BC568" s="25">
        <v>1E-4</v>
      </c>
      <c r="BD568" s="24">
        <v>0</v>
      </c>
      <c r="BE568" s="26">
        <v>0</v>
      </c>
      <c r="BF568" s="34">
        <f t="shared" si="107"/>
        <v>0</v>
      </c>
      <c r="BG568" s="34">
        <f t="shared" si="108"/>
        <v>0</v>
      </c>
      <c r="BH568" s="26">
        <v>0</v>
      </c>
      <c r="BI568" s="26">
        <v>0</v>
      </c>
      <c r="BJ568" s="20"/>
      <c r="BK568" s="20"/>
      <c r="BL568" s="27"/>
      <c r="BM568" s="27" t="s">
        <v>6366</v>
      </c>
      <c r="BN568" s="26"/>
      <c r="BO568" s="34"/>
      <c r="BP568" s="34"/>
      <c r="BQ568" s="34">
        <v>1</v>
      </c>
      <c r="BR568" s="34"/>
      <c r="BS568" s="34"/>
      <c r="BT568" s="34"/>
      <c r="BU568" s="34"/>
      <c r="BV568" s="34"/>
      <c r="BW568" s="34"/>
      <c r="BX568" s="34"/>
      <c r="BY568" s="34">
        <v>1</v>
      </c>
      <c r="BZ568" s="34"/>
      <c r="CA568" s="20"/>
      <c r="CB568" s="20"/>
      <c r="CC568" s="29">
        <v>45671</v>
      </c>
      <c r="CD568" s="32" t="s">
        <v>6351</v>
      </c>
    </row>
    <row r="569" spans="1:82" ht="66.75" customHeight="1" x14ac:dyDescent="0.25">
      <c r="A569" s="87">
        <v>565</v>
      </c>
      <c r="B569" s="141" t="s">
        <v>6367</v>
      </c>
      <c r="C569" s="82" t="s">
        <v>6368</v>
      </c>
      <c r="D569" s="82" t="s">
        <v>6369</v>
      </c>
      <c r="E569" s="75" t="s">
        <v>113</v>
      </c>
      <c r="F569" s="4" t="s">
        <v>81</v>
      </c>
      <c r="G569" s="5">
        <v>0</v>
      </c>
      <c r="H569" s="6" t="s">
        <v>463</v>
      </c>
      <c r="I569" s="82" t="s">
        <v>2133</v>
      </c>
      <c r="J569" s="82"/>
      <c r="K569" s="82"/>
      <c r="L569" s="82"/>
      <c r="M569" s="6" t="s">
        <v>136</v>
      </c>
      <c r="N569" s="82" t="s">
        <v>89</v>
      </c>
      <c r="O569" s="82" t="s">
        <v>579</v>
      </c>
      <c r="P569" s="82" t="s">
        <v>2134</v>
      </c>
      <c r="Q569" s="82"/>
      <c r="R569" s="82" t="s">
        <v>91</v>
      </c>
      <c r="S569" s="5" t="s">
        <v>92</v>
      </c>
      <c r="T569" s="82" t="s">
        <v>93</v>
      </c>
      <c r="U569" s="91">
        <v>100</v>
      </c>
      <c r="V569" s="5" t="s">
        <v>94</v>
      </c>
      <c r="W569" s="5" t="s">
        <v>95</v>
      </c>
      <c r="X569" s="5">
        <v>2025</v>
      </c>
      <c r="Y569" s="5" t="s">
        <v>117</v>
      </c>
      <c r="Z569" s="5" t="s">
        <v>95</v>
      </c>
      <c r="AA569" s="5" t="s">
        <v>98</v>
      </c>
      <c r="AB569" s="6" t="s">
        <v>99</v>
      </c>
      <c r="AC569" s="79" t="s">
        <v>6370</v>
      </c>
      <c r="AD569" s="79" t="s">
        <v>7402</v>
      </c>
      <c r="AE569" s="49" t="s">
        <v>6325</v>
      </c>
      <c r="AF569" s="49" t="s">
        <v>121</v>
      </c>
      <c r="AG569" s="5" t="s">
        <v>122</v>
      </c>
      <c r="AH569" s="5" t="s">
        <v>123</v>
      </c>
      <c r="AI569" s="82" t="s">
        <v>6326</v>
      </c>
      <c r="AJ569" s="82" t="s">
        <v>6371</v>
      </c>
      <c r="AK569" s="33" t="s">
        <v>97</v>
      </c>
      <c r="AL569" s="75" t="s">
        <v>97</v>
      </c>
      <c r="AM569" s="5" t="s">
        <v>221</v>
      </c>
      <c r="AN569" s="5"/>
      <c r="AO569" s="5" t="s">
        <v>6356</v>
      </c>
      <c r="AP569" s="5" t="s">
        <v>6372</v>
      </c>
      <c r="AQ569" s="5" t="s">
        <v>6373</v>
      </c>
      <c r="AR569" s="20" t="s">
        <v>97</v>
      </c>
      <c r="AS569" s="20" t="s">
        <v>107</v>
      </c>
      <c r="AT569" s="20"/>
      <c r="AU569" s="24">
        <v>0.4</v>
      </c>
      <c r="AV569" s="24">
        <f t="shared" si="117"/>
        <v>0.32000000000000006</v>
      </c>
      <c r="AW569" s="24">
        <f t="shared" si="118"/>
        <v>0.24</v>
      </c>
      <c r="AX569" s="25">
        <v>1E-4</v>
      </c>
      <c r="AY569" s="24">
        <v>0</v>
      </c>
      <c r="AZ569" s="24">
        <f t="shared" si="116"/>
        <v>0.36000000000000004</v>
      </c>
      <c r="BA569" s="24">
        <f t="shared" si="114"/>
        <v>0.28800000000000003</v>
      </c>
      <c r="BB569" s="24">
        <f t="shared" si="115"/>
        <v>0.21600000000000003</v>
      </c>
      <c r="BC569" s="25">
        <v>1E-4</v>
      </c>
      <c r="BD569" s="24">
        <v>0</v>
      </c>
      <c r="BE569" s="26">
        <v>0</v>
      </c>
      <c r="BF569" s="34">
        <f t="shared" si="107"/>
        <v>0</v>
      </c>
      <c r="BG569" s="34">
        <f t="shared" si="108"/>
        <v>0</v>
      </c>
      <c r="BH569" s="26">
        <v>0</v>
      </c>
      <c r="BI569" s="26">
        <v>0</v>
      </c>
      <c r="BJ569" s="20"/>
      <c r="BK569" s="20"/>
      <c r="BL569" s="27"/>
      <c r="BM569" s="27" t="s">
        <v>6374</v>
      </c>
      <c r="BN569" s="26"/>
      <c r="BO569" s="34"/>
      <c r="BP569" s="34"/>
      <c r="BQ569" s="34">
        <v>1</v>
      </c>
      <c r="BR569" s="34"/>
      <c r="BS569" s="34"/>
      <c r="BT569" s="34"/>
      <c r="BU569" s="34"/>
      <c r="BV569" s="34"/>
      <c r="BW569" s="34"/>
      <c r="BX569" s="34"/>
      <c r="BY569" s="34">
        <v>1</v>
      </c>
      <c r="BZ569" s="34"/>
      <c r="CA569" s="20"/>
      <c r="CB569" s="20"/>
      <c r="CC569" s="29">
        <v>45671</v>
      </c>
      <c r="CD569" s="32" t="s">
        <v>6351</v>
      </c>
    </row>
    <row r="570" spans="1:82" ht="105" customHeight="1" x14ac:dyDescent="0.25">
      <c r="A570" s="87">
        <v>566</v>
      </c>
      <c r="B570" s="141" t="s">
        <v>6375</v>
      </c>
      <c r="C570" s="82" t="s">
        <v>6376</v>
      </c>
      <c r="D570" s="82" t="s">
        <v>6377</v>
      </c>
      <c r="E570" s="75" t="s">
        <v>113</v>
      </c>
      <c r="F570" s="4" t="s">
        <v>81</v>
      </c>
      <c r="G570" s="5">
        <v>0</v>
      </c>
      <c r="H570" s="6" t="str">
        <f>I570</f>
        <v>Primera Infancia</v>
      </c>
      <c r="I570" s="6" t="s">
        <v>114</v>
      </c>
      <c r="J570" s="6" t="s">
        <v>115</v>
      </c>
      <c r="K570" s="6"/>
      <c r="L570" s="6"/>
      <c r="M570" s="6" t="s">
        <v>136</v>
      </c>
      <c r="N570" s="6" t="s">
        <v>89</v>
      </c>
      <c r="O570" s="6" t="s">
        <v>116</v>
      </c>
      <c r="P570" s="6" t="s">
        <v>6378</v>
      </c>
      <c r="Q570" s="6"/>
      <c r="R570" s="15" t="s">
        <v>175</v>
      </c>
      <c r="S570" s="5" t="s">
        <v>92</v>
      </c>
      <c r="T570" s="82" t="s">
        <v>93</v>
      </c>
      <c r="U570" s="91">
        <v>100</v>
      </c>
      <c r="V570" s="5" t="s">
        <v>94</v>
      </c>
      <c r="W570" s="5" t="s">
        <v>95</v>
      </c>
      <c r="X570" s="5">
        <v>2025</v>
      </c>
      <c r="Y570" s="5" t="s">
        <v>117</v>
      </c>
      <c r="Z570" s="5" t="s">
        <v>95</v>
      </c>
      <c r="AA570" s="5" t="s">
        <v>98</v>
      </c>
      <c r="AB570" s="6" t="s">
        <v>99</v>
      </c>
      <c r="AC570" s="79" t="s">
        <v>6379</v>
      </c>
      <c r="AD570" s="79" t="s">
        <v>7574</v>
      </c>
      <c r="AE570" s="47" t="s">
        <v>6380</v>
      </c>
      <c r="AF570" s="33" t="s">
        <v>5117</v>
      </c>
      <c r="AG570" s="5" t="s">
        <v>6381</v>
      </c>
      <c r="AH570" s="5" t="s">
        <v>123</v>
      </c>
      <c r="AI570" s="5" t="s">
        <v>3147</v>
      </c>
      <c r="AJ570" s="5" t="s">
        <v>6382</v>
      </c>
      <c r="AK570" s="5"/>
      <c r="AL570" s="5" t="s">
        <v>3552</v>
      </c>
      <c r="AM570" s="5" t="s">
        <v>6383</v>
      </c>
      <c r="AN570" s="5"/>
      <c r="AO570" s="5"/>
      <c r="AP570" s="5"/>
      <c r="AQ570" s="33" t="s">
        <v>143</v>
      </c>
      <c r="AR570" s="20" t="s">
        <v>97</v>
      </c>
      <c r="AS570" s="20" t="s">
        <v>107</v>
      </c>
      <c r="AT570" s="20"/>
      <c r="AU570" s="24">
        <v>0.7</v>
      </c>
      <c r="AV570" s="24">
        <f t="shared" si="117"/>
        <v>0.55999999999999994</v>
      </c>
      <c r="AW570" s="24">
        <f t="shared" si="118"/>
        <v>0.42</v>
      </c>
      <c r="AX570" s="25">
        <v>1E-4</v>
      </c>
      <c r="AY570" s="24">
        <v>0</v>
      </c>
      <c r="AZ570" s="24">
        <f t="shared" si="116"/>
        <v>0.63</v>
      </c>
      <c r="BA570" s="24">
        <f t="shared" si="114"/>
        <v>0.504</v>
      </c>
      <c r="BB570" s="24">
        <f t="shared" si="115"/>
        <v>0.378</v>
      </c>
      <c r="BC570" s="25">
        <v>1E-4</v>
      </c>
      <c r="BD570" s="24">
        <v>0</v>
      </c>
      <c r="BE570" s="26">
        <v>0</v>
      </c>
      <c r="BF570" s="34">
        <f t="shared" si="107"/>
        <v>0</v>
      </c>
      <c r="BG570" s="34">
        <f t="shared" si="108"/>
        <v>0</v>
      </c>
      <c r="BH570" s="26">
        <v>0</v>
      </c>
      <c r="BI570" s="26">
        <v>0</v>
      </c>
      <c r="BJ570" s="20"/>
      <c r="BK570" s="20"/>
      <c r="BL570" s="27"/>
      <c r="BM570" s="27" t="s">
        <v>6384</v>
      </c>
      <c r="BN570" s="26"/>
      <c r="BO570" s="34"/>
      <c r="BP570" s="34"/>
      <c r="BQ570" s="34">
        <v>1</v>
      </c>
      <c r="BR570" s="34"/>
      <c r="BS570" s="34"/>
      <c r="BT570" s="34"/>
      <c r="BU570" s="34"/>
      <c r="BV570" s="34"/>
      <c r="BW570" s="34"/>
      <c r="BX570" s="34"/>
      <c r="BY570" s="34">
        <v>1</v>
      </c>
      <c r="BZ570" s="34"/>
      <c r="CA570" s="20"/>
      <c r="CB570" s="20"/>
      <c r="CC570" s="219">
        <v>46097</v>
      </c>
      <c r="CD570" s="32" t="s">
        <v>7540</v>
      </c>
    </row>
    <row r="571" spans="1:82" ht="66.75" customHeight="1" x14ac:dyDescent="0.25">
      <c r="A571" s="121">
        <v>567</v>
      </c>
      <c r="B571" s="141" t="s">
        <v>6385</v>
      </c>
      <c r="C571" s="82" t="s">
        <v>6386</v>
      </c>
      <c r="D571" s="82" t="s">
        <v>6387</v>
      </c>
      <c r="E571" s="75" t="s">
        <v>113</v>
      </c>
      <c r="F571" s="4" t="s">
        <v>81</v>
      </c>
      <c r="G571" s="5">
        <v>0</v>
      </c>
      <c r="H571" s="6" t="s">
        <v>309</v>
      </c>
      <c r="I571" s="6" t="s">
        <v>309</v>
      </c>
      <c r="J571" s="6" t="s">
        <v>115</v>
      </c>
      <c r="K571" s="6"/>
      <c r="L571" s="6"/>
      <c r="M571" s="6" t="s">
        <v>136</v>
      </c>
      <c r="N571" s="6" t="s">
        <v>89</v>
      </c>
      <c r="O571" s="6" t="s">
        <v>116</v>
      </c>
      <c r="P571" s="6" t="s">
        <v>115</v>
      </c>
      <c r="Q571" s="6"/>
      <c r="R571" s="82" t="s">
        <v>91</v>
      </c>
      <c r="S571" s="5" t="s">
        <v>92</v>
      </c>
      <c r="T571" s="82" t="s">
        <v>93</v>
      </c>
      <c r="U571" s="91">
        <v>100</v>
      </c>
      <c r="V571" s="5" t="s">
        <v>94</v>
      </c>
      <c r="W571" s="5" t="s">
        <v>95</v>
      </c>
      <c r="X571" s="5">
        <v>2025</v>
      </c>
      <c r="Y571" s="5" t="s">
        <v>117</v>
      </c>
      <c r="Z571" s="5" t="s">
        <v>95</v>
      </c>
      <c r="AA571" s="5" t="s">
        <v>98</v>
      </c>
      <c r="AB571" s="6" t="s">
        <v>99</v>
      </c>
      <c r="AC571" s="79" t="s">
        <v>6388</v>
      </c>
      <c r="AD571" s="79" t="s">
        <v>6389</v>
      </c>
      <c r="AE571" s="47" t="s">
        <v>6390</v>
      </c>
      <c r="AF571" s="33" t="s">
        <v>5117</v>
      </c>
      <c r="AG571" s="5" t="s">
        <v>6381</v>
      </c>
      <c r="AH571" s="5" t="s">
        <v>123</v>
      </c>
      <c r="AI571" s="5" t="s">
        <v>6391</v>
      </c>
      <c r="AJ571" s="5" t="s">
        <v>6382</v>
      </c>
      <c r="AK571" s="33"/>
      <c r="AL571" s="5" t="s">
        <v>3552</v>
      </c>
      <c r="AM571" s="5" t="s">
        <v>6392</v>
      </c>
      <c r="AN571" s="5"/>
      <c r="AO571" s="5"/>
      <c r="AP571" s="5"/>
      <c r="AQ571" s="33" t="s">
        <v>143</v>
      </c>
      <c r="AR571" s="20" t="s">
        <v>97</v>
      </c>
      <c r="AS571" s="20" t="s">
        <v>107</v>
      </c>
      <c r="AT571" s="20"/>
      <c r="AU571" s="24">
        <v>0.5</v>
      </c>
      <c r="AV571" s="24">
        <f t="shared" si="117"/>
        <v>0.4</v>
      </c>
      <c r="AW571" s="24">
        <f t="shared" si="118"/>
        <v>0.3</v>
      </c>
      <c r="AX571" s="25">
        <v>1E-4</v>
      </c>
      <c r="AY571" s="24">
        <v>0</v>
      </c>
      <c r="AZ571" s="24">
        <f t="shared" si="116"/>
        <v>0.45</v>
      </c>
      <c r="BA571" s="24">
        <f t="shared" ref="BA571:BA593" si="119">AZ571*80%</f>
        <v>0.36000000000000004</v>
      </c>
      <c r="BB571" s="24">
        <f t="shared" ref="BB571:BB593" si="120">AZ571*60%</f>
        <v>0.27</v>
      </c>
      <c r="BC571" s="25">
        <v>1E-4</v>
      </c>
      <c r="BD571" s="24">
        <v>0</v>
      </c>
      <c r="BE571" s="26">
        <v>0</v>
      </c>
      <c r="BF571" s="34">
        <f t="shared" si="107"/>
        <v>0</v>
      </c>
      <c r="BG571" s="34">
        <f t="shared" si="108"/>
        <v>0</v>
      </c>
      <c r="BH571" s="26">
        <v>0</v>
      </c>
      <c r="BI571" s="26">
        <v>0</v>
      </c>
      <c r="BJ571" s="20"/>
      <c r="BK571" s="20"/>
      <c r="BL571" s="27"/>
      <c r="BM571" s="27" t="s">
        <v>6393</v>
      </c>
      <c r="BN571" s="26"/>
      <c r="BO571" s="34"/>
      <c r="BP571" s="34"/>
      <c r="BQ571" s="34">
        <v>1</v>
      </c>
      <c r="BR571" s="34"/>
      <c r="BS571" s="34"/>
      <c r="BT571" s="34"/>
      <c r="BU571" s="34"/>
      <c r="BV571" s="34"/>
      <c r="BW571" s="34"/>
      <c r="BX571" s="34"/>
      <c r="BY571" s="34">
        <v>1</v>
      </c>
      <c r="BZ571" s="34"/>
      <c r="CA571" s="20"/>
      <c r="CB571" s="20"/>
      <c r="CC571" s="46">
        <v>46006</v>
      </c>
      <c r="CD571" s="32" t="s">
        <v>6394</v>
      </c>
    </row>
    <row r="572" spans="1:82" ht="66.75" customHeight="1" x14ac:dyDescent="0.25">
      <c r="A572" s="87">
        <v>568</v>
      </c>
      <c r="B572" s="141" t="s">
        <v>6395</v>
      </c>
      <c r="C572" s="82" t="s">
        <v>6396</v>
      </c>
      <c r="D572" s="82" t="s">
        <v>6397</v>
      </c>
      <c r="E572" s="75" t="s">
        <v>113</v>
      </c>
      <c r="F572" s="4" t="s">
        <v>81</v>
      </c>
      <c r="G572" s="5">
        <v>0</v>
      </c>
      <c r="H572" s="6" t="str">
        <f>I572</f>
        <v>Adolescencia</v>
      </c>
      <c r="I572" s="6" t="s">
        <v>364</v>
      </c>
      <c r="J572" s="6" t="s">
        <v>115</v>
      </c>
      <c r="K572" s="6"/>
      <c r="L572" s="6"/>
      <c r="M572" s="6" t="s">
        <v>136</v>
      </c>
      <c r="N572" s="6" t="s">
        <v>89</v>
      </c>
      <c r="O572" s="6" t="s">
        <v>116</v>
      </c>
      <c r="P572" s="6" t="s">
        <v>115</v>
      </c>
      <c r="Q572" s="6"/>
      <c r="R572" s="82" t="s">
        <v>91</v>
      </c>
      <c r="S572" s="5" t="s">
        <v>92</v>
      </c>
      <c r="T572" s="82" t="s">
        <v>93</v>
      </c>
      <c r="U572" s="91">
        <v>100</v>
      </c>
      <c r="V572" s="5" t="s">
        <v>94</v>
      </c>
      <c r="W572" s="5" t="s">
        <v>95</v>
      </c>
      <c r="X572" s="5">
        <v>2025</v>
      </c>
      <c r="Y572" s="5" t="s">
        <v>117</v>
      </c>
      <c r="Z572" s="5" t="s">
        <v>95</v>
      </c>
      <c r="AA572" s="5" t="s">
        <v>98</v>
      </c>
      <c r="AB572" s="6" t="s">
        <v>99</v>
      </c>
      <c r="AC572" s="97" t="s">
        <v>6398</v>
      </c>
      <c r="AD572" s="79" t="s">
        <v>6389</v>
      </c>
      <c r="AE572" s="47" t="s">
        <v>6399</v>
      </c>
      <c r="AF572" s="33" t="s">
        <v>5117</v>
      </c>
      <c r="AG572" s="33" t="s">
        <v>6381</v>
      </c>
      <c r="AH572" s="33" t="s">
        <v>123</v>
      </c>
      <c r="AI572" s="5" t="s">
        <v>368</v>
      </c>
      <c r="AJ572" s="5" t="s">
        <v>6400</v>
      </c>
      <c r="AK572" s="5"/>
      <c r="AL572" s="5" t="s">
        <v>3552</v>
      </c>
      <c r="AM572" s="5" t="s">
        <v>6401</v>
      </c>
      <c r="AN572" s="5"/>
      <c r="AO572" s="5" t="s">
        <v>6402</v>
      </c>
      <c r="AP572" s="5" t="s">
        <v>6403</v>
      </c>
      <c r="AQ572" s="33" t="s">
        <v>143</v>
      </c>
      <c r="AR572" s="20" t="s">
        <v>97</v>
      </c>
      <c r="AS572" s="20" t="s">
        <v>107</v>
      </c>
      <c r="AT572" s="20"/>
      <c r="AU572" s="68">
        <v>0.4</v>
      </c>
      <c r="AV572" s="24">
        <f t="shared" si="117"/>
        <v>0.32000000000000006</v>
      </c>
      <c r="AW572" s="24">
        <f t="shared" si="118"/>
        <v>0.24</v>
      </c>
      <c r="AX572" s="25">
        <v>1E-4</v>
      </c>
      <c r="AY572" s="24">
        <v>0</v>
      </c>
      <c r="AZ572" s="24">
        <f t="shared" si="116"/>
        <v>0.36000000000000004</v>
      </c>
      <c r="BA572" s="24">
        <f t="shared" si="119"/>
        <v>0.28800000000000003</v>
      </c>
      <c r="BB572" s="24">
        <f t="shared" si="120"/>
        <v>0.21600000000000003</v>
      </c>
      <c r="BC572" s="25">
        <v>1E-4</v>
      </c>
      <c r="BD572" s="24">
        <v>0</v>
      </c>
      <c r="BE572" s="26">
        <v>0</v>
      </c>
      <c r="BF572" s="34">
        <f t="shared" si="107"/>
        <v>0</v>
      </c>
      <c r="BG572" s="34">
        <f t="shared" si="108"/>
        <v>0</v>
      </c>
      <c r="BH572" s="26">
        <v>0</v>
      </c>
      <c r="BI572" s="26">
        <v>0</v>
      </c>
      <c r="BJ572" s="20"/>
      <c r="BK572" s="20"/>
      <c r="BL572" s="27"/>
      <c r="BM572" s="27" t="s">
        <v>6404</v>
      </c>
      <c r="BN572" s="26"/>
      <c r="BO572" s="34"/>
      <c r="BP572" s="34"/>
      <c r="BQ572" s="34">
        <v>1</v>
      </c>
      <c r="BR572" s="34"/>
      <c r="BS572" s="34"/>
      <c r="BT572" s="34"/>
      <c r="BU572" s="34"/>
      <c r="BV572" s="34"/>
      <c r="BW572" s="34"/>
      <c r="BX572" s="34"/>
      <c r="BY572" s="34">
        <v>1</v>
      </c>
      <c r="BZ572" s="34"/>
      <c r="CA572" s="20"/>
      <c r="CB572" s="20"/>
      <c r="CC572" s="29">
        <v>46003</v>
      </c>
      <c r="CD572" s="32" t="s">
        <v>6405</v>
      </c>
    </row>
    <row r="573" spans="1:82" ht="66.75" customHeight="1" x14ac:dyDescent="0.25">
      <c r="A573" s="87">
        <v>569</v>
      </c>
      <c r="B573" s="141" t="s">
        <v>6406</v>
      </c>
      <c r="C573" s="82" t="s">
        <v>6407</v>
      </c>
      <c r="D573" s="82" t="s">
        <v>6408</v>
      </c>
      <c r="E573" s="75" t="s">
        <v>113</v>
      </c>
      <c r="F573" s="4" t="s">
        <v>81</v>
      </c>
      <c r="G573" s="5">
        <v>0</v>
      </c>
      <c r="H573" s="6" t="str">
        <f>I573</f>
        <v>Juventud</v>
      </c>
      <c r="I573" s="6" t="s">
        <v>423</v>
      </c>
      <c r="J573" s="6" t="s">
        <v>115</v>
      </c>
      <c r="K573" s="6"/>
      <c r="L573" s="6"/>
      <c r="M573" s="6" t="s">
        <v>136</v>
      </c>
      <c r="N573" s="6" t="s">
        <v>89</v>
      </c>
      <c r="O573" s="6" t="s">
        <v>116</v>
      </c>
      <c r="P573" s="6" t="s">
        <v>115</v>
      </c>
      <c r="Q573" s="6"/>
      <c r="R573" s="82" t="s">
        <v>91</v>
      </c>
      <c r="S573" s="5" t="s">
        <v>92</v>
      </c>
      <c r="T573" s="82" t="s">
        <v>93</v>
      </c>
      <c r="U573" s="91">
        <v>100</v>
      </c>
      <c r="V573" s="5" t="s">
        <v>94</v>
      </c>
      <c r="W573" s="5" t="s">
        <v>95</v>
      </c>
      <c r="X573" s="5">
        <v>2025</v>
      </c>
      <c r="Y573" s="5" t="s">
        <v>117</v>
      </c>
      <c r="Z573" s="5" t="s">
        <v>95</v>
      </c>
      <c r="AA573" s="5" t="s">
        <v>98</v>
      </c>
      <c r="AB573" s="6" t="s">
        <v>99</v>
      </c>
      <c r="AC573" s="79" t="s">
        <v>6409</v>
      </c>
      <c r="AD573" s="117" t="s">
        <v>6410</v>
      </c>
      <c r="AE573" s="47" t="s">
        <v>6411</v>
      </c>
      <c r="AF573" s="33" t="s">
        <v>121</v>
      </c>
      <c r="AG573" s="14" t="s">
        <v>122</v>
      </c>
      <c r="AH573" s="5" t="s">
        <v>123</v>
      </c>
      <c r="AI573" s="2" t="s">
        <v>440</v>
      </c>
      <c r="AJ573" s="76" t="s">
        <v>6412</v>
      </c>
      <c r="AK573" s="5"/>
      <c r="AL573" s="5"/>
      <c r="AM573" s="97" t="s">
        <v>6413</v>
      </c>
      <c r="AN573" s="5" t="s">
        <v>6414</v>
      </c>
      <c r="AO573" s="5" t="s">
        <v>6415</v>
      </c>
      <c r="AP573" s="5" t="s">
        <v>6416</v>
      </c>
      <c r="AQ573" s="33" t="s">
        <v>143</v>
      </c>
      <c r="AR573" s="20" t="s">
        <v>97</v>
      </c>
      <c r="AS573" s="20" t="s">
        <v>107</v>
      </c>
      <c r="AT573" s="20"/>
      <c r="AU573" s="59">
        <v>0.31</v>
      </c>
      <c r="AV573" s="24">
        <f t="shared" si="117"/>
        <v>0.248</v>
      </c>
      <c r="AW573" s="24">
        <f t="shared" si="118"/>
        <v>0.186</v>
      </c>
      <c r="AX573" s="25">
        <v>1E-4</v>
      </c>
      <c r="AY573" s="24">
        <v>0</v>
      </c>
      <c r="AZ573" s="24">
        <f t="shared" si="116"/>
        <v>0.27900000000000003</v>
      </c>
      <c r="BA573" s="24">
        <f t="shared" si="119"/>
        <v>0.22320000000000004</v>
      </c>
      <c r="BB573" s="24">
        <f t="shared" si="120"/>
        <v>0.16740000000000002</v>
      </c>
      <c r="BC573" s="25">
        <v>1E-4</v>
      </c>
      <c r="BD573" s="24">
        <v>0</v>
      </c>
      <c r="BE573" s="26">
        <v>0</v>
      </c>
      <c r="BF573" s="34">
        <f t="shared" si="107"/>
        <v>0</v>
      </c>
      <c r="BG573" s="34">
        <f t="shared" si="108"/>
        <v>0</v>
      </c>
      <c r="BH573" s="26">
        <v>0</v>
      </c>
      <c r="BI573" s="26">
        <v>0</v>
      </c>
      <c r="BJ573" s="20"/>
      <c r="BK573" s="20"/>
      <c r="BL573" s="27"/>
      <c r="BM573" s="27" t="s">
        <v>6417</v>
      </c>
      <c r="BN573" s="26">
        <v>1</v>
      </c>
      <c r="BO573" s="34"/>
      <c r="BP573" s="34"/>
      <c r="BQ573" s="34">
        <v>1</v>
      </c>
      <c r="BR573" s="34"/>
      <c r="BS573" s="34"/>
      <c r="BT573" s="34"/>
      <c r="BU573" s="34"/>
      <c r="BV573" s="34"/>
      <c r="BW573" s="34"/>
      <c r="BX573" s="34"/>
      <c r="BY573" s="34">
        <v>1</v>
      </c>
      <c r="BZ573" s="34"/>
      <c r="CA573" s="20"/>
      <c r="CB573" s="20"/>
      <c r="CC573" s="46">
        <v>46020</v>
      </c>
      <c r="CD573" s="36" t="s">
        <v>6418</v>
      </c>
    </row>
    <row r="574" spans="1:82" ht="80.25" customHeight="1" x14ac:dyDescent="0.25">
      <c r="A574" s="121">
        <v>570</v>
      </c>
      <c r="B574" s="141" t="s">
        <v>6419</v>
      </c>
      <c r="C574" s="82" t="s">
        <v>6420</v>
      </c>
      <c r="D574" s="82" t="s">
        <v>6421</v>
      </c>
      <c r="E574" s="75" t="s">
        <v>113</v>
      </c>
      <c r="F574" s="4" t="s">
        <v>81</v>
      </c>
      <c r="G574" s="5">
        <v>0</v>
      </c>
      <c r="H574" s="6" t="s">
        <v>436</v>
      </c>
      <c r="I574" s="6" t="s">
        <v>436</v>
      </c>
      <c r="J574" s="6" t="s">
        <v>115</v>
      </c>
      <c r="K574" s="6"/>
      <c r="L574" s="6"/>
      <c r="M574" s="6" t="s">
        <v>136</v>
      </c>
      <c r="N574" s="6" t="s">
        <v>89</v>
      </c>
      <c r="O574" s="6" t="s">
        <v>116</v>
      </c>
      <c r="P574" s="6" t="s">
        <v>115</v>
      </c>
      <c r="Q574" s="6"/>
      <c r="R574" s="82" t="s">
        <v>91</v>
      </c>
      <c r="S574" s="5" t="s">
        <v>92</v>
      </c>
      <c r="T574" s="82" t="s">
        <v>93</v>
      </c>
      <c r="U574" s="91">
        <v>100</v>
      </c>
      <c r="V574" s="5" t="s">
        <v>94</v>
      </c>
      <c r="W574" s="5" t="s">
        <v>95</v>
      </c>
      <c r="X574" s="5">
        <v>2025</v>
      </c>
      <c r="Y574" s="5" t="s">
        <v>117</v>
      </c>
      <c r="Z574" s="5" t="s">
        <v>95</v>
      </c>
      <c r="AA574" s="5" t="s">
        <v>98</v>
      </c>
      <c r="AB574" s="6" t="s">
        <v>99</v>
      </c>
      <c r="AC574" s="31" t="s">
        <v>6422</v>
      </c>
      <c r="AD574" s="31" t="s">
        <v>438</v>
      </c>
      <c r="AE574" s="47" t="s">
        <v>6423</v>
      </c>
      <c r="AF574" s="33" t="s">
        <v>121</v>
      </c>
      <c r="AG574" s="14" t="s">
        <v>122</v>
      </c>
      <c r="AH574" s="5" t="s">
        <v>123</v>
      </c>
      <c r="AI574" s="2" t="s">
        <v>440</v>
      </c>
      <c r="AJ574" s="2" t="s">
        <v>6424</v>
      </c>
      <c r="AK574" s="5"/>
      <c r="AL574" s="54" t="s">
        <v>97</v>
      </c>
      <c r="AM574" s="79" t="s">
        <v>6425</v>
      </c>
      <c r="AN574" s="5" t="s">
        <v>6414</v>
      </c>
      <c r="AO574" s="5" t="s">
        <v>6426</v>
      </c>
      <c r="AP574" s="5" t="s">
        <v>6427</v>
      </c>
      <c r="AQ574" s="33" t="s">
        <v>143</v>
      </c>
      <c r="AR574" s="20" t="s">
        <v>97</v>
      </c>
      <c r="AS574" s="20" t="s">
        <v>107</v>
      </c>
      <c r="AT574" s="20"/>
      <c r="AU574" s="24">
        <v>0.31</v>
      </c>
      <c r="AV574" s="24">
        <f t="shared" si="117"/>
        <v>0.248</v>
      </c>
      <c r="AW574" s="24">
        <f t="shared" si="118"/>
        <v>0.186</v>
      </c>
      <c r="AX574" s="25">
        <v>1E-4</v>
      </c>
      <c r="AY574" s="24">
        <v>0</v>
      </c>
      <c r="AZ574" s="24">
        <f t="shared" si="116"/>
        <v>0.27900000000000003</v>
      </c>
      <c r="BA574" s="24">
        <f t="shared" si="119"/>
        <v>0.22320000000000004</v>
      </c>
      <c r="BB574" s="24">
        <f t="shared" si="120"/>
        <v>0.16740000000000002</v>
      </c>
      <c r="BC574" s="25">
        <v>1E-4</v>
      </c>
      <c r="BD574" s="24">
        <v>0</v>
      </c>
      <c r="BE574" s="26">
        <v>0</v>
      </c>
      <c r="BF574" s="34">
        <f t="shared" si="107"/>
        <v>0</v>
      </c>
      <c r="BG574" s="34">
        <f t="shared" si="108"/>
        <v>0</v>
      </c>
      <c r="BH574" s="26">
        <v>0</v>
      </c>
      <c r="BI574" s="26">
        <v>0</v>
      </c>
      <c r="BJ574" s="20"/>
      <c r="BK574" s="20"/>
      <c r="BL574" s="27"/>
      <c r="BM574" s="27" t="s">
        <v>6428</v>
      </c>
      <c r="BN574" s="26">
        <v>1</v>
      </c>
      <c r="BO574" s="34"/>
      <c r="BP574" s="34"/>
      <c r="BQ574" s="34">
        <v>1</v>
      </c>
      <c r="BR574" s="34"/>
      <c r="BS574" s="34"/>
      <c r="BT574" s="34"/>
      <c r="BU574" s="34"/>
      <c r="BV574" s="34"/>
      <c r="BW574" s="34"/>
      <c r="BX574" s="34"/>
      <c r="BY574" s="34">
        <v>1</v>
      </c>
      <c r="BZ574" s="34"/>
      <c r="CA574" s="20"/>
      <c r="CB574" s="20"/>
      <c r="CC574" s="46">
        <v>46044</v>
      </c>
      <c r="CD574" s="36" t="s">
        <v>6429</v>
      </c>
    </row>
    <row r="575" spans="1:82" ht="66.75" customHeight="1" x14ac:dyDescent="0.25">
      <c r="A575" s="87">
        <v>571</v>
      </c>
      <c r="B575" s="141" t="s">
        <v>6430</v>
      </c>
      <c r="C575" s="82" t="s">
        <v>6431</v>
      </c>
      <c r="D575" s="82" t="s">
        <v>6432</v>
      </c>
      <c r="E575" s="75" t="s">
        <v>113</v>
      </c>
      <c r="F575" s="4" t="s">
        <v>81</v>
      </c>
      <c r="G575" s="5" t="s">
        <v>84</v>
      </c>
      <c r="H575" s="6" t="s">
        <v>463</v>
      </c>
      <c r="I575" s="6" t="s">
        <v>463</v>
      </c>
      <c r="J575" s="6" t="s">
        <v>115</v>
      </c>
      <c r="K575" s="6"/>
      <c r="L575" s="6"/>
      <c r="M575" s="6" t="s">
        <v>136</v>
      </c>
      <c r="N575" s="6" t="s">
        <v>89</v>
      </c>
      <c r="O575" s="6" t="s">
        <v>116</v>
      </c>
      <c r="P575" s="6" t="s">
        <v>115</v>
      </c>
      <c r="Q575" s="6"/>
      <c r="R575" s="82" t="s">
        <v>91</v>
      </c>
      <c r="S575" s="5" t="s">
        <v>92</v>
      </c>
      <c r="T575" s="82" t="s">
        <v>93</v>
      </c>
      <c r="U575" s="91">
        <v>100</v>
      </c>
      <c r="V575" s="5" t="s">
        <v>94</v>
      </c>
      <c r="W575" s="5" t="s">
        <v>95</v>
      </c>
      <c r="X575" s="5">
        <v>2025</v>
      </c>
      <c r="Y575" s="5" t="s">
        <v>117</v>
      </c>
      <c r="Z575" s="5" t="s">
        <v>95</v>
      </c>
      <c r="AA575" s="5" t="s">
        <v>98</v>
      </c>
      <c r="AB575" s="6" t="s">
        <v>99</v>
      </c>
      <c r="AC575" s="31" t="s">
        <v>6433</v>
      </c>
      <c r="AD575" s="31" t="s">
        <v>6434</v>
      </c>
      <c r="AE575" s="47" t="s">
        <v>6435</v>
      </c>
      <c r="AF575" s="33" t="s">
        <v>121</v>
      </c>
      <c r="AG575" s="14" t="s">
        <v>122</v>
      </c>
      <c r="AH575" s="5" t="s">
        <v>123</v>
      </c>
      <c r="AI575" s="2" t="s">
        <v>440</v>
      </c>
      <c r="AJ575" s="2" t="s">
        <v>468</v>
      </c>
      <c r="AK575" s="5"/>
      <c r="AL575" s="54" t="s">
        <v>97</v>
      </c>
      <c r="AM575" s="79" t="s">
        <v>6436</v>
      </c>
      <c r="AN575" s="5" t="s">
        <v>6437</v>
      </c>
      <c r="AO575" s="5" t="s">
        <v>6438</v>
      </c>
      <c r="AP575" s="5" t="s">
        <v>6439</v>
      </c>
      <c r="AQ575" s="33" t="s">
        <v>143</v>
      </c>
      <c r="AR575" s="20" t="s">
        <v>97</v>
      </c>
      <c r="AS575" s="20" t="s">
        <v>107</v>
      </c>
      <c r="AT575" s="20"/>
      <c r="AU575" s="59">
        <v>0.2</v>
      </c>
      <c r="AV575" s="24">
        <f t="shared" si="117"/>
        <v>0.16000000000000003</v>
      </c>
      <c r="AW575" s="24">
        <f t="shared" si="118"/>
        <v>0.12</v>
      </c>
      <c r="AX575" s="25">
        <v>1E-4</v>
      </c>
      <c r="AY575" s="24">
        <v>0</v>
      </c>
      <c r="AZ575" s="24">
        <f t="shared" si="116"/>
        <v>0.18000000000000002</v>
      </c>
      <c r="BA575" s="24">
        <f t="shared" si="119"/>
        <v>0.14400000000000002</v>
      </c>
      <c r="BB575" s="24">
        <f t="shared" si="120"/>
        <v>0.10800000000000001</v>
      </c>
      <c r="BC575" s="25">
        <v>1E-4</v>
      </c>
      <c r="BD575" s="24">
        <v>0</v>
      </c>
      <c r="BE575" s="26">
        <v>0</v>
      </c>
      <c r="BF575" s="34">
        <f t="shared" si="107"/>
        <v>0</v>
      </c>
      <c r="BG575" s="34">
        <f t="shared" si="108"/>
        <v>0</v>
      </c>
      <c r="BH575" s="26">
        <v>0</v>
      </c>
      <c r="BI575" s="26">
        <v>0</v>
      </c>
      <c r="BJ575" s="20"/>
      <c r="BK575" s="20"/>
      <c r="BL575" s="27"/>
      <c r="BM575" s="27" t="s">
        <v>6440</v>
      </c>
      <c r="BN575" s="26"/>
      <c r="BO575" s="34"/>
      <c r="BP575" s="34"/>
      <c r="BQ575" s="34">
        <v>1</v>
      </c>
      <c r="BR575" s="34"/>
      <c r="BS575" s="34"/>
      <c r="BT575" s="34"/>
      <c r="BU575" s="34"/>
      <c r="BV575" s="34"/>
      <c r="BW575" s="34"/>
      <c r="BX575" s="34"/>
      <c r="BY575" s="34">
        <v>1</v>
      </c>
      <c r="BZ575" s="34"/>
      <c r="CA575" s="20"/>
      <c r="CB575" s="20"/>
      <c r="CC575" s="29">
        <v>46006</v>
      </c>
      <c r="CD575" s="11" t="s">
        <v>6441</v>
      </c>
    </row>
    <row r="576" spans="1:82" ht="66.75" customHeight="1" x14ac:dyDescent="0.25">
      <c r="A576" s="87">
        <v>572</v>
      </c>
      <c r="B576" s="141" t="s">
        <v>6442</v>
      </c>
      <c r="C576" s="82" t="s">
        <v>6443</v>
      </c>
      <c r="D576" s="82" t="s">
        <v>6444</v>
      </c>
      <c r="E576" s="75" t="s">
        <v>113</v>
      </c>
      <c r="F576" s="4" t="s">
        <v>81</v>
      </c>
      <c r="G576" s="5" t="s">
        <v>84</v>
      </c>
      <c r="H576" s="6" t="s">
        <v>775</v>
      </c>
      <c r="I576" s="6" t="s">
        <v>3328</v>
      </c>
      <c r="J576" s="6"/>
      <c r="K576" s="6"/>
      <c r="L576" s="6"/>
      <c r="M576" s="6" t="s">
        <v>136</v>
      </c>
      <c r="N576" s="6" t="s">
        <v>89</v>
      </c>
      <c r="O576" s="6" t="s">
        <v>579</v>
      </c>
      <c r="P576" s="6" t="s">
        <v>6445</v>
      </c>
      <c r="Q576" s="6"/>
      <c r="R576" s="82" t="s">
        <v>91</v>
      </c>
      <c r="S576" s="5" t="s">
        <v>92</v>
      </c>
      <c r="T576" s="82" t="s">
        <v>93</v>
      </c>
      <c r="U576" s="91">
        <v>100</v>
      </c>
      <c r="V576" s="5" t="s">
        <v>94</v>
      </c>
      <c r="W576" s="5" t="s">
        <v>95</v>
      </c>
      <c r="X576" s="5">
        <v>2025</v>
      </c>
      <c r="Y576" s="5" t="s">
        <v>117</v>
      </c>
      <c r="Z576" s="5" t="s">
        <v>95</v>
      </c>
      <c r="AA576" s="5" t="s">
        <v>98</v>
      </c>
      <c r="AB576" s="6" t="s">
        <v>99</v>
      </c>
      <c r="AC576" s="79" t="s">
        <v>6446</v>
      </c>
      <c r="AD576" s="79" t="s">
        <v>6447</v>
      </c>
      <c r="AE576" s="5" t="s">
        <v>6448</v>
      </c>
      <c r="AF576" s="33" t="s">
        <v>6449</v>
      </c>
      <c r="AG576" s="33" t="s">
        <v>218</v>
      </c>
      <c r="AH576" s="33" t="s">
        <v>218</v>
      </c>
      <c r="AI576" s="33" t="s">
        <v>6450</v>
      </c>
      <c r="AJ576" s="33" t="s">
        <v>6451</v>
      </c>
      <c r="AK576" s="33" t="s">
        <v>97</v>
      </c>
      <c r="AL576" s="5" t="s">
        <v>6452</v>
      </c>
      <c r="AM576" s="5" t="s">
        <v>6453</v>
      </c>
      <c r="AN576" s="5"/>
      <c r="AO576" s="5" t="s">
        <v>6454</v>
      </c>
      <c r="AP576" s="5" t="s">
        <v>6455</v>
      </c>
      <c r="AQ576" s="75" t="s">
        <v>3328</v>
      </c>
      <c r="AR576" s="20" t="s">
        <v>97</v>
      </c>
      <c r="AS576" s="20" t="s">
        <v>107</v>
      </c>
      <c r="AT576" s="20"/>
      <c r="AU576" s="24">
        <v>0.5</v>
      </c>
      <c r="AV576" s="24">
        <f t="shared" si="117"/>
        <v>0.4</v>
      </c>
      <c r="AW576" s="24">
        <f t="shared" si="118"/>
        <v>0.3</v>
      </c>
      <c r="AX576" s="25">
        <v>1E-4</v>
      </c>
      <c r="AY576" s="24">
        <v>0</v>
      </c>
      <c r="AZ576" s="24">
        <f t="shared" si="116"/>
        <v>0.45</v>
      </c>
      <c r="BA576" s="24">
        <f t="shared" si="119"/>
        <v>0.36000000000000004</v>
      </c>
      <c r="BB576" s="24">
        <f t="shared" si="120"/>
        <v>0.27</v>
      </c>
      <c r="BC576" s="25">
        <v>1E-4</v>
      </c>
      <c r="BD576" s="24">
        <v>0</v>
      </c>
      <c r="BE576" s="26">
        <v>0</v>
      </c>
      <c r="BF576" s="34">
        <f t="shared" si="107"/>
        <v>0</v>
      </c>
      <c r="BG576" s="34">
        <f t="shared" si="108"/>
        <v>0</v>
      </c>
      <c r="BH576" s="26">
        <v>0</v>
      </c>
      <c r="BI576" s="26">
        <v>0</v>
      </c>
      <c r="BJ576" s="20"/>
      <c r="BK576" s="20"/>
      <c r="BL576" s="27"/>
      <c r="BM576" s="27" t="s">
        <v>1176</v>
      </c>
      <c r="BN576" s="26"/>
      <c r="BO576" s="34"/>
      <c r="BP576" s="34"/>
      <c r="BQ576" s="34"/>
      <c r="BR576" s="34"/>
      <c r="BS576" s="34"/>
      <c r="BT576" s="34"/>
      <c r="BU576" s="34"/>
      <c r="BV576" s="34"/>
      <c r="BW576" s="34"/>
      <c r="BX576" s="34"/>
      <c r="BY576" s="34"/>
      <c r="BZ576" s="34"/>
      <c r="CA576" s="20"/>
      <c r="CB576" s="20"/>
      <c r="CC576" s="46">
        <v>46006</v>
      </c>
      <c r="CD576" s="35" t="s">
        <v>4596</v>
      </c>
    </row>
    <row r="577" spans="1:82" ht="66.75" customHeight="1" x14ac:dyDescent="0.25">
      <c r="A577" s="121">
        <v>573</v>
      </c>
      <c r="B577" s="141" t="s">
        <v>6456</v>
      </c>
      <c r="C577" s="82" t="s">
        <v>6457</v>
      </c>
      <c r="D577" s="82" t="s">
        <v>7264</v>
      </c>
      <c r="E577" s="75" t="s">
        <v>84</v>
      </c>
      <c r="F577" s="4" t="s">
        <v>81</v>
      </c>
      <c r="G577" s="5" t="s">
        <v>84</v>
      </c>
      <c r="H577" s="6" t="s">
        <v>775</v>
      </c>
      <c r="I577" s="6" t="s">
        <v>3257</v>
      </c>
      <c r="J577" s="6"/>
      <c r="K577" s="6"/>
      <c r="L577" s="6"/>
      <c r="M577" s="6" t="s">
        <v>136</v>
      </c>
      <c r="N577" s="6" t="s">
        <v>89</v>
      </c>
      <c r="O577" s="6" t="s">
        <v>3903</v>
      </c>
      <c r="P577" s="6" t="s">
        <v>4326</v>
      </c>
      <c r="Q577" s="6"/>
      <c r="R577" s="82" t="s">
        <v>175</v>
      </c>
      <c r="S577" s="5" t="s">
        <v>92</v>
      </c>
      <c r="T577" s="82" t="s">
        <v>93</v>
      </c>
      <c r="U577" s="91">
        <v>100</v>
      </c>
      <c r="V577" s="5" t="s">
        <v>94</v>
      </c>
      <c r="W577" s="5" t="s">
        <v>95</v>
      </c>
      <c r="X577" s="5">
        <v>2025</v>
      </c>
      <c r="Y577" s="39" t="s">
        <v>3287</v>
      </c>
      <c r="Z577" s="5" t="s">
        <v>97</v>
      </c>
      <c r="AA577" s="5" t="s">
        <v>973</v>
      </c>
      <c r="AB577" s="6" t="s">
        <v>99</v>
      </c>
      <c r="AC577" s="182" t="s">
        <v>7266</v>
      </c>
      <c r="AD577" s="182" t="s">
        <v>7265</v>
      </c>
      <c r="AE577" s="6" t="s">
        <v>7270</v>
      </c>
      <c r="AF577" s="83" t="s">
        <v>7267</v>
      </c>
      <c r="AG577" s="188" t="s">
        <v>7269</v>
      </c>
      <c r="AH577" s="5" t="s">
        <v>6458</v>
      </c>
      <c r="AI577" s="5" t="s">
        <v>6459</v>
      </c>
      <c r="AJ577" s="6" t="s">
        <v>7268</v>
      </c>
      <c r="AK577" s="49"/>
      <c r="AL577" s="54" t="s">
        <v>97</v>
      </c>
      <c r="AM577" s="82"/>
      <c r="AN577" s="5"/>
      <c r="AO577" s="5" t="s">
        <v>6460</v>
      </c>
      <c r="AP577" s="5" t="s">
        <v>6461</v>
      </c>
      <c r="AQ577" s="75" t="s">
        <v>6462</v>
      </c>
      <c r="AR577" s="20" t="s">
        <v>97</v>
      </c>
      <c r="AS577" s="20" t="s">
        <v>107</v>
      </c>
      <c r="AT577" s="20"/>
      <c r="AU577" s="24">
        <v>0.8</v>
      </c>
      <c r="AV577" s="24">
        <f t="shared" si="117"/>
        <v>0.64000000000000012</v>
      </c>
      <c r="AW577" s="24">
        <f t="shared" si="118"/>
        <v>0.48</v>
      </c>
      <c r="AX577" s="25">
        <v>1E-4</v>
      </c>
      <c r="AY577" s="24">
        <v>0</v>
      </c>
      <c r="AZ577" s="24">
        <f t="shared" si="116"/>
        <v>0.72000000000000008</v>
      </c>
      <c r="BA577" s="24">
        <f t="shared" si="119"/>
        <v>0.57600000000000007</v>
      </c>
      <c r="BB577" s="24">
        <f t="shared" si="120"/>
        <v>0.43200000000000005</v>
      </c>
      <c r="BC577" s="25">
        <v>1E-4</v>
      </c>
      <c r="BD577" s="24">
        <v>0</v>
      </c>
      <c r="BE577" s="26">
        <v>0</v>
      </c>
      <c r="BF577" s="34">
        <f t="shared" si="107"/>
        <v>0</v>
      </c>
      <c r="BG577" s="34">
        <f t="shared" si="108"/>
        <v>0</v>
      </c>
      <c r="BH577" s="26">
        <v>0</v>
      </c>
      <c r="BI577" s="26">
        <v>0</v>
      </c>
      <c r="BJ577" s="20"/>
      <c r="BK577" s="20"/>
      <c r="BL577" s="27"/>
      <c r="BM577" s="27" t="s">
        <v>6463</v>
      </c>
      <c r="BN577" s="26"/>
      <c r="BO577" s="34"/>
      <c r="BP577" s="34"/>
      <c r="BQ577" s="34"/>
      <c r="BR577" s="34"/>
      <c r="BS577" s="34"/>
      <c r="BT577" s="34"/>
      <c r="BU577" s="34"/>
      <c r="BV577" s="34"/>
      <c r="BW577" s="34"/>
      <c r="BX577" s="34"/>
      <c r="BY577" s="34"/>
      <c r="BZ577" s="34"/>
      <c r="CA577" s="20"/>
      <c r="CB577" s="20"/>
      <c r="CC577" s="46">
        <v>46049</v>
      </c>
      <c r="CD577" s="35" t="s">
        <v>7343</v>
      </c>
    </row>
    <row r="578" spans="1:82" ht="132.75" customHeight="1" x14ac:dyDescent="0.25">
      <c r="A578" s="87">
        <v>574</v>
      </c>
      <c r="B578" s="141" t="s">
        <v>6466</v>
      </c>
      <c r="C578" s="82" t="s">
        <v>6467</v>
      </c>
      <c r="D578" s="82" t="s">
        <v>6468</v>
      </c>
      <c r="E578" s="75" t="s">
        <v>174</v>
      </c>
      <c r="F578" s="4" t="s">
        <v>81</v>
      </c>
      <c r="G578" s="5" t="s">
        <v>84</v>
      </c>
      <c r="H578" s="6" t="s">
        <v>775</v>
      </c>
      <c r="I578" s="6" t="s">
        <v>3257</v>
      </c>
      <c r="J578" s="6"/>
      <c r="K578" s="6"/>
      <c r="L578" s="6"/>
      <c r="M578" s="6" t="s">
        <v>136</v>
      </c>
      <c r="N578" s="6" t="s">
        <v>89</v>
      </c>
      <c r="O578" s="6" t="s">
        <v>3056</v>
      </c>
      <c r="P578" s="6" t="s">
        <v>6469</v>
      </c>
      <c r="Q578" s="6"/>
      <c r="R578" s="82" t="s">
        <v>175</v>
      </c>
      <c r="S578" s="5" t="s">
        <v>92</v>
      </c>
      <c r="T578" s="82" t="s">
        <v>93</v>
      </c>
      <c r="U578" s="91">
        <v>100</v>
      </c>
      <c r="V578" s="5" t="s">
        <v>94</v>
      </c>
      <c r="W578" s="5" t="s">
        <v>95</v>
      </c>
      <c r="X578" s="5">
        <v>2025</v>
      </c>
      <c r="Y578" s="5" t="s">
        <v>117</v>
      </c>
      <c r="Z578" s="5" t="s">
        <v>97</v>
      </c>
      <c r="AA578" s="5" t="s">
        <v>973</v>
      </c>
      <c r="AB578" s="6" t="s">
        <v>99</v>
      </c>
      <c r="AC578" s="79" t="s">
        <v>6470</v>
      </c>
      <c r="AD578" s="79" t="s">
        <v>6471</v>
      </c>
      <c r="AE578" s="6" t="s">
        <v>6472</v>
      </c>
      <c r="AF578" s="6" t="s">
        <v>6473</v>
      </c>
      <c r="AG578" s="5" t="s">
        <v>6474</v>
      </c>
      <c r="AH578" s="5" t="s">
        <v>6475</v>
      </c>
      <c r="AI578" s="5" t="s">
        <v>6476</v>
      </c>
      <c r="AJ578" s="5" t="s">
        <v>6477</v>
      </c>
      <c r="AK578" s="5"/>
      <c r="AL578" s="5" t="s">
        <v>6478</v>
      </c>
      <c r="AM578" s="5" t="s">
        <v>6479</v>
      </c>
      <c r="AN578" s="5"/>
      <c r="AO578" s="5" t="s">
        <v>6480</v>
      </c>
      <c r="AP578" s="5" t="s">
        <v>6481</v>
      </c>
      <c r="AQ578" s="75" t="s">
        <v>6482</v>
      </c>
      <c r="AR578" s="20" t="s">
        <v>97</v>
      </c>
      <c r="AS578" s="20" t="s">
        <v>107</v>
      </c>
      <c r="AT578" s="20"/>
      <c r="AU578" s="24">
        <v>0.6</v>
      </c>
      <c r="AV578" s="24">
        <f t="shared" si="117"/>
        <v>0.48</v>
      </c>
      <c r="AW578" s="24">
        <f t="shared" si="118"/>
        <v>0.36</v>
      </c>
      <c r="AX578" s="25">
        <v>1E-4</v>
      </c>
      <c r="AY578" s="24">
        <v>0</v>
      </c>
      <c r="AZ578" s="24">
        <f t="shared" si="116"/>
        <v>0.54</v>
      </c>
      <c r="BA578" s="24">
        <f t="shared" si="119"/>
        <v>0.43200000000000005</v>
      </c>
      <c r="BB578" s="24">
        <f t="shared" si="120"/>
        <v>0.32400000000000001</v>
      </c>
      <c r="BC578" s="25">
        <v>1E-4</v>
      </c>
      <c r="BD578" s="24">
        <v>0</v>
      </c>
      <c r="BE578" s="34">
        <v>20</v>
      </c>
      <c r="BF578" s="34">
        <f t="shared" si="107"/>
        <v>16</v>
      </c>
      <c r="BG578" s="34">
        <f t="shared" si="108"/>
        <v>12</v>
      </c>
      <c r="BH578" s="26">
        <v>1</v>
      </c>
      <c r="BI578" s="26">
        <v>0</v>
      </c>
      <c r="BJ578" s="20"/>
      <c r="BK578" s="20"/>
      <c r="BL578" s="27"/>
      <c r="BM578" s="27" t="s">
        <v>6483</v>
      </c>
      <c r="BN578" s="26"/>
      <c r="BO578" s="34"/>
      <c r="BP578" s="34"/>
      <c r="BQ578" s="34"/>
      <c r="BR578" s="34"/>
      <c r="BS578" s="34"/>
      <c r="BT578" s="34"/>
      <c r="BU578" s="34"/>
      <c r="BV578" s="34"/>
      <c r="BW578" s="34"/>
      <c r="BX578" s="34"/>
      <c r="BY578" s="34"/>
      <c r="BZ578" s="34"/>
      <c r="CA578" s="20"/>
      <c r="CB578" s="20"/>
      <c r="CC578" s="46">
        <v>46006</v>
      </c>
      <c r="CD578" s="40" t="s">
        <v>6484</v>
      </c>
    </row>
    <row r="579" spans="1:82" ht="66.75" customHeight="1" x14ac:dyDescent="0.25">
      <c r="A579" s="87">
        <v>575</v>
      </c>
      <c r="B579" s="141" t="s">
        <v>6485</v>
      </c>
      <c r="C579" s="82" t="s">
        <v>6486</v>
      </c>
      <c r="D579" s="82" t="s">
        <v>6487</v>
      </c>
      <c r="E579" s="75" t="s">
        <v>174</v>
      </c>
      <c r="F579" s="4" t="s">
        <v>81</v>
      </c>
      <c r="G579" s="5" t="s">
        <v>84</v>
      </c>
      <c r="H579" s="6" t="s">
        <v>775</v>
      </c>
      <c r="I579" s="6" t="s">
        <v>3257</v>
      </c>
      <c r="J579" s="6"/>
      <c r="K579" s="6"/>
      <c r="L579" s="6"/>
      <c r="M579" s="6" t="s">
        <v>136</v>
      </c>
      <c r="N579" s="6" t="s">
        <v>89</v>
      </c>
      <c r="O579" s="6" t="s">
        <v>3056</v>
      </c>
      <c r="P579" s="6" t="s">
        <v>6488</v>
      </c>
      <c r="Q579" s="6"/>
      <c r="R579" s="82" t="s">
        <v>91</v>
      </c>
      <c r="S579" s="5" t="s">
        <v>92</v>
      </c>
      <c r="T579" s="82" t="s">
        <v>93</v>
      </c>
      <c r="U579" s="91">
        <v>100</v>
      </c>
      <c r="V579" s="5" t="s">
        <v>94</v>
      </c>
      <c r="W579" s="5" t="s">
        <v>95</v>
      </c>
      <c r="X579" s="5">
        <v>2025</v>
      </c>
      <c r="Y579" s="5" t="s">
        <v>117</v>
      </c>
      <c r="Z579" s="5" t="s">
        <v>97</v>
      </c>
      <c r="AA579" s="5" t="s">
        <v>973</v>
      </c>
      <c r="AB579" s="6" t="s">
        <v>99</v>
      </c>
      <c r="AC579" s="79" t="s">
        <v>6489</v>
      </c>
      <c r="AD579" s="79" t="s">
        <v>6490</v>
      </c>
      <c r="AE579" s="6" t="s">
        <v>6491</v>
      </c>
      <c r="AF579" s="6" t="s">
        <v>6492</v>
      </c>
      <c r="AG579" s="5" t="s">
        <v>6493</v>
      </c>
      <c r="AH579" s="5" t="s">
        <v>6494</v>
      </c>
      <c r="AI579" s="5" t="s">
        <v>6495</v>
      </c>
      <c r="AJ579" s="5" t="s">
        <v>6496</v>
      </c>
      <c r="AK579" s="5"/>
      <c r="AL579" s="5" t="s">
        <v>6497</v>
      </c>
      <c r="AM579" s="5" t="s">
        <v>6498</v>
      </c>
      <c r="AN579" s="5" t="s">
        <v>6499</v>
      </c>
      <c r="AO579" s="5" t="s">
        <v>6500</v>
      </c>
      <c r="AP579" s="5" t="s">
        <v>6501</v>
      </c>
      <c r="AQ579" s="75" t="s">
        <v>6462</v>
      </c>
      <c r="AR579" s="20" t="s">
        <v>97</v>
      </c>
      <c r="AS579" s="20" t="s">
        <v>107</v>
      </c>
      <c r="AT579" s="20"/>
      <c r="AU579" s="24">
        <v>0.8</v>
      </c>
      <c r="AV579" s="24">
        <f t="shared" si="117"/>
        <v>0.64000000000000012</v>
      </c>
      <c r="AW579" s="24">
        <f t="shared" si="118"/>
        <v>0.48</v>
      </c>
      <c r="AX579" s="25">
        <v>1E-4</v>
      </c>
      <c r="AY579" s="24">
        <v>0</v>
      </c>
      <c r="AZ579" s="24">
        <f t="shared" si="116"/>
        <v>0.72000000000000008</v>
      </c>
      <c r="BA579" s="24">
        <f t="shared" si="119"/>
        <v>0.57600000000000007</v>
      </c>
      <c r="BB579" s="24">
        <f t="shared" si="120"/>
        <v>0.43200000000000005</v>
      </c>
      <c r="BC579" s="25">
        <v>1E-4</v>
      </c>
      <c r="BD579" s="24">
        <v>0</v>
      </c>
      <c r="BE579" s="20">
        <v>30</v>
      </c>
      <c r="BF579" s="34">
        <f t="shared" si="107"/>
        <v>24</v>
      </c>
      <c r="BG579" s="34">
        <f t="shared" si="108"/>
        <v>18</v>
      </c>
      <c r="BH579" s="26">
        <v>1</v>
      </c>
      <c r="BI579" s="73">
        <v>0</v>
      </c>
      <c r="BJ579" s="20"/>
      <c r="BK579" s="20"/>
      <c r="BL579" s="27">
        <f>470/9446</f>
        <v>4.9756510692356551E-2</v>
      </c>
      <c r="BM579" s="27" t="s">
        <v>6502</v>
      </c>
      <c r="BN579" s="26"/>
      <c r="BO579" s="34">
        <v>1</v>
      </c>
      <c r="BP579" s="34"/>
      <c r="BQ579" s="34"/>
      <c r="BR579" s="34"/>
      <c r="BS579" s="34"/>
      <c r="BT579" s="34"/>
      <c r="BU579" s="34"/>
      <c r="BV579" s="34"/>
      <c r="BW579" s="34"/>
      <c r="BX579" s="34"/>
      <c r="BY579" s="34"/>
      <c r="BZ579" s="34"/>
      <c r="CA579" s="20"/>
      <c r="CB579" s="20"/>
      <c r="CC579" s="46">
        <v>46006</v>
      </c>
      <c r="CD579" s="36" t="s">
        <v>6503</v>
      </c>
    </row>
    <row r="580" spans="1:82" ht="67.5" customHeight="1" x14ac:dyDescent="0.25">
      <c r="A580" s="121">
        <v>576</v>
      </c>
      <c r="B580" s="142" t="s">
        <v>6504</v>
      </c>
      <c r="C580" s="82" t="s">
        <v>7405</v>
      </c>
      <c r="D580" s="82" t="s">
        <v>6505</v>
      </c>
      <c r="E580" s="75" t="s">
        <v>84</v>
      </c>
      <c r="F580" s="12" t="s">
        <v>81</v>
      </c>
      <c r="G580" s="7" t="s">
        <v>84</v>
      </c>
      <c r="H580" s="2" t="s">
        <v>775</v>
      </c>
      <c r="I580" s="11" t="s">
        <v>2901</v>
      </c>
      <c r="J580" s="11"/>
      <c r="K580" s="11"/>
      <c r="L580" s="11"/>
      <c r="M580" s="11" t="s">
        <v>136</v>
      </c>
      <c r="N580" s="11" t="s">
        <v>89</v>
      </c>
      <c r="O580" s="11" t="s">
        <v>2688</v>
      </c>
      <c r="P580" s="11" t="s">
        <v>6310</v>
      </c>
      <c r="Q580" s="11"/>
      <c r="R580" s="11" t="s">
        <v>175</v>
      </c>
      <c r="S580" s="5" t="s">
        <v>92</v>
      </c>
      <c r="T580" s="7" t="s">
        <v>93</v>
      </c>
      <c r="U580" s="181">
        <v>100</v>
      </c>
      <c r="V580" s="7" t="s">
        <v>94</v>
      </c>
      <c r="W580" s="7" t="s">
        <v>95</v>
      </c>
      <c r="X580" s="7">
        <v>2025</v>
      </c>
      <c r="Y580" s="216" t="s">
        <v>3287</v>
      </c>
      <c r="Z580" s="7" t="s">
        <v>97</v>
      </c>
      <c r="AA580" s="7" t="s">
        <v>973</v>
      </c>
      <c r="AB580" s="2" t="s">
        <v>99</v>
      </c>
      <c r="AC580" s="31" t="s">
        <v>7403</v>
      </c>
      <c r="AD580" s="31" t="s">
        <v>7404</v>
      </c>
      <c r="AE580" s="6" t="s">
        <v>6506</v>
      </c>
      <c r="AF580" s="2" t="s">
        <v>7407</v>
      </c>
      <c r="AG580" s="96" t="s">
        <v>6507</v>
      </c>
      <c r="AH580" s="7" t="s">
        <v>7446</v>
      </c>
      <c r="AI580" s="5" t="s">
        <v>6508</v>
      </c>
      <c r="AJ580" s="7" t="s">
        <v>7431</v>
      </c>
      <c r="AK580" s="20" t="s">
        <v>97</v>
      </c>
      <c r="AL580" s="20" t="s">
        <v>97</v>
      </c>
      <c r="AM580" s="5" t="s">
        <v>6509</v>
      </c>
      <c r="AN580" s="7"/>
      <c r="AO580" s="15" t="s">
        <v>6510</v>
      </c>
      <c r="AP580" s="7" t="s">
        <v>6511</v>
      </c>
      <c r="AQ580" s="15" t="s">
        <v>7272</v>
      </c>
      <c r="AR580" s="20" t="s">
        <v>97</v>
      </c>
      <c r="AS580" s="20" t="s">
        <v>107</v>
      </c>
      <c r="AT580" s="20"/>
      <c r="AU580" s="24">
        <v>0.6</v>
      </c>
      <c r="AV580" s="24">
        <f t="shared" si="117"/>
        <v>0.48</v>
      </c>
      <c r="AW580" s="24">
        <f t="shared" si="118"/>
        <v>0.36</v>
      </c>
      <c r="AX580" s="25">
        <v>1E-4</v>
      </c>
      <c r="AY580" s="24">
        <v>0</v>
      </c>
      <c r="AZ580" s="24">
        <f t="shared" si="116"/>
        <v>0.54</v>
      </c>
      <c r="BA580" s="24">
        <f t="shared" si="119"/>
        <v>0.43200000000000005</v>
      </c>
      <c r="BB580" s="24">
        <f t="shared" si="120"/>
        <v>0.32400000000000001</v>
      </c>
      <c r="BC580" s="25">
        <v>1E-4</v>
      </c>
      <c r="BD580" s="24">
        <v>0</v>
      </c>
      <c r="BE580" s="26">
        <v>0</v>
      </c>
      <c r="BF580" s="34">
        <f t="shared" ref="BF580:BF631" si="121">+BE580*80%</f>
        <v>0</v>
      </c>
      <c r="BG580" s="34">
        <f t="shared" ref="BG580:BG631" si="122">+BE580*60%</f>
        <v>0</v>
      </c>
      <c r="BH580" s="26">
        <v>0</v>
      </c>
      <c r="BI580" s="26">
        <v>0</v>
      </c>
      <c r="BJ580" s="20"/>
      <c r="BK580" s="20"/>
      <c r="BL580" s="27"/>
      <c r="BM580" s="27" t="s">
        <v>6512</v>
      </c>
      <c r="BN580" s="26"/>
      <c r="BO580" s="34"/>
      <c r="BP580" s="34"/>
      <c r="BQ580" s="34"/>
      <c r="BR580" s="34"/>
      <c r="BS580" s="34"/>
      <c r="BT580" s="34"/>
      <c r="BU580" s="34"/>
      <c r="BV580" s="34"/>
      <c r="BW580" s="34"/>
      <c r="BX580" s="34"/>
      <c r="BY580" s="34"/>
      <c r="BZ580" s="34"/>
      <c r="CA580" s="20"/>
      <c r="CB580" s="33"/>
      <c r="CC580" s="46">
        <v>46044</v>
      </c>
      <c r="CD580" s="2" t="s">
        <v>7344</v>
      </c>
    </row>
    <row r="581" spans="1:82" ht="135" customHeight="1" x14ac:dyDescent="0.25">
      <c r="A581" s="87">
        <v>577</v>
      </c>
      <c r="B581" s="142" t="s">
        <v>6515</v>
      </c>
      <c r="C581" s="11" t="s">
        <v>6516</v>
      </c>
      <c r="D581" s="11" t="s">
        <v>6517</v>
      </c>
      <c r="E581" s="75" t="s">
        <v>113</v>
      </c>
      <c r="F581" s="12" t="s">
        <v>81</v>
      </c>
      <c r="G581" s="7" t="s">
        <v>84</v>
      </c>
      <c r="H581" s="2" t="s">
        <v>775</v>
      </c>
      <c r="I581" s="11" t="s">
        <v>2901</v>
      </c>
      <c r="J581" s="11"/>
      <c r="K581" s="11"/>
      <c r="L581" s="11"/>
      <c r="M581" s="11" t="s">
        <v>136</v>
      </c>
      <c r="N581" s="11" t="s">
        <v>89</v>
      </c>
      <c r="O581" s="11" t="s">
        <v>2688</v>
      </c>
      <c r="P581" s="11" t="s">
        <v>6310</v>
      </c>
      <c r="Q581" s="11"/>
      <c r="R581" s="2" t="s">
        <v>4681</v>
      </c>
      <c r="S581" s="5" t="s">
        <v>92</v>
      </c>
      <c r="T581" s="7" t="s">
        <v>93</v>
      </c>
      <c r="U581" s="181">
        <v>100</v>
      </c>
      <c r="V581" s="7" t="s">
        <v>94</v>
      </c>
      <c r="W581" s="7" t="s">
        <v>95</v>
      </c>
      <c r="X581" s="7">
        <v>2025</v>
      </c>
      <c r="Y581" s="5" t="s">
        <v>117</v>
      </c>
      <c r="Z581" s="7" t="s">
        <v>97</v>
      </c>
      <c r="AA581" s="7" t="s">
        <v>973</v>
      </c>
      <c r="AB581" s="2" t="s">
        <v>99</v>
      </c>
      <c r="AC581" s="182" t="s">
        <v>7275</v>
      </c>
      <c r="AD581" s="117" t="s">
        <v>7276</v>
      </c>
      <c r="AE581" s="14" t="s">
        <v>6518</v>
      </c>
      <c r="AF581" s="175" t="s">
        <v>7274</v>
      </c>
      <c r="AG581" s="197" t="s">
        <v>6519</v>
      </c>
      <c r="AH581" s="197" t="s">
        <v>6520</v>
      </c>
      <c r="AI581" s="7" t="s">
        <v>6071</v>
      </c>
      <c r="AJ581" s="39" t="s">
        <v>6521</v>
      </c>
      <c r="AK581" s="20" t="s">
        <v>97</v>
      </c>
      <c r="AL581" s="20" t="s">
        <v>97</v>
      </c>
      <c r="AM581" s="39" t="s">
        <v>6522</v>
      </c>
      <c r="AN581" s="7"/>
      <c r="AO581" s="15" t="s">
        <v>6523</v>
      </c>
      <c r="AP581" s="15" t="s">
        <v>6524</v>
      </c>
      <c r="AQ581" s="15" t="s">
        <v>7272</v>
      </c>
      <c r="AR581" s="20" t="s">
        <v>97</v>
      </c>
      <c r="AS581" s="20" t="s">
        <v>107</v>
      </c>
      <c r="AT581" s="20"/>
      <c r="AU581" s="24">
        <v>0.6</v>
      </c>
      <c r="AV581" s="24">
        <f t="shared" si="117"/>
        <v>0.48</v>
      </c>
      <c r="AW581" s="24">
        <f t="shared" si="118"/>
        <v>0.36</v>
      </c>
      <c r="AX581" s="25">
        <v>1E-4</v>
      </c>
      <c r="AY581" s="24">
        <v>0</v>
      </c>
      <c r="AZ581" s="24">
        <f t="shared" si="116"/>
        <v>0.54</v>
      </c>
      <c r="BA581" s="24">
        <f t="shared" si="119"/>
        <v>0.43200000000000005</v>
      </c>
      <c r="BB581" s="24">
        <f t="shared" si="120"/>
        <v>0.32400000000000001</v>
      </c>
      <c r="BC581" s="25">
        <v>1E-4</v>
      </c>
      <c r="BD581" s="24">
        <v>0</v>
      </c>
      <c r="BE581" s="26">
        <v>0</v>
      </c>
      <c r="BF581" s="34">
        <f t="shared" si="121"/>
        <v>0</v>
      </c>
      <c r="BG581" s="34">
        <f t="shared" si="122"/>
        <v>0</v>
      </c>
      <c r="BH581" s="26">
        <v>0</v>
      </c>
      <c r="BI581" s="26">
        <v>0</v>
      </c>
      <c r="BJ581" s="20"/>
      <c r="BK581" s="20"/>
      <c r="BL581" s="27"/>
      <c r="BM581" s="27" t="s">
        <v>1176</v>
      </c>
      <c r="BN581" s="26"/>
      <c r="BO581" s="34"/>
      <c r="BP581" s="34"/>
      <c r="BQ581" s="34"/>
      <c r="BR581" s="34"/>
      <c r="BS581" s="34"/>
      <c r="BT581" s="34"/>
      <c r="BU581" s="34"/>
      <c r="BV581" s="34"/>
      <c r="BW581" s="34"/>
      <c r="BX581" s="34"/>
      <c r="BY581" s="34"/>
      <c r="BZ581" s="34"/>
      <c r="CA581" s="20"/>
      <c r="CB581" s="33"/>
      <c r="CC581" s="46">
        <v>46003</v>
      </c>
      <c r="CD581" s="42" t="s">
        <v>6525</v>
      </c>
    </row>
    <row r="582" spans="1:82" ht="66.75" customHeight="1" x14ac:dyDescent="0.25">
      <c r="A582" s="87">
        <v>578</v>
      </c>
      <c r="B582" s="142" t="s">
        <v>6526</v>
      </c>
      <c r="C582" s="2" t="s">
        <v>6527</v>
      </c>
      <c r="D582" s="2" t="s">
        <v>7258</v>
      </c>
      <c r="E582" s="75" t="s">
        <v>174</v>
      </c>
      <c r="F582" s="12" t="s">
        <v>4197</v>
      </c>
      <c r="G582" s="7" t="s">
        <v>84</v>
      </c>
      <c r="H582" s="2" t="s">
        <v>108</v>
      </c>
      <c r="I582" s="2" t="s">
        <v>3649</v>
      </c>
      <c r="J582" s="2"/>
      <c r="K582" s="2"/>
      <c r="L582" s="2"/>
      <c r="M582" s="2" t="s">
        <v>88</v>
      </c>
      <c r="N582" s="2" t="s">
        <v>89</v>
      </c>
      <c r="O582" s="2" t="s">
        <v>6528</v>
      </c>
      <c r="P582" s="2" t="s">
        <v>3649</v>
      </c>
      <c r="Q582" s="2"/>
      <c r="R582" s="11" t="s">
        <v>175</v>
      </c>
      <c r="S582" s="5" t="s">
        <v>4201</v>
      </c>
      <c r="T582" s="7" t="s">
        <v>93</v>
      </c>
      <c r="U582" s="181">
        <v>100</v>
      </c>
      <c r="V582" s="7" t="s">
        <v>108</v>
      </c>
      <c r="W582" s="7" t="s">
        <v>95</v>
      </c>
      <c r="X582" s="7">
        <v>2023</v>
      </c>
      <c r="Y582" s="7" t="s">
        <v>117</v>
      </c>
      <c r="Z582" s="7" t="s">
        <v>108</v>
      </c>
      <c r="AA582" s="7" t="s">
        <v>108</v>
      </c>
      <c r="AB582" s="2" t="s">
        <v>99</v>
      </c>
      <c r="AC582" s="31" t="s">
        <v>6529</v>
      </c>
      <c r="AD582" s="31" t="s">
        <v>6530</v>
      </c>
      <c r="AE582" s="14" t="s">
        <v>7406</v>
      </c>
      <c r="AF582" s="14" t="s">
        <v>7408</v>
      </c>
      <c r="AG582" s="14" t="s">
        <v>667</v>
      </c>
      <c r="AH582" s="14" t="s">
        <v>667</v>
      </c>
      <c r="AI582" s="21" t="s">
        <v>85</v>
      </c>
      <c r="AJ582" s="21" t="s">
        <v>85</v>
      </c>
      <c r="AK582" s="20" t="s">
        <v>97</v>
      </c>
      <c r="AL582" s="20" t="s">
        <v>97</v>
      </c>
      <c r="AM582" s="39" t="s">
        <v>6531</v>
      </c>
      <c r="AN582" s="7"/>
      <c r="AO582" s="14" t="s">
        <v>6532</v>
      </c>
      <c r="AP582" s="39" t="s">
        <v>6533</v>
      </c>
      <c r="AQ582" s="21" t="s">
        <v>4268</v>
      </c>
      <c r="AR582" s="20" t="s">
        <v>97</v>
      </c>
      <c r="AS582" s="20" t="s">
        <v>107</v>
      </c>
      <c r="AT582" s="20"/>
      <c r="AU582" s="24">
        <v>0.9</v>
      </c>
      <c r="AV582" s="24">
        <f t="shared" si="117"/>
        <v>0.72000000000000008</v>
      </c>
      <c r="AW582" s="24">
        <f t="shared" si="118"/>
        <v>0.54</v>
      </c>
      <c r="AX582" s="25">
        <v>1E-4</v>
      </c>
      <c r="AY582" s="24">
        <v>0</v>
      </c>
      <c r="AZ582" s="24">
        <f t="shared" si="116"/>
        <v>0.81</v>
      </c>
      <c r="BA582" s="24">
        <f t="shared" si="119"/>
        <v>0.64800000000000013</v>
      </c>
      <c r="BB582" s="24">
        <f t="shared" si="120"/>
        <v>0.48599999999999999</v>
      </c>
      <c r="BC582" s="25">
        <v>1E-4</v>
      </c>
      <c r="BD582" s="24">
        <v>0</v>
      </c>
      <c r="BE582" s="34">
        <v>40</v>
      </c>
      <c r="BF582" s="34">
        <f t="shared" si="121"/>
        <v>32</v>
      </c>
      <c r="BG582" s="34">
        <f t="shared" si="122"/>
        <v>24</v>
      </c>
      <c r="BH582" s="26">
        <v>1</v>
      </c>
      <c r="BI582" s="26">
        <v>0</v>
      </c>
      <c r="BJ582" s="20" t="s">
        <v>496</v>
      </c>
      <c r="BK582" s="27">
        <v>0.86330798479087456</v>
      </c>
      <c r="BL582" s="27" t="s">
        <v>6534</v>
      </c>
      <c r="BM582" s="27">
        <v>0.84</v>
      </c>
      <c r="BN582" s="26"/>
      <c r="BO582" s="34"/>
      <c r="BP582" s="34"/>
      <c r="BQ582" s="34"/>
      <c r="BR582" s="34"/>
      <c r="BS582" s="34"/>
      <c r="BT582" s="34"/>
      <c r="BU582" s="34"/>
      <c r="BV582" s="34"/>
      <c r="BW582" s="34"/>
      <c r="BX582" s="34"/>
      <c r="BY582" s="34"/>
      <c r="BZ582" s="34"/>
      <c r="CA582" s="20"/>
      <c r="CB582" s="33"/>
      <c r="CC582" s="46">
        <v>46006</v>
      </c>
      <c r="CD582" s="35" t="s">
        <v>6535</v>
      </c>
    </row>
    <row r="583" spans="1:82" ht="110.25" customHeight="1" x14ac:dyDescent="0.25">
      <c r="A583" s="121">
        <v>579</v>
      </c>
      <c r="B583" s="142" t="s">
        <v>6536</v>
      </c>
      <c r="C583" s="2" t="s">
        <v>6537</v>
      </c>
      <c r="D583" s="2" t="s">
        <v>6538</v>
      </c>
      <c r="E583" s="75" t="s">
        <v>174</v>
      </c>
      <c r="F583" s="12" t="s">
        <v>4197</v>
      </c>
      <c r="G583" s="7" t="s">
        <v>84</v>
      </c>
      <c r="H583" s="2" t="s">
        <v>108</v>
      </c>
      <c r="I583" s="2" t="s">
        <v>3649</v>
      </c>
      <c r="J583" s="2"/>
      <c r="K583" s="2"/>
      <c r="L583" s="2"/>
      <c r="M583" s="2" t="s">
        <v>88</v>
      </c>
      <c r="N583" s="2" t="s">
        <v>89</v>
      </c>
      <c r="O583" s="2" t="s">
        <v>4264</v>
      </c>
      <c r="P583" s="2" t="s">
        <v>3649</v>
      </c>
      <c r="Q583" s="2"/>
      <c r="R583" s="11" t="s">
        <v>175</v>
      </c>
      <c r="S583" s="5" t="s">
        <v>4201</v>
      </c>
      <c r="T583" s="7" t="s">
        <v>93</v>
      </c>
      <c r="U583" s="181">
        <v>100</v>
      </c>
      <c r="V583" s="7" t="s">
        <v>108</v>
      </c>
      <c r="W583" s="7" t="s">
        <v>95</v>
      </c>
      <c r="X583" s="7">
        <v>2025</v>
      </c>
      <c r="Y583" s="5" t="s">
        <v>117</v>
      </c>
      <c r="Z583" s="7" t="s">
        <v>108</v>
      </c>
      <c r="AA583" s="7" t="s">
        <v>108</v>
      </c>
      <c r="AB583" s="2" t="s">
        <v>99</v>
      </c>
      <c r="AC583" s="31" t="s">
        <v>6539</v>
      </c>
      <c r="AD583" s="31" t="s">
        <v>6540</v>
      </c>
      <c r="AE583" s="14" t="s">
        <v>6542</v>
      </c>
      <c r="AF583" s="14" t="s">
        <v>7409</v>
      </c>
      <c r="AG583" s="21" t="s">
        <v>667</v>
      </c>
      <c r="AH583" s="21" t="s">
        <v>667</v>
      </c>
      <c r="AI583" s="21" t="s">
        <v>85</v>
      </c>
      <c r="AJ583" s="21" t="s">
        <v>85</v>
      </c>
      <c r="AK583" s="20" t="s">
        <v>97</v>
      </c>
      <c r="AL583" s="20" t="s">
        <v>97</v>
      </c>
      <c r="AM583" s="7" t="s">
        <v>6541</v>
      </c>
      <c r="AN583" s="7"/>
      <c r="AO583" s="14" t="s">
        <v>6542</v>
      </c>
      <c r="AP583" s="14" t="s">
        <v>6543</v>
      </c>
      <c r="AQ583" s="21" t="s">
        <v>4268</v>
      </c>
      <c r="AR583" s="20" t="s">
        <v>97</v>
      </c>
      <c r="AS583" s="20" t="s">
        <v>107</v>
      </c>
      <c r="AT583" s="20"/>
      <c r="AU583" s="24">
        <v>0.9</v>
      </c>
      <c r="AV583" s="24">
        <f t="shared" si="117"/>
        <v>0.72000000000000008</v>
      </c>
      <c r="AW583" s="24">
        <f t="shared" si="118"/>
        <v>0.54</v>
      </c>
      <c r="AX583" s="25">
        <v>1E-4</v>
      </c>
      <c r="AY583" s="24">
        <v>0</v>
      </c>
      <c r="AZ583" s="24">
        <f t="shared" si="116"/>
        <v>0.81</v>
      </c>
      <c r="BA583" s="24">
        <f t="shared" si="119"/>
        <v>0.64800000000000013</v>
      </c>
      <c r="BB583" s="24">
        <f t="shared" si="120"/>
        <v>0.48599999999999999</v>
      </c>
      <c r="BC583" s="25">
        <v>1E-4</v>
      </c>
      <c r="BD583" s="24">
        <v>0</v>
      </c>
      <c r="BE583" s="34">
        <v>20</v>
      </c>
      <c r="BF583" s="34">
        <f t="shared" si="121"/>
        <v>16</v>
      </c>
      <c r="BG583" s="34">
        <f t="shared" si="122"/>
        <v>12</v>
      </c>
      <c r="BH583" s="26">
        <v>1</v>
      </c>
      <c r="BI583" s="26">
        <v>0</v>
      </c>
      <c r="BJ583" s="20" t="s">
        <v>84</v>
      </c>
      <c r="BK583" s="20" t="s">
        <v>84</v>
      </c>
      <c r="BL583" s="27"/>
      <c r="BM583" s="27">
        <v>0.84</v>
      </c>
      <c r="BN583" s="26"/>
      <c r="BO583" s="34"/>
      <c r="BP583" s="34"/>
      <c r="BQ583" s="34"/>
      <c r="BR583" s="34"/>
      <c r="BS583" s="34"/>
      <c r="BT583" s="34"/>
      <c r="BU583" s="34"/>
      <c r="BV583" s="34"/>
      <c r="BW583" s="34"/>
      <c r="BX583" s="34"/>
      <c r="BY583" s="34"/>
      <c r="BZ583" s="34"/>
      <c r="CA583" s="20"/>
      <c r="CB583" s="33"/>
      <c r="CC583" s="46">
        <v>46006</v>
      </c>
      <c r="CD583" s="35" t="s">
        <v>6544</v>
      </c>
    </row>
    <row r="584" spans="1:82" ht="66.75" customHeight="1" x14ac:dyDescent="0.25">
      <c r="A584" s="87">
        <v>580</v>
      </c>
      <c r="B584" s="141" t="s">
        <v>6545</v>
      </c>
      <c r="C584" s="6" t="s">
        <v>6546</v>
      </c>
      <c r="D584" s="6" t="s">
        <v>6547</v>
      </c>
      <c r="E584" s="75" t="s">
        <v>113</v>
      </c>
      <c r="F584" s="4" t="s">
        <v>3560</v>
      </c>
      <c r="G584" s="5" t="s">
        <v>84</v>
      </c>
      <c r="H584" s="6" t="s">
        <v>108</v>
      </c>
      <c r="I584" s="6" t="s">
        <v>3576</v>
      </c>
      <c r="J584" s="6" t="s">
        <v>3577</v>
      </c>
      <c r="K584" s="6"/>
      <c r="L584" s="6"/>
      <c r="M584" s="6" t="s">
        <v>88</v>
      </c>
      <c r="N584" s="6" t="s">
        <v>89</v>
      </c>
      <c r="O584" s="6" t="s">
        <v>6548</v>
      </c>
      <c r="P584" s="6" t="s">
        <v>6549</v>
      </c>
      <c r="Q584" s="6"/>
      <c r="R584" s="82" t="s">
        <v>175</v>
      </c>
      <c r="S584" s="5" t="s">
        <v>92</v>
      </c>
      <c r="T584" s="5" t="s">
        <v>93</v>
      </c>
      <c r="U584" s="91">
        <v>100</v>
      </c>
      <c r="V584" s="5" t="s">
        <v>94</v>
      </c>
      <c r="W584" s="5" t="s">
        <v>97</v>
      </c>
      <c r="X584" s="5">
        <v>2025</v>
      </c>
      <c r="Y584" s="5" t="s">
        <v>117</v>
      </c>
      <c r="Z584" s="5" t="s">
        <v>108</v>
      </c>
      <c r="AA584" s="5" t="s">
        <v>108</v>
      </c>
      <c r="AB584" s="6" t="s">
        <v>99</v>
      </c>
      <c r="AC584" s="79" t="s">
        <v>6550</v>
      </c>
      <c r="AD584" s="79" t="s">
        <v>6551</v>
      </c>
      <c r="AE584" s="49" t="s">
        <v>6552</v>
      </c>
      <c r="AF584" s="49" t="s">
        <v>6553</v>
      </c>
      <c r="AG584" s="49" t="s">
        <v>6554</v>
      </c>
      <c r="AH584" s="49" t="s">
        <v>6554</v>
      </c>
      <c r="AI584" s="75" t="s">
        <v>6555</v>
      </c>
      <c r="AJ584" s="82" t="s">
        <v>6556</v>
      </c>
      <c r="AK584" s="6"/>
      <c r="AL584" s="6" t="s">
        <v>6557</v>
      </c>
      <c r="AM584" s="5" t="s">
        <v>6558</v>
      </c>
      <c r="AN584" s="6"/>
      <c r="AO584" s="6"/>
      <c r="AP584" s="6"/>
      <c r="AQ584" s="33" t="s">
        <v>6559</v>
      </c>
      <c r="AR584" s="20" t="s">
        <v>97</v>
      </c>
      <c r="AS584" s="20" t="s">
        <v>107</v>
      </c>
      <c r="AT584" s="20"/>
      <c r="AU584" s="24">
        <v>0.7</v>
      </c>
      <c r="AV584" s="24">
        <f t="shared" si="117"/>
        <v>0.55999999999999994</v>
      </c>
      <c r="AW584" s="24">
        <f t="shared" si="118"/>
        <v>0.42</v>
      </c>
      <c r="AX584" s="25">
        <v>1E-4</v>
      </c>
      <c r="AY584" s="24">
        <v>0</v>
      </c>
      <c r="AZ584" s="24">
        <f t="shared" si="116"/>
        <v>0.63</v>
      </c>
      <c r="BA584" s="24">
        <f t="shared" si="119"/>
        <v>0.504</v>
      </c>
      <c r="BB584" s="24">
        <f t="shared" si="120"/>
        <v>0.378</v>
      </c>
      <c r="BC584" s="25">
        <v>1E-4</v>
      </c>
      <c r="BD584" s="24">
        <v>0</v>
      </c>
      <c r="BE584" s="26">
        <v>0</v>
      </c>
      <c r="BF584" s="34">
        <f t="shared" si="121"/>
        <v>0</v>
      </c>
      <c r="BG584" s="34">
        <f t="shared" si="122"/>
        <v>0</v>
      </c>
      <c r="BH584" s="26">
        <v>0</v>
      </c>
      <c r="BI584" s="26">
        <v>0</v>
      </c>
      <c r="BJ584" s="20"/>
      <c r="BK584" s="27"/>
      <c r="BL584" s="27"/>
      <c r="BM584" s="27" t="s">
        <v>1176</v>
      </c>
      <c r="BN584" s="26"/>
      <c r="BO584" s="34"/>
      <c r="BP584" s="34"/>
      <c r="BQ584" s="34"/>
      <c r="BR584" s="34"/>
      <c r="BS584" s="34"/>
      <c r="BT584" s="34"/>
      <c r="BU584" s="34"/>
      <c r="BV584" s="34"/>
      <c r="BW584" s="34"/>
      <c r="BX584" s="34"/>
      <c r="BY584" s="34"/>
      <c r="BZ584" s="34"/>
      <c r="CA584" s="20"/>
      <c r="CB584" s="20"/>
      <c r="CC584" s="29">
        <v>46003</v>
      </c>
      <c r="CD584" s="35" t="s">
        <v>6560</v>
      </c>
    </row>
    <row r="585" spans="1:82" ht="66.75" customHeight="1" x14ac:dyDescent="0.25">
      <c r="A585" s="87">
        <v>581</v>
      </c>
      <c r="B585" s="141" t="s">
        <v>6561</v>
      </c>
      <c r="C585" s="6" t="s">
        <v>6562</v>
      </c>
      <c r="D585" s="6" t="s">
        <v>6563</v>
      </c>
      <c r="E585" s="75" t="s">
        <v>113</v>
      </c>
      <c r="F585" s="4" t="s">
        <v>3560</v>
      </c>
      <c r="G585" s="5" t="s">
        <v>84</v>
      </c>
      <c r="H585" s="6" t="s">
        <v>108</v>
      </c>
      <c r="I585" s="6" t="s">
        <v>3576</v>
      </c>
      <c r="J585" s="6" t="s">
        <v>3577</v>
      </c>
      <c r="K585" s="6"/>
      <c r="L585" s="6"/>
      <c r="M585" s="6" t="s">
        <v>88</v>
      </c>
      <c r="N585" s="6" t="s">
        <v>89</v>
      </c>
      <c r="O585" s="6" t="s">
        <v>6548</v>
      </c>
      <c r="P585" s="6" t="s">
        <v>6549</v>
      </c>
      <c r="Q585" s="6"/>
      <c r="R585" s="82" t="s">
        <v>175</v>
      </c>
      <c r="S585" s="5" t="s">
        <v>4201</v>
      </c>
      <c r="T585" s="5" t="s">
        <v>93</v>
      </c>
      <c r="U585" s="91">
        <v>100</v>
      </c>
      <c r="V585" s="5" t="s">
        <v>94</v>
      </c>
      <c r="W585" s="5" t="s">
        <v>97</v>
      </c>
      <c r="X585" s="5">
        <v>2025</v>
      </c>
      <c r="Y585" s="5" t="s">
        <v>117</v>
      </c>
      <c r="Z585" s="5" t="s">
        <v>108</v>
      </c>
      <c r="AA585" s="5" t="s">
        <v>108</v>
      </c>
      <c r="AB585" s="6" t="s">
        <v>99</v>
      </c>
      <c r="AC585" s="79" t="s">
        <v>6564</v>
      </c>
      <c r="AD585" s="79" t="s">
        <v>6565</v>
      </c>
      <c r="AE585" s="49" t="s">
        <v>6566</v>
      </c>
      <c r="AF585" s="49" t="s">
        <v>6567</v>
      </c>
      <c r="AG585" s="49" t="s">
        <v>6554</v>
      </c>
      <c r="AH585" s="49" t="s">
        <v>6554</v>
      </c>
      <c r="AI585" s="75" t="s">
        <v>6568</v>
      </c>
      <c r="AJ585" s="82" t="s">
        <v>6569</v>
      </c>
      <c r="AK585" s="6"/>
      <c r="AL585" s="6" t="s">
        <v>6570</v>
      </c>
      <c r="AM585" s="5" t="s">
        <v>6571</v>
      </c>
      <c r="AN585" s="6"/>
      <c r="AO585" s="6"/>
      <c r="AP585" s="6"/>
      <c r="AQ585" s="33" t="s">
        <v>6559</v>
      </c>
      <c r="AR585" s="20" t="s">
        <v>97</v>
      </c>
      <c r="AS585" s="20" t="s">
        <v>107</v>
      </c>
      <c r="AT585" s="20"/>
      <c r="AU585" s="24">
        <v>0.95</v>
      </c>
      <c r="AV585" s="24">
        <f t="shared" si="117"/>
        <v>0.76</v>
      </c>
      <c r="AW585" s="24">
        <f t="shared" si="118"/>
        <v>0.56999999999999995</v>
      </c>
      <c r="AX585" s="25">
        <v>1E-4</v>
      </c>
      <c r="AY585" s="24">
        <v>0</v>
      </c>
      <c r="AZ585" s="24">
        <f t="shared" si="116"/>
        <v>0.85499999999999998</v>
      </c>
      <c r="BA585" s="24">
        <f t="shared" si="119"/>
        <v>0.68400000000000005</v>
      </c>
      <c r="BB585" s="24">
        <f t="shared" si="120"/>
        <v>0.51300000000000001</v>
      </c>
      <c r="BC585" s="25">
        <v>1E-4</v>
      </c>
      <c r="BD585" s="24">
        <v>0</v>
      </c>
      <c r="BE585" s="26">
        <v>0</v>
      </c>
      <c r="BF585" s="34">
        <f t="shared" si="121"/>
        <v>0</v>
      </c>
      <c r="BG585" s="34">
        <f t="shared" si="122"/>
        <v>0</v>
      </c>
      <c r="BH585" s="26">
        <v>0</v>
      </c>
      <c r="BI585" s="26">
        <v>0</v>
      </c>
      <c r="BJ585" s="20"/>
      <c r="BK585" s="27"/>
      <c r="BL585" s="27"/>
      <c r="BM585" s="27" t="s">
        <v>1176</v>
      </c>
      <c r="BN585" s="26"/>
      <c r="BO585" s="34"/>
      <c r="BP585" s="34"/>
      <c r="BQ585" s="34"/>
      <c r="BR585" s="34"/>
      <c r="BS585" s="34"/>
      <c r="BT585" s="34"/>
      <c r="BU585" s="34"/>
      <c r="BV585" s="34"/>
      <c r="BW585" s="34"/>
      <c r="BX585" s="34"/>
      <c r="BY585" s="34"/>
      <c r="BZ585" s="34"/>
      <c r="CA585" s="20"/>
      <c r="CB585" s="20"/>
      <c r="CC585" s="29">
        <v>46003</v>
      </c>
      <c r="CD585" s="35" t="s">
        <v>6560</v>
      </c>
    </row>
    <row r="586" spans="1:82" ht="66.75" customHeight="1" x14ac:dyDescent="0.25">
      <c r="A586" s="121">
        <v>582</v>
      </c>
      <c r="B586" s="141" t="s">
        <v>6572</v>
      </c>
      <c r="C586" s="6" t="s">
        <v>6573</v>
      </c>
      <c r="D586" s="6" t="s">
        <v>6574</v>
      </c>
      <c r="E586" s="75" t="s">
        <v>174</v>
      </c>
      <c r="F586" s="4" t="s">
        <v>3560</v>
      </c>
      <c r="G586" s="5" t="s">
        <v>84</v>
      </c>
      <c r="H586" s="6" t="s">
        <v>108</v>
      </c>
      <c r="I586" s="6" t="s">
        <v>3576</v>
      </c>
      <c r="J586" s="6" t="s">
        <v>3577</v>
      </c>
      <c r="K586" s="6"/>
      <c r="L586" s="6"/>
      <c r="M586" s="6" t="s">
        <v>88</v>
      </c>
      <c r="N586" s="6" t="s">
        <v>89</v>
      </c>
      <c r="O586" s="6" t="s">
        <v>4264</v>
      </c>
      <c r="P586" s="6" t="s">
        <v>6549</v>
      </c>
      <c r="Q586" s="6"/>
      <c r="R586" s="82" t="s">
        <v>175</v>
      </c>
      <c r="S586" s="5" t="s">
        <v>92</v>
      </c>
      <c r="T586" s="5" t="s">
        <v>93</v>
      </c>
      <c r="U586" s="91">
        <v>100</v>
      </c>
      <c r="V586" s="5" t="s">
        <v>94</v>
      </c>
      <c r="W586" s="5" t="s">
        <v>97</v>
      </c>
      <c r="X586" s="5">
        <v>2025</v>
      </c>
      <c r="Y586" s="5" t="s">
        <v>117</v>
      </c>
      <c r="Z586" s="5" t="s">
        <v>108</v>
      </c>
      <c r="AA586" s="5" t="s">
        <v>108</v>
      </c>
      <c r="AB586" s="6" t="s">
        <v>99</v>
      </c>
      <c r="AC586" s="79" t="s">
        <v>6575</v>
      </c>
      <c r="AD586" s="79" t="s">
        <v>6576</v>
      </c>
      <c r="AE586" s="49" t="s">
        <v>6577</v>
      </c>
      <c r="AF586" s="49" t="s">
        <v>6552</v>
      </c>
      <c r="AG586" s="49" t="s">
        <v>6554</v>
      </c>
      <c r="AH586" s="49" t="s">
        <v>6554</v>
      </c>
      <c r="AI586" s="75" t="s">
        <v>6578</v>
      </c>
      <c r="AJ586" s="82" t="s">
        <v>6555</v>
      </c>
      <c r="AK586" s="6"/>
      <c r="AL586" s="6" t="s">
        <v>6579</v>
      </c>
      <c r="AM586" s="5" t="s">
        <v>6558</v>
      </c>
      <c r="AN586" s="6"/>
      <c r="AO586" s="6"/>
      <c r="AP586" s="6"/>
      <c r="AQ586" s="6" t="s">
        <v>6559</v>
      </c>
      <c r="AR586" s="20" t="s">
        <v>97</v>
      </c>
      <c r="AS586" s="20" t="s">
        <v>107</v>
      </c>
      <c r="AT586" s="20"/>
      <c r="AU586" s="24">
        <v>0.7</v>
      </c>
      <c r="AV586" s="24">
        <f t="shared" si="117"/>
        <v>0.55999999999999994</v>
      </c>
      <c r="AW586" s="24">
        <f t="shared" si="118"/>
        <v>0.42</v>
      </c>
      <c r="AX586" s="25">
        <v>1E-4</v>
      </c>
      <c r="AY586" s="24">
        <v>0</v>
      </c>
      <c r="AZ586" s="24">
        <f t="shared" si="116"/>
        <v>0.63</v>
      </c>
      <c r="BA586" s="24">
        <f t="shared" si="119"/>
        <v>0.504</v>
      </c>
      <c r="BB586" s="24">
        <f t="shared" si="120"/>
        <v>0.378</v>
      </c>
      <c r="BC586" s="25">
        <v>1E-4</v>
      </c>
      <c r="BD586" s="24">
        <v>0</v>
      </c>
      <c r="BE586" s="34">
        <v>10</v>
      </c>
      <c r="BF586" s="34">
        <f t="shared" si="121"/>
        <v>8</v>
      </c>
      <c r="BG586" s="34">
        <f t="shared" si="122"/>
        <v>6</v>
      </c>
      <c r="BH586" s="26">
        <v>1</v>
      </c>
      <c r="BI586" s="26">
        <v>0</v>
      </c>
      <c r="BJ586" s="20"/>
      <c r="BK586" s="27"/>
      <c r="BL586" s="27"/>
      <c r="BM586" s="27" t="s">
        <v>1176</v>
      </c>
      <c r="BN586" s="26"/>
      <c r="BO586" s="34"/>
      <c r="BP586" s="34"/>
      <c r="BQ586" s="34"/>
      <c r="BR586" s="34"/>
      <c r="BS586" s="34"/>
      <c r="BT586" s="34"/>
      <c r="BU586" s="34"/>
      <c r="BV586" s="34"/>
      <c r="BW586" s="34"/>
      <c r="BX586" s="34"/>
      <c r="BY586" s="34"/>
      <c r="BZ586" s="34"/>
      <c r="CA586" s="20"/>
      <c r="CB586" s="20"/>
      <c r="CC586" s="46">
        <v>46003</v>
      </c>
      <c r="CD586" s="35" t="s">
        <v>6580</v>
      </c>
    </row>
    <row r="587" spans="1:82" ht="66.75" customHeight="1" x14ac:dyDescent="0.25">
      <c r="A587" s="87">
        <v>583</v>
      </c>
      <c r="B587" s="141" t="s">
        <v>6581</v>
      </c>
      <c r="C587" s="6" t="s">
        <v>6582</v>
      </c>
      <c r="D587" s="6" t="s">
        <v>6583</v>
      </c>
      <c r="E587" s="75" t="s">
        <v>174</v>
      </c>
      <c r="F587" s="4" t="s">
        <v>3560</v>
      </c>
      <c r="G587" s="5" t="s">
        <v>84</v>
      </c>
      <c r="H587" s="6" t="s">
        <v>108</v>
      </c>
      <c r="I587" s="6" t="s">
        <v>3576</v>
      </c>
      <c r="J587" s="6" t="s">
        <v>3577</v>
      </c>
      <c r="K587" s="6"/>
      <c r="L587" s="6"/>
      <c r="M587" s="6" t="s">
        <v>88</v>
      </c>
      <c r="N587" s="6" t="s">
        <v>89</v>
      </c>
      <c r="O587" s="6" t="s">
        <v>4264</v>
      </c>
      <c r="P587" s="6" t="s">
        <v>6549</v>
      </c>
      <c r="Q587" s="6"/>
      <c r="R587" s="82" t="s">
        <v>175</v>
      </c>
      <c r="S587" s="5" t="s">
        <v>4201</v>
      </c>
      <c r="T587" s="5" t="s">
        <v>93</v>
      </c>
      <c r="U587" s="91">
        <v>100</v>
      </c>
      <c r="V587" s="5" t="s">
        <v>94</v>
      </c>
      <c r="W587" s="5" t="s">
        <v>97</v>
      </c>
      <c r="X587" s="5">
        <v>2025</v>
      </c>
      <c r="Y587" s="5" t="s">
        <v>117</v>
      </c>
      <c r="Z587" s="5" t="s">
        <v>108</v>
      </c>
      <c r="AA587" s="5" t="s">
        <v>108</v>
      </c>
      <c r="AB587" s="6" t="s">
        <v>99</v>
      </c>
      <c r="AC587" s="79" t="s">
        <v>6584</v>
      </c>
      <c r="AD587" s="79" t="s">
        <v>6585</v>
      </c>
      <c r="AE587" s="49" t="s">
        <v>6577</v>
      </c>
      <c r="AF587" s="49" t="s">
        <v>6566</v>
      </c>
      <c r="AG587" s="49" t="s">
        <v>6554</v>
      </c>
      <c r="AH587" s="49" t="s">
        <v>6554</v>
      </c>
      <c r="AI587" s="75" t="s">
        <v>6586</v>
      </c>
      <c r="AJ587" s="82" t="s">
        <v>6569</v>
      </c>
      <c r="AK587" s="6"/>
      <c r="AL587" s="6" t="s">
        <v>6570</v>
      </c>
      <c r="AM587" s="5" t="s">
        <v>6571</v>
      </c>
      <c r="AN587" s="6"/>
      <c r="AO587" s="6"/>
      <c r="AP587" s="6"/>
      <c r="AQ587" s="33" t="s">
        <v>6559</v>
      </c>
      <c r="AR587" s="20" t="s">
        <v>97</v>
      </c>
      <c r="AS587" s="20" t="s">
        <v>107</v>
      </c>
      <c r="AT587" s="20"/>
      <c r="AU587" s="24">
        <v>0.95</v>
      </c>
      <c r="AV587" s="24">
        <f t="shared" si="117"/>
        <v>0.76</v>
      </c>
      <c r="AW587" s="24">
        <f t="shared" si="118"/>
        <v>0.56999999999999995</v>
      </c>
      <c r="AX587" s="25">
        <v>1E-4</v>
      </c>
      <c r="AY587" s="24">
        <v>0</v>
      </c>
      <c r="AZ587" s="24">
        <f t="shared" si="116"/>
        <v>0.85499999999999998</v>
      </c>
      <c r="BA587" s="24">
        <f t="shared" si="119"/>
        <v>0.68400000000000005</v>
      </c>
      <c r="BB587" s="24">
        <f t="shared" si="120"/>
        <v>0.51300000000000001</v>
      </c>
      <c r="BC587" s="25">
        <v>1E-4</v>
      </c>
      <c r="BD587" s="24">
        <v>0</v>
      </c>
      <c r="BE587" s="34">
        <v>10</v>
      </c>
      <c r="BF587" s="34">
        <f t="shared" si="121"/>
        <v>8</v>
      </c>
      <c r="BG587" s="34">
        <f t="shared" si="122"/>
        <v>6</v>
      </c>
      <c r="BH587" s="26">
        <v>1</v>
      </c>
      <c r="BI587" s="26">
        <v>0</v>
      </c>
      <c r="BJ587" s="20"/>
      <c r="BK587" s="27"/>
      <c r="BL587" s="27"/>
      <c r="BM587" s="27" t="s">
        <v>1176</v>
      </c>
      <c r="BN587" s="26"/>
      <c r="BO587" s="34"/>
      <c r="BP587" s="34"/>
      <c r="BQ587" s="34"/>
      <c r="BR587" s="34"/>
      <c r="BS587" s="34"/>
      <c r="BT587" s="34"/>
      <c r="BU587" s="34"/>
      <c r="BV587" s="34"/>
      <c r="BW587" s="34"/>
      <c r="BX587" s="34"/>
      <c r="BY587" s="34"/>
      <c r="BZ587" s="34"/>
      <c r="CA587" s="20"/>
      <c r="CB587" s="20"/>
      <c r="CC587" s="29">
        <v>46003</v>
      </c>
      <c r="CD587" s="35" t="s">
        <v>6587</v>
      </c>
    </row>
    <row r="588" spans="1:82" ht="66.75" customHeight="1" x14ac:dyDescent="0.25">
      <c r="A588" s="87">
        <v>584</v>
      </c>
      <c r="B588" s="141" t="s">
        <v>6588</v>
      </c>
      <c r="C588" s="6" t="s">
        <v>6589</v>
      </c>
      <c r="D588" s="6" t="s">
        <v>6590</v>
      </c>
      <c r="E588" s="75" t="s">
        <v>113</v>
      </c>
      <c r="F588" s="4" t="s">
        <v>3560</v>
      </c>
      <c r="G588" s="5" t="s">
        <v>84</v>
      </c>
      <c r="H588" s="6" t="s">
        <v>108</v>
      </c>
      <c r="I588" s="6" t="s">
        <v>3576</v>
      </c>
      <c r="J588" s="6" t="s">
        <v>3577</v>
      </c>
      <c r="K588" s="6"/>
      <c r="L588" s="6"/>
      <c r="M588" s="6" t="s">
        <v>88</v>
      </c>
      <c r="N588" s="6" t="s">
        <v>89</v>
      </c>
      <c r="O588" s="6" t="s">
        <v>6548</v>
      </c>
      <c r="P588" s="6" t="s">
        <v>6549</v>
      </c>
      <c r="Q588" s="6"/>
      <c r="R588" s="82" t="s">
        <v>175</v>
      </c>
      <c r="S588" s="5" t="s">
        <v>92</v>
      </c>
      <c r="T588" s="5" t="s">
        <v>93</v>
      </c>
      <c r="U588" s="91">
        <v>100</v>
      </c>
      <c r="V588" s="5" t="s">
        <v>94</v>
      </c>
      <c r="W588" s="5" t="s">
        <v>97</v>
      </c>
      <c r="X588" s="5">
        <v>2025</v>
      </c>
      <c r="Y588" s="5" t="s">
        <v>117</v>
      </c>
      <c r="Z588" s="5" t="s">
        <v>108</v>
      </c>
      <c r="AA588" s="5" t="s">
        <v>108</v>
      </c>
      <c r="AB588" s="6" t="s">
        <v>99</v>
      </c>
      <c r="AC588" s="79" t="s">
        <v>6591</v>
      </c>
      <c r="AD588" s="79" t="s">
        <v>6592</v>
      </c>
      <c r="AE588" s="49" t="s">
        <v>6577</v>
      </c>
      <c r="AF588" s="49" t="s">
        <v>6593</v>
      </c>
      <c r="AG588" s="49" t="s">
        <v>6554</v>
      </c>
      <c r="AH588" s="49" t="s">
        <v>6554</v>
      </c>
      <c r="AI588" s="75" t="s">
        <v>6594</v>
      </c>
      <c r="AJ588" s="82" t="s">
        <v>6595</v>
      </c>
      <c r="AK588" s="6"/>
      <c r="AL588" s="6" t="s">
        <v>6557</v>
      </c>
      <c r="AM588" s="5" t="s">
        <v>6558</v>
      </c>
      <c r="AN588" s="6"/>
      <c r="AO588" s="6"/>
      <c r="AP588" s="6"/>
      <c r="AQ588" s="33" t="s">
        <v>6559</v>
      </c>
      <c r="AR588" s="20" t="s">
        <v>97</v>
      </c>
      <c r="AS588" s="20" t="s">
        <v>107</v>
      </c>
      <c r="AT588" s="20"/>
      <c r="AU588" s="24">
        <v>0.6</v>
      </c>
      <c r="AV588" s="24">
        <f t="shared" si="117"/>
        <v>0.48</v>
      </c>
      <c r="AW588" s="24">
        <f t="shared" si="118"/>
        <v>0.36</v>
      </c>
      <c r="AX588" s="25">
        <v>1E-4</v>
      </c>
      <c r="AY588" s="24">
        <v>0</v>
      </c>
      <c r="AZ588" s="24">
        <f t="shared" ref="AZ588:AZ593" si="123">+AU588*90%</f>
        <v>0.54</v>
      </c>
      <c r="BA588" s="24">
        <f t="shared" si="119"/>
        <v>0.43200000000000005</v>
      </c>
      <c r="BB588" s="24">
        <f t="shared" si="120"/>
        <v>0.32400000000000001</v>
      </c>
      <c r="BC588" s="25">
        <v>1E-4</v>
      </c>
      <c r="BD588" s="24">
        <v>0</v>
      </c>
      <c r="BE588" s="26">
        <v>0</v>
      </c>
      <c r="BF588" s="34">
        <f t="shared" si="121"/>
        <v>0</v>
      </c>
      <c r="BG588" s="34">
        <f t="shared" si="122"/>
        <v>0</v>
      </c>
      <c r="BH588" s="26">
        <v>0</v>
      </c>
      <c r="BI588" s="26">
        <v>0</v>
      </c>
      <c r="BJ588" s="20"/>
      <c r="BK588" s="27"/>
      <c r="BL588" s="27"/>
      <c r="BM588" s="27" t="s">
        <v>1176</v>
      </c>
      <c r="BN588" s="26"/>
      <c r="BO588" s="34"/>
      <c r="BP588" s="34"/>
      <c r="BQ588" s="34"/>
      <c r="BR588" s="34"/>
      <c r="BS588" s="34"/>
      <c r="BT588" s="34"/>
      <c r="BU588" s="34"/>
      <c r="BV588" s="34"/>
      <c r="BW588" s="34"/>
      <c r="BX588" s="34"/>
      <c r="BY588" s="34"/>
      <c r="BZ588" s="34"/>
      <c r="CA588" s="20"/>
      <c r="CB588" s="20"/>
      <c r="CC588" s="29">
        <v>46003</v>
      </c>
      <c r="CD588" s="35" t="s">
        <v>6560</v>
      </c>
    </row>
    <row r="589" spans="1:82" ht="66.75" customHeight="1" x14ac:dyDescent="0.25">
      <c r="A589" s="121">
        <v>585</v>
      </c>
      <c r="B589" s="141" t="s">
        <v>6596</v>
      </c>
      <c r="C589" s="6" t="s">
        <v>6597</v>
      </c>
      <c r="D589" s="6" t="s">
        <v>6598</v>
      </c>
      <c r="E589" s="75" t="s">
        <v>113</v>
      </c>
      <c r="F589" s="4" t="s">
        <v>3560</v>
      </c>
      <c r="G589" s="5" t="s">
        <v>84</v>
      </c>
      <c r="H589" s="6" t="s">
        <v>108</v>
      </c>
      <c r="I589" s="6" t="s">
        <v>3576</v>
      </c>
      <c r="J589" s="6" t="s">
        <v>3577</v>
      </c>
      <c r="K589" s="6"/>
      <c r="L589" s="6"/>
      <c r="M589" s="6" t="s">
        <v>88</v>
      </c>
      <c r="N589" s="6" t="s">
        <v>89</v>
      </c>
      <c r="O589" s="6" t="s">
        <v>6548</v>
      </c>
      <c r="P589" s="6" t="s">
        <v>6549</v>
      </c>
      <c r="Q589" s="6"/>
      <c r="R589" s="82" t="s">
        <v>175</v>
      </c>
      <c r="S589" s="5" t="s">
        <v>92</v>
      </c>
      <c r="T589" s="5" t="s">
        <v>93</v>
      </c>
      <c r="U589" s="91">
        <v>100</v>
      </c>
      <c r="V589" s="5" t="s">
        <v>94</v>
      </c>
      <c r="W589" s="5" t="s">
        <v>97</v>
      </c>
      <c r="X589" s="5">
        <v>2025</v>
      </c>
      <c r="Y589" s="5" t="s">
        <v>117</v>
      </c>
      <c r="Z589" s="5" t="s">
        <v>108</v>
      </c>
      <c r="AA589" s="5" t="s">
        <v>108</v>
      </c>
      <c r="AB589" s="6" t="s">
        <v>99</v>
      </c>
      <c r="AC589" s="79" t="s">
        <v>6599</v>
      </c>
      <c r="AD589" s="79" t="s">
        <v>6600</v>
      </c>
      <c r="AE589" s="49" t="s">
        <v>6577</v>
      </c>
      <c r="AF589" s="49" t="s">
        <v>6601</v>
      </c>
      <c r="AG589" s="49" t="s">
        <v>6554</v>
      </c>
      <c r="AH589" s="49" t="s">
        <v>6554</v>
      </c>
      <c r="AI589" s="82" t="s">
        <v>6602</v>
      </c>
      <c r="AJ589" s="82" t="s">
        <v>6603</v>
      </c>
      <c r="AK589" s="6"/>
      <c r="AL589" s="6" t="s">
        <v>6557</v>
      </c>
      <c r="AM589" s="5" t="s">
        <v>6558</v>
      </c>
      <c r="AN589" s="6"/>
      <c r="AO589" s="6"/>
      <c r="AP589" s="6"/>
      <c r="AQ589" s="33" t="s">
        <v>6559</v>
      </c>
      <c r="AR589" s="20" t="s">
        <v>97</v>
      </c>
      <c r="AS589" s="20" t="s">
        <v>107</v>
      </c>
      <c r="AT589" s="20"/>
      <c r="AU589" s="24">
        <v>0.6</v>
      </c>
      <c r="AV589" s="24">
        <f t="shared" si="117"/>
        <v>0.48</v>
      </c>
      <c r="AW589" s="24">
        <f t="shared" si="118"/>
        <v>0.36</v>
      </c>
      <c r="AX589" s="25">
        <v>1E-4</v>
      </c>
      <c r="AY589" s="24">
        <v>0</v>
      </c>
      <c r="AZ589" s="24">
        <f t="shared" si="123"/>
        <v>0.54</v>
      </c>
      <c r="BA589" s="24">
        <f t="shared" si="119"/>
        <v>0.43200000000000005</v>
      </c>
      <c r="BB589" s="24">
        <f t="shared" si="120"/>
        <v>0.32400000000000001</v>
      </c>
      <c r="BC589" s="25">
        <v>1E-4</v>
      </c>
      <c r="BD589" s="24">
        <v>0</v>
      </c>
      <c r="BE589" s="26">
        <v>0</v>
      </c>
      <c r="BF589" s="34">
        <f t="shared" si="121"/>
        <v>0</v>
      </c>
      <c r="BG589" s="34">
        <f t="shared" si="122"/>
        <v>0</v>
      </c>
      <c r="BH589" s="26">
        <v>0</v>
      </c>
      <c r="BI589" s="26">
        <v>0</v>
      </c>
      <c r="BJ589" s="20"/>
      <c r="BK589" s="27"/>
      <c r="BL589" s="27"/>
      <c r="BM589" s="27" t="s">
        <v>1176</v>
      </c>
      <c r="BN589" s="26"/>
      <c r="BO589" s="34"/>
      <c r="BP589" s="34"/>
      <c r="BQ589" s="34"/>
      <c r="BR589" s="34"/>
      <c r="BS589" s="34"/>
      <c r="BT589" s="34"/>
      <c r="BU589" s="34"/>
      <c r="BV589" s="34"/>
      <c r="BW589" s="34"/>
      <c r="BX589" s="34"/>
      <c r="BY589" s="34"/>
      <c r="BZ589" s="34"/>
      <c r="CA589" s="20"/>
      <c r="CB589" s="20"/>
      <c r="CC589" s="29">
        <v>46003</v>
      </c>
      <c r="CD589" s="35" t="s">
        <v>6560</v>
      </c>
    </row>
    <row r="590" spans="1:82" ht="66.75" customHeight="1" x14ac:dyDescent="0.25">
      <c r="A590" s="87">
        <v>586</v>
      </c>
      <c r="B590" s="141" t="s">
        <v>6604</v>
      </c>
      <c r="C590" s="6" t="s">
        <v>6605</v>
      </c>
      <c r="D590" s="6" t="s">
        <v>6606</v>
      </c>
      <c r="E590" s="75" t="s">
        <v>113</v>
      </c>
      <c r="F590" s="4" t="s">
        <v>3560</v>
      </c>
      <c r="G590" s="5" t="s">
        <v>84</v>
      </c>
      <c r="H590" s="6" t="s">
        <v>108</v>
      </c>
      <c r="I590" s="6" t="s">
        <v>3576</v>
      </c>
      <c r="J590" s="6" t="s">
        <v>3577</v>
      </c>
      <c r="K590" s="6"/>
      <c r="L590" s="6"/>
      <c r="M590" s="6" t="s">
        <v>88</v>
      </c>
      <c r="N590" s="6" t="s">
        <v>89</v>
      </c>
      <c r="O590" s="6" t="s">
        <v>6548</v>
      </c>
      <c r="P590" s="6" t="s">
        <v>6549</v>
      </c>
      <c r="Q590" s="6"/>
      <c r="R590" s="82" t="s">
        <v>175</v>
      </c>
      <c r="S590" s="5" t="s">
        <v>92</v>
      </c>
      <c r="T590" s="5" t="s">
        <v>93</v>
      </c>
      <c r="U590" s="91">
        <v>100</v>
      </c>
      <c r="V590" s="5" t="s">
        <v>94</v>
      </c>
      <c r="W590" s="5" t="s">
        <v>97</v>
      </c>
      <c r="X590" s="5">
        <v>2025</v>
      </c>
      <c r="Y590" s="5" t="s">
        <v>117</v>
      </c>
      <c r="Z590" s="5" t="s">
        <v>108</v>
      </c>
      <c r="AA590" s="5" t="s">
        <v>108</v>
      </c>
      <c r="AB590" s="6" t="s">
        <v>99</v>
      </c>
      <c r="AC590" s="79" t="s">
        <v>6607</v>
      </c>
      <c r="AD590" s="79" t="s">
        <v>6608</v>
      </c>
      <c r="AE590" s="49" t="s">
        <v>6577</v>
      </c>
      <c r="AF590" s="49" t="s">
        <v>6609</v>
      </c>
      <c r="AG590" s="49" t="s">
        <v>6554</v>
      </c>
      <c r="AH590" s="49" t="s">
        <v>6554</v>
      </c>
      <c r="AI590" s="82" t="s">
        <v>6610</v>
      </c>
      <c r="AJ590" s="82" t="s">
        <v>6611</v>
      </c>
      <c r="AK590" s="49"/>
      <c r="AL590" s="49" t="s">
        <v>6557</v>
      </c>
      <c r="AM590" s="5" t="s">
        <v>6558</v>
      </c>
      <c r="AN590" s="6"/>
      <c r="AO590" s="6"/>
      <c r="AP590" s="6"/>
      <c r="AQ590" s="33" t="s">
        <v>6559</v>
      </c>
      <c r="AR590" s="20" t="s">
        <v>97</v>
      </c>
      <c r="AS590" s="20" t="s">
        <v>107</v>
      </c>
      <c r="AT590" s="20"/>
      <c r="AU590" s="24">
        <v>0.6</v>
      </c>
      <c r="AV590" s="24">
        <f t="shared" si="117"/>
        <v>0.48</v>
      </c>
      <c r="AW590" s="24">
        <f t="shared" si="118"/>
        <v>0.36</v>
      </c>
      <c r="AX590" s="25">
        <v>1E-4</v>
      </c>
      <c r="AY590" s="24">
        <v>0</v>
      </c>
      <c r="AZ590" s="24">
        <f t="shared" si="123"/>
        <v>0.54</v>
      </c>
      <c r="BA590" s="24">
        <f t="shared" si="119"/>
        <v>0.43200000000000005</v>
      </c>
      <c r="BB590" s="24">
        <f t="shared" si="120"/>
        <v>0.32400000000000001</v>
      </c>
      <c r="BC590" s="25">
        <v>1E-4</v>
      </c>
      <c r="BD590" s="24">
        <v>0</v>
      </c>
      <c r="BE590" s="26">
        <v>0</v>
      </c>
      <c r="BF590" s="34">
        <f t="shared" si="121"/>
        <v>0</v>
      </c>
      <c r="BG590" s="34">
        <f t="shared" si="122"/>
        <v>0</v>
      </c>
      <c r="BH590" s="26">
        <v>0</v>
      </c>
      <c r="BI590" s="26">
        <v>0</v>
      </c>
      <c r="BJ590" s="20"/>
      <c r="BK590" s="27"/>
      <c r="BL590" s="27"/>
      <c r="BM590" s="27" t="s">
        <v>1176</v>
      </c>
      <c r="BN590" s="26"/>
      <c r="BO590" s="34"/>
      <c r="BP590" s="34"/>
      <c r="BQ590" s="34"/>
      <c r="BR590" s="34"/>
      <c r="BS590" s="34"/>
      <c r="BT590" s="34"/>
      <c r="BU590" s="34"/>
      <c r="BV590" s="34"/>
      <c r="BW590" s="34"/>
      <c r="BX590" s="34"/>
      <c r="BY590" s="34"/>
      <c r="BZ590" s="34"/>
      <c r="CA590" s="20"/>
      <c r="CB590" s="20"/>
      <c r="CC590" s="29">
        <v>46003</v>
      </c>
      <c r="CD590" s="35" t="s">
        <v>6560</v>
      </c>
    </row>
    <row r="591" spans="1:82" ht="66.75" customHeight="1" x14ac:dyDescent="0.25">
      <c r="A591" s="87">
        <v>587</v>
      </c>
      <c r="B591" s="141" t="s">
        <v>6612</v>
      </c>
      <c r="C591" s="6" t="s">
        <v>6613</v>
      </c>
      <c r="D591" s="6" t="s">
        <v>6614</v>
      </c>
      <c r="E591" s="75" t="s">
        <v>113</v>
      </c>
      <c r="F591" s="4" t="s">
        <v>3560</v>
      </c>
      <c r="G591" s="5" t="s">
        <v>84</v>
      </c>
      <c r="H591" s="6" t="s">
        <v>108</v>
      </c>
      <c r="I591" s="6" t="s">
        <v>3576</v>
      </c>
      <c r="J591" s="6" t="s">
        <v>3577</v>
      </c>
      <c r="K591" s="6"/>
      <c r="L591" s="6"/>
      <c r="M591" s="6" t="s">
        <v>88</v>
      </c>
      <c r="N591" s="6" t="s">
        <v>89</v>
      </c>
      <c r="O591" s="6" t="s">
        <v>6548</v>
      </c>
      <c r="P591" s="6" t="s">
        <v>6615</v>
      </c>
      <c r="Q591" s="6"/>
      <c r="R591" s="82" t="s">
        <v>175</v>
      </c>
      <c r="S591" s="5" t="s">
        <v>92</v>
      </c>
      <c r="T591" s="5" t="s">
        <v>93</v>
      </c>
      <c r="U591" s="91">
        <v>100</v>
      </c>
      <c r="V591" s="5" t="s">
        <v>94</v>
      </c>
      <c r="W591" s="5" t="s">
        <v>97</v>
      </c>
      <c r="X591" s="5">
        <v>2025</v>
      </c>
      <c r="Y591" s="5" t="s">
        <v>117</v>
      </c>
      <c r="Z591" s="5" t="s">
        <v>108</v>
      </c>
      <c r="AA591" s="5" t="s">
        <v>108</v>
      </c>
      <c r="AB591" s="6" t="s">
        <v>99</v>
      </c>
      <c r="AC591" s="79" t="s">
        <v>6616</v>
      </c>
      <c r="AD591" s="79" t="s">
        <v>6617</v>
      </c>
      <c r="AE591" s="49" t="s">
        <v>6577</v>
      </c>
      <c r="AF591" s="49" t="s">
        <v>6552</v>
      </c>
      <c r="AG591" s="49" t="s">
        <v>6554</v>
      </c>
      <c r="AH591" s="49" t="s">
        <v>6554</v>
      </c>
      <c r="AI591" s="82" t="s">
        <v>6618</v>
      </c>
      <c r="AJ591" s="82" t="s">
        <v>6556</v>
      </c>
      <c r="AK591" s="49"/>
      <c r="AL591" s="49" t="s">
        <v>6557</v>
      </c>
      <c r="AM591" s="5" t="s">
        <v>6558</v>
      </c>
      <c r="AN591" s="6"/>
      <c r="AO591" s="6"/>
      <c r="AP591" s="6"/>
      <c r="AQ591" s="33" t="s">
        <v>6559</v>
      </c>
      <c r="AR591" s="20" t="s">
        <v>97</v>
      </c>
      <c r="AS591" s="20" t="s">
        <v>107</v>
      </c>
      <c r="AT591" s="20"/>
      <c r="AU591" s="24">
        <v>0.7</v>
      </c>
      <c r="AV591" s="24">
        <f t="shared" si="117"/>
        <v>0.55999999999999994</v>
      </c>
      <c r="AW591" s="24">
        <f t="shared" si="118"/>
        <v>0.42</v>
      </c>
      <c r="AX591" s="25">
        <v>1E-4</v>
      </c>
      <c r="AY591" s="24">
        <v>0</v>
      </c>
      <c r="AZ591" s="24">
        <f t="shared" si="123"/>
        <v>0.63</v>
      </c>
      <c r="BA591" s="24">
        <f t="shared" si="119"/>
        <v>0.504</v>
      </c>
      <c r="BB591" s="24">
        <f t="shared" si="120"/>
        <v>0.378</v>
      </c>
      <c r="BC591" s="25">
        <v>1E-4</v>
      </c>
      <c r="BD591" s="24">
        <v>0</v>
      </c>
      <c r="BE591" s="26">
        <v>0</v>
      </c>
      <c r="BF591" s="34">
        <f t="shared" si="121"/>
        <v>0</v>
      </c>
      <c r="BG591" s="34">
        <f t="shared" si="122"/>
        <v>0</v>
      </c>
      <c r="BH591" s="26">
        <v>0</v>
      </c>
      <c r="BI591" s="26">
        <v>0</v>
      </c>
      <c r="BJ591" s="20"/>
      <c r="BK591" s="27"/>
      <c r="BL591" s="27"/>
      <c r="BM591" s="27" t="s">
        <v>1176</v>
      </c>
      <c r="BN591" s="26"/>
      <c r="BO591" s="34"/>
      <c r="BP591" s="34"/>
      <c r="BQ591" s="34"/>
      <c r="BR591" s="34"/>
      <c r="BS591" s="34"/>
      <c r="BT591" s="34"/>
      <c r="BU591" s="34"/>
      <c r="BV591" s="34"/>
      <c r="BW591" s="34"/>
      <c r="BX591" s="34"/>
      <c r="BY591" s="34"/>
      <c r="BZ591" s="34"/>
      <c r="CA591" s="20"/>
      <c r="CB591" s="20"/>
      <c r="CC591" s="29">
        <v>46003</v>
      </c>
      <c r="CD591" s="35" t="s">
        <v>6560</v>
      </c>
    </row>
    <row r="592" spans="1:82" ht="66.75" customHeight="1" x14ac:dyDescent="0.25">
      <c r="A592" s="121">
        <v>588</v>
      </c>
      <c r="B592" s="141" t="s">
        <v>6619</v>
      </c>
      <c r="C592" s="6" t="s">
        <v>6620</v>
      </c>
      <c r="D592" s="6" t="s">
        <v>6621</v>
      </c>
      <c r="E592" s="75" t="s">
        <v>113</v>
      </c>
      <c r="F592" s="4" t="s">
        <v>3560</v>
      </c>
      <c r="G592" s="5" t="s">
        <v>84</v>
      </c>
      <c r="H592" s="6" t="s">
        <v>108</v>
      </c>
      <c r="I592" s="6" t="s">
        <v>3576</v>
      </c>
      <c r="J592" s="6" t="s">
        <v>3577</v>
      </c>
      <c r="K592" s="6"/>
      <c r="L592" s="6"/>
      <c r="M592" s="6" t="s">
        <v>88</v>
      </c>
      <c r="N592" s="6" t="s">
        <v>89</v>
      </c>
      <c r="O592" s="6" t="s">
        <v>6548</v>
      </c>
      <c r="P592" s="6" t="s">
        <v>6615</v>
      </c>
      <c r="Q592" s="6"/>
      <c r="R592" s="82" t="s">
        <v>175</v>
      </c>
      <c r="S592" s="5" t="s">
        <v>4201</v>
      </c>
      <c r="T592" s="5" t="s">
        <v>93</v>
      </c>
      <c r="U592" s="91">
        <v>100</v>
      </c>
      <c r="V592" s="5" t="s">
        <v>94</v>
      </c>
      <c r="W592" s="5" t="s">
        <v>97</v>
      </c>
      <c r="X592" s="5">
        <v>2025</v>
      </c>
      <c r="Y592" s="5" t="s">
        <v>117</v>
      </c>
      <c r="Z592" s="5" t="s">
        <v>108</v>
      </c>
      <c r="AA592" s="5" t="s">
        <v>108</v>
      </c>
      <c r="AB592" s="6" t="s">
        <v>99</v>
      </c>
      <c r="AC592" s="79" t="s">
        <v>6622</v>
      </c>
      <c r="AD592" s="79" t="s">
        <v>6623</v>
      </c>
      <c r="AE592" s="49" t="s">
        <v>6577</v>
      </c>
      <c r="AF592" s="49" t="s">
        <v>6566</v>
      </c>
      <c r="AG592" s="49" t="s">
        <v>6554</v>
      </c>
      <c r="AH592" s="49" t="s">
        <v>6554</v>
      </c>
      <c r="AI592" s="82" t="s">
        <v>6624</v>
      </c>
      <c r="AJ592" s="82" t="s">
        <v>6569</v>
      </c>
      <c r="AK592" s="6"/>
      <c r="AL592" s="6" t="s">
        <v>6570</v>
      </c>
      <c r="AM592" s="5" t="s">
        <v>6571</v>
      </c>
      <c r="AN592" s="6"/>
      <c r="AO592" s="6"/>
      <c r="AP592" s="6"/>
      <c r="AQ592" s="33" t="s">
        <v>6559</v>
      </c>
      <c r="AR592" s="20" t="s">
        <v>97</v>
      </c>
      <c r="AS592" s="20" t="s">
        <v>107</v>
      </c>
      <c r="AT592" s="20"/>
      <c r="AU592" s="24">
        <v>0.8</v>
      </c>
      <c r="AV592" s="24">
        <f t="shared" si="117"/>
        <v>0.64000000000000012</v>
      </c>
      <c r="AW592" s="24">
        <f t="shared" si="118"/>
        <v>0.48</v>
      </c>
      <c r="AX592" s="25">
        <v>1E-4</v>
      </c>
      <c r="AY592" s="24">
        <v>0</v>
      </c>
      <c r="AZ592" s="24">
        <f t="shared" si="123"/>
        <v>0.72000000000000008</v>
      </c>
      <c r="BA592" s="24">
        <f t="shared" si="119"/>
        <v>0.57600000000000007</v>
      </c>
      <c r="BB592" s="24">
        <f t="shared" si="120"/>
        <v>0.43200000000000005</v>
      </c>
      <c r="BC592" s="25">
        <v>1E-4</v>
      </c>
      <c r="BD592" s="24">
        <v>0</v>
      </c>
      <c r="BE592" s="26">
        <v>0</v>
      </c>
      <c r="BF592" s="34">
        <f t="shared" si="121"/>
        <v>0</v>
      </c>
      <c r="BG592" s="34">
        <f t="shared" si="122"/>
        <v>0</v>
      </c>
      <c r="BH592" s="26">
        <v>0</v>
      </c>
      <c r="BI592" s="26">
        <v>0</v>
      </c>
      <c r="BJ592" s="20"/>
      <c r="BK592" s="27"/>
      <c r="BL592" s="27"/>
      <c r="BM592" s="27" t="s">
        <v>1176</v>
      </c>
      <c r="BN592" s="26"/>
      <c r="BO592" s="34"/>
      <c r="BP592" s="34"/>
      <c r="BQ592" s="34"/>
      <c r="BR592" s="34"/>
      <c r="BS592" s="34"/>
      <c r="BT592" s="34"/>
      <c r="BU592" s="34"/>
      <c r="BV592" s="34"/>
      <c r="BW592" s="34"/>
      <c r="BX592" s="34"/>
      <c r="BY592" s="34"/>
      <c r="BZ592" s="34"/>
      <c r="CA592" s="20"/>
      <c r="CB592" s="20"/>
      <c r="CC592" s="29">
        <v>46003</v>
      </c>
      <c r="CD592" s="35" t="s">
        <v>6560</v>
      </c>
    </row>
    <row r="593" spans="1:82" ht="66.75" customHeight="1" x14ac:dyDescent="0.25">
      <c r="A593" s="87">
        <v>589</v>
      </c>
      <c r="B593" s="141" t="s">
        <v>6625</v>
      </c>
      <c r="C593" s="6" t="s">
        <v>6626</v>
      </c>
      <c r="D593" s="6" t="s">
        <v>6627</v>
      </c>
      <c r="E593" s="75" t="s">
        <v>113</v>
      </c>
      <c r="F593" s="4" t="s">
        <v>3560</v>
      </c>
      <c r="G593" s="5" t="s">
        <v>84</v>
      </c>
      <c r="H593" s="6" t="s">
        <v>108</v>
      </c>
      <c r="I593" s="6" t="s">
        <v>3576</v>
      </c>
      <c r="J593" s="6" t="s">
        <v>3577</v>
      </c>
      <c r="K593" s="6"/>
      <c r="L593" s="6"/>
      <c r="M593" s="6" t="s">
        <v>88</v>
      </c>
      <c r="N593" s="6" t="s">
        <v>89</v>
      </c>
      <c r="O593" s="6" t="s">
        <v>6628</v>
      </c>
      <c r="P593" s="6" t="s">
        <v>6628</v>
      </c>
      <c r="Q593" s="6"/>
      <c r="R593" s="82" t="s">
        <v>175</v>
      </c>
      <c r="S593" s="5" t="s">
        <v>92</v>
      </c>
      <c r="T593" s="5" t="s">
        <v>93</v>
      </c>
      <c r="U593" s="91">
        <v>100</v>
      </c>
      <c r="V593" s="5" t="s">
        <v>94</v>
      </c>
      <c r="W593" s="5" t="s">
        <v>97</v>
      </c>
      <c r="X593" s="5">
        <v>2025</v>
      </c>
      <c r="Y593" s="5" t="s">
        <v>117</v>
      </c>
      <c r="Z593" s="5" t="s">
        <v>108</v>
      </c>
      <c r="AA593" s="5" t="s">
        <v>108</v>
      </c>
      <c r="AB593" s="6" t="s">
        <v>99</v>
      </c>
      <c r="AC593" s="79" t="s">
        <v>6629</v>
      </c>
      <c r="AD593" s="79" t="s">
        <v>6630</v>
      </c>
      <c r="AE593" s="49" t="s">
        <v>6631</v>
      </c>
      <c r="AF593" s="49" t="s">
        <v>6632</v>
      </c>
      <c r="AG593" s="49" t="s">
        <v>6554</v>
      </c>
      <c r="AH593" s="49" t="s">
        <v>6554</v>
      </c>
      <c r="AI593" s="75" t="s">
        <v>6633</v>
      </c>
      <c r="AJ593" s="82" t="s">
        <v>6634</v>
      </c>
      <c r="AK593" s="6"/>
      <c r="AL593" s="6" t="s">
        <v>6635</v>
      </c>
      <c r="AM593" s="5" t="s">
        <v>6558</v>
      </c>
      <c r="AN593" s="6"/>
      <c r="AO593" s="6"/>
      <c r="AP593" s="6"/>
      <c r="AQ593" s="33" t="s">
        <v>6636</v>
      </c>
      <c r="AR593" s="20" t="s">
        <v>97</v>
      </c>
      <c r="AS593" s="20" t="s">
        <v>107</v>
      </c>
      <c r="AT593" s="20"/>
      <c r="AU593" s="24">
        <v>0.1</v>
      </c>
      <c r="AV593" s="24">
        <f t="shared" si="117"/>
        <v>8.0000000000000016E-2</v>
      </c>
      <c r="AW593" s="24">
        <f t="shared" si="118"/>
        <v>0.06</v>
      </c>
      <c r="AX593" s="25">
        <v>1E-4</v>
      </c>
      <c r="AY593" s="24">
        <v>0</v>
      </c>
      <c r="AZ593" s="24">
        <f t="shared" si="123"/>
        <v>9.0000000000000011E-2</v>
      </c>
      <c r="BA593" s="24">
        <f t="shared" si="119"/>
        <v>7.2000000000000008E-2</v>
      </c>
      <c r="BB593" s="24">
        <f t="shared" si="120"/>
        <v>5.4000000000000006E-2</v>
      </c>
      <c r="BC593" s="25">
        <v>1E-4</v>
      </c>
      <c r="BD593" s="24">
        <v>0</v>
      </c>
      <c r="BE593" s="26">
        <v>0</v>
      </c>
      <c r="BF593" s="34">
        <f t="shared" si="121"/>
        <v>0</v>
      </c>
      <c r="BG593" s="34">
        <f t="shared" si="122"/>
        <v>0</v>
      </c>
      <c r="BH593" s="26">
        <v>0</v>
      </c>
      <c r="BI593" s="26">
        <v>0</v>
      </c>
      <c r="BJ593" s="20"/>
      <c r="BK593" s="27"/>
      <c r="BL593" s="27"/>
      <c r="BM593" s="27" t="s">
        <v>1176</v>
      </c>
      <c r="BN593" s="26"/>
      <c r="BO593" s="34"/>
      <c r="BP593" s="34"/>
      <c r="BQ593" s="34"/>
      <c r="BR593" s="34"/>
      <c r="BS593" s="34"/>
      <c r="BT593" s="34"/>
      <c r="BU593" s="34"/>
      <c r="BV593" s="34"/>
      <c r="BW593" s="34"/>
      <c r="BX593" s="34"/>
      <c r="BY593" s="34"/>
      <c r="BZ593" s="34"/>
      <c r="CA593" s="20"/>
      <c r="CB593" s="20"/>
      <c r="CC593" s="29">
        <v>46003</v>
      </c>
      <c r="CD593" s="35" t="s">
        <v>6560</v>
      </c>
    </row>
    <row r="594" spans="1:82" ht="66.75" customHeight="1" x14ac:dyDescent="0.25">
      <c r="A594" s="87">
        <v>590</v>
      </c>
      <c r="B594" s="141" t="s">
        <v>6637</v>
      </c>
      <c r="C594" s="6" t="s">
        <v>6638</v>
      </c>
      <c r="D594" s="6" t="s">
        <v>6639</v>
      </c>
      <c r="E594" s="75" t="s">
        <v>113</v>
      </c>
      <c r="F594" s="4" t="s">
        <v>3560</v>
      </c>
      <c r="G594" s="5" t="s">
        <v>84</v>
      </c>
      <c r="H594" s="6" t="s">
        <v>108</v>
      </c>
      <c r="I594" s="6" t="s">
        <v>3576</v>
      </c>
      <c r="J594" s="6" t="s">
        <v>3577</v>
      </c>
      <c r="K594" s="6"/>
      <c r="L594" s="6"/>
      <c r="M594" s="6" t="s">
        <v>88</v>
      </c>
      <c r="N594" s="6" t="s">
        <v>89</v>
      </c>
      <c r="O594" s="6" t="s">
        <v>6628</v>
      </c>
      <c r="P594" s="6" t="s">
        <v>3649</v>
      </c>
      <c r="Q594" s="6"/>
      <c r="R594" s="82" t="s">
        <v>2587</v>
      </c>
      <c r="S594" s="5" t="s">
        <v>92</v>
      </c>
      <c r="T594" s="5" t="s">
        <v>2587</v>
      </c>
      <c r="U594" s="91">
        <v>10000</v>
      </c>
      <c r="V594" s="5" t="s">
        <v>94</v>
      </c>
      <c r="W594" s="5" t="s">
        <v>97</v>
      </c>
      <c r="X594" s="5">
        <v>2025</v>
      </c>
      <c r="Y594" s="5" t="s">
        <v>117</v>
      </c>
      <c r="Z594" s="5" t="s">
        <v>108</v>
      </c>
      <c r="AA594" s="5" t="s">
        <v>108</v>
      </c>
      <c r="AB594" s="6" t="s">
        <v>99</v>
      </c>
      <c r="AC594" s="79" t="s">
        <v>6640</v>
      </c>
      <c r="AD594" s="79" t="s">
        <v>6641</v>
      </c>
      <c r="AE594" s="49" t="s">
        <v>6642</v>
      </c>
      <c r="AF594" s="49" t="s">
        <v>6643</v>
      </c>
      <c r="AG594" s="49" t="s">
        <v>6554</v>
      </c>
      <c r="AH594" s="49" t="s">
        <v>6554</v>
      </c>
      <c r="AI594" s="75" t="s">
        <v>6644</v>
      </c>
      <c r="AJ594" s="6" t="s">
        <v>6643</v>
      </c>
      <c r="AK594" s="6"/>
      <c r="AL594" s="6"/>
      <c r="AM594" s="5"/>
      <c r="AN594" s="6"/>
      <c r="AO594" s="6"/>
      <c r="AP594" s="6"/>
      <c r="AQ594" s="33" t="s">
        <v>6636</v>
      </c>
      <c r="AR594" s="20" t="s">
        <v>97</v>
      </c>
      <c r="AS594" s="20" t="s">
        <v>107</v>
      </c>
      <c r="AT594" s="20"/>
      <c r="AU594" s="26" t="s">
        <v>6646</v>
      </c>
      <c r="AV594" s="26">
        <v>30</v>
      </c>
      <c r="AW594" s="26">
        <v>20</v>
      </c>
      <c r="AX594" s="26">
        <v>10</v>
      </c>
      <c r="AY594" s="26">
        <v>0</v>
      </c>
      <c r="AZ594" s="26" t="s">
        <v>6645</v>
      </c>
      <c r="BA594" s="26">
        <v>30</v>
      </c>
      <c r="BB594" s="26">
        <v>20</v>
      </c>
      <c r="BC594" s="26">
        <v>10</v>
      </c>
      <c r="BD594" s="26">
        <v>0</v>
      </c>
      <c r="BE594" s="26">
        <v>0</v>
      </c>
      <c r="BF594" s="34">
        <f t="shared" si="121"/>
        <v>0</v>
      </c>
      <c r="BG594" s="34">
        <f t="shared" si="122"/>
        <v>0</v>
      </c>
      <c r="BH594" s="26">
        <v>0</v>
      </c>
      <c r="BI594" s="26">
        <v>0</v>
      </c>
      <c r="BJ594" s="20"/>
      <c r="BK594" s="27"/>
      <c r="BL594" s="27"/>
      <c r="BM594" s="27" t="s">
        <v>2598</v>
      </c>
      <c r="BN594" s="26"/>
      <c r="BO594" s="34"/>
      <c r="BP594" s="34"/>
      <c r="BQ594" s="34"/>
      <c r="BR594" s="34"/>
      <c r="BS594" s="34"/>
      <c r="BT594" s="34"/>
      <c r="BU594" s="34"/>
      <c r="BV594" s="34"/>
      <c r="BW594" s="34"/>
      <c r="BX594" s="34"/>
      <c r="BY594" s="34"/>
      <c r="BZ594" s="34"/>
      <c r="CA594" s="20"/>
      <c r="CB594" s="20"/>
      <c r="CC594" s="29">
        <v>46003</v>
      </c>
      <c r="CD594" s="35" t="s">
        <v>6560</v>
      </c>
    </row>
    <row r="595" spans="1:82" ht="66.75" customHeight="1" x14ac:dyDescent="0.25">
      <c r="A595" s="121">
        <v>591</v>
      </c>
      <c r="B595" s="141" t="s">
        <v>6647</v>
      </c>
      <c r="C595" s="6" t="s">
        <v>6648</v>
      </c>
      <c r="D595" s="6" t="s">
        <v>6649</v>
      </c>
      <c r="E595" s="75" t="s">
        <v>113</v>
      </c>
      <c r="F595" s="4" t="s">
        <v>3560</v>
      </c>
      <c r="G595" s="5" t="s">
        <v>84</v>
      </c>
      <c r="H595" s="6" t="s">
        <v>108</v>
      </c>
      <c r="I595" s="6" t="s">
        <v>3576</v>
      </c>
      <c r="J595" s="6" t="s">
        <v>3577</v>
      </c>
      <c r="K595" s="6"/>
      <c r="L595" s="6"/>
      <c r="M595" s="6" t="s">
        <v>88</v>
      </c>
      <c r="N595" s="6" t="s">
        <v>89</v>
      </c>
      <c r="O595" s="6" t="s">
        <v>6628</v>
      </c>
      <c r="P595" s="6" t="s">
        <v>3649</v>
      </c>
      <c r="Q595" s="6"/>
      <c r="R595" s="82" t="s">
        <v>2587</v>
      </c>
      <c r="S595" s="5" t="s">
        <v>92</v>
      </c>
      <c r="T595" s="5" t="s">
        <v>2587</v>
      </c>
      <c r="U595" s="91">
        <v>10000</v>
      </c>
      <c r="V595" s="5" t="s">
        <v>94</v>
      </c>
      <c r="W595" s="5" t="s">
        <v>97</v>
      </c>
      <c r="X595" s="5">
        <v>2025</v>
      </c>
      <c r="Y595" s="5" t="s">
        <v>117</v>
      </c>
      <c r="Z595" s="5" t="s">
        <v>108</v>
      </c>
      <c r="AA595" s="5" t="s">
        <v>108</v>
      </c>
      <c r="AB595" s="6" t="s">
        <v>99</v>
      </c>
      <c r="AC595" s="79" t="s">
        <v>6650</v>
      </c>
      <c r="AD595" s="79" t="s">
        <v>6641</v>
      </c>
      <c r="AE595" s="49" t="s">
        <v>6651</v>
      </c>
      <c r="AF595" s="49" t="s">
        <v>6643</v>
      </c>
      <c r="AG595" s="49" t="s">
        <v>6554</v>
      </c>
      <c r="AH595" s="49" t="s">
        <v>6554</v>
      </c>
      <c r="AI595" s="75" t="s">
        <v>6652</v>
      </c>
      <c r="AJ595" s="6" t="s">
        <v>6643</v>
      </c>
      <c r="AK595" s="6"/>
      <c r="AL595" s="6"/>
      <c r="AM595" s="79"/>
      <c r="AN595" s="79" t="s">
        <v>6653</v>
      </c>
      <c r="AO595" s="79"/>
      <c r="AP595" s="79"/>
      <c r="AQ595" s="33" t="s">
        <v>6636</v>
      </c>
      <c r="AR595" s="20" t="s">
        <v>97</v>
      </c>
      <c r="AS595" s="20" t="s">
        <v>107</v>
      </c>
      <c r="AT595" s="20"/>
      <c r="AU595" s="26">
        <v>25</v>
      </c>
      <c r="AV595" s="26">
        <v>20</v>
      </c>
      <c r="AW595" s="26">
        <v>17.5</v>
      </c>
      <c r="AX595" s="26">
        <f>+AU595*60%</f>
        <v>15</v>
      </c>
      <c r="AY595" s="26">
        <v>0</v>
      </c>
      <c r="AZ595" s="26">
        <f>+AU595*90%</f>
        <v>22.5</v>
      </c>
      <c r="BA595" s="26">
        <f>+AZ595*80%</f>
        <v>18</v>
      </c>
      <c r="BB595" s="26">
        <f>+AZ595*70%</f>
        <v>15.749999999999998</v>
      </c>
      <c r="BC595" s="26">
        <f>+AZ595*60%</f>
        <v>13.5</v>
      </c>
      <c r="BD595" s="26">
        <v>20</v>
      </c>
      <c r="BE595" s="26">
        <v>0</v>
      </c>
      <c r="BF595" s="34">
        <f t="shared" si="121"/>
        <v>0</v>
      </c>
      <c r="BG595" s="34">
        <f t="shared" si="122"/>
        <v>0</v>
      </c>
      <c r="BH595" s="26">
        <v>0</v>
      </c>
      <c r="BI595" s="26">
        <v>0</v>
      </c>
      <c r="BJ595" s="20"/>
      <c r="BK595" s="27"/>
      <c r="BL595" s="27"/>
      <c r="BM595" s="27" t="s">
        <v>2598</v>
      </c>
      <c r="BN595" s="26"/>
      <c r="BO595" s="34"/>
      <c r="BP595" s="34"/>
      <c r="BQ595" s="34"/>
      <c r="BR595" s="34"/>
      <c r="BS595" s="34"/>
      <c r="BT595" s="34"/>
      <c r="BU595" s="34"/>
      <c r="BV595" s="34"/>
      <c r="BW595" s="34"/>
      <c r="BX595" s="34"/>
      <c r="BY595" s="34"/>
      <c r="BZ595" s="34"/>
      <c r="CA595" s="20"/>
      <c r="CB595" s="20"/>
      <c r="CC595" s="29">
        <v>46003</v>
      </c>
      <c r="CD595" s="35" t="s">
        <v>6560</v>
      </c>
    </row>
    <row r="596" spans="1:82" ht="66.75" customHeight="1" x14ac:dyDescent="0.25">
      <c r="A596" s="87">
        <v>592</v>
      </c>
      <c r="B596" s="141" t="s">
        <v>6654</v>
      </c>
      <c r="C596" s="6" t="s">
        <v>6655</v>
      </c>
      <c r="D596" s="6" t="s">
        <v>6656</v>
      </c>
      <c r="E596" s="75" t="s">
        <v>113</v>
      </c>
      <c r="F596" s="4" t="s">
        <v>3560</v>
      </c>
      <c r="G596" s="5" t="s">
        <v>84</v>
      </c>
      <c r="H596" s="6" t="s">
        <v>108</v>
      </c>
      <c r="I596" s="6" t="s">
        <v>3576</v>
      </c>
      <c r="J596" s="6" t="s">
        <v>3577</v>
      </c>
      <c r="K596" s="6"/>
      <c r="L596" s="6"/>
      <c r="M596" s="6" t="s">
        <v>88</v>
      </c>
      <c r="N596" s="6" t="s">
        <v>89</v>
      </c>
      <c r="O596" s="6" t="s">
        <v>6628</v>
      </c>
      <c r="P596" s="6" t="s">
        <v>3649</v>
      </c>
      <c r="Q596" s="6"/>
      <c r="R596" s="82" t="s">
        <v>2587</v>
      </c>
      <c r="S596" s="5" t="s">
        <v>92</v>
      </c>
      <c r="T596" s="5" t="s">
        <v>2587</v>
      </c>
      <c r="U596" s="91">
        <v>10000</v>
      </c>
      <c r="V596" s="5" t="s">
        <v>94</v>
      </c>
      <c r="W596" s="5" t="s">
        <v>97</v>
      </c>
      <c r="X596" s="5">
        <v>2025</v>
      </c>
      <c r="Y596" s="5" t="s">
        <v>117</v>
      </c>
      <c r="Z596" s="5" t="s">
        <v>108</v>
      </c>
      <c r="AA596" s="5" t="s">
        <v>108</v>
      </c>
      <c r="AB596" s="6" t="s">
        <v>99</v>
      </c>
      <c r="AC596" s="79" t="s">
        <v>6657</v>
      </c>
      <c r="AD596" s="79" t="s">
        <v>6641</v>
      </c>
      <c r="AE596" s="49" t="s">
        <v>6658</v>
      </c>
      <c r="AF596" s="49" t="s">
        <v>6643</v>
      </c>
      <c r="AG596" s="49" t="s">
        <v>6554</v>
      </c>
      <c r="AH596" s="49" t="s">
        <v>6554</v>
      </c>
      <c r="AI596" s="75" t="s">
        <v>6659</v>
      </c>
      <c r="AJ596" s="6" t="s">
        <v>6643</v>
      </c>
      <c r="AK596" s="6"/>
      <c r="AL596" s="6"/>
      <c r="AM596" s="5" t="s">
        <v>6558</v>
      </c>
      <c r="AN596" s="79" t="s">
        <v>6660</v>
      </c>
      <c r="AO596" s="79"/>
      <c r="AP596" s="79"/>
      <c r="AQ596" s="33" t="s">
        <v>6636</v>
      </c>
      <c r="AR596" s="20" t="s">
        <v>97</v>
      </c>
      <c r="AS596" s="20" t="s">
        <v>107</v>
      </c>
      <c r="AT596" s="20"/>
      <c r="AU596" s="26">
        <v>15</v>
      </c>
      <c r="AV596" s="26">
        <v>12</v>
      </c>
      <c r="AW596" s="26">
        <v>10.5</v>
      </c>
      <c r="AX596" s="26">
        <f>+AU596*60%</f>
        <v>9</v>
      </c>
      <c r="AY596" s="26">
        <v>0</v>
      </c>
      <c r="AZ596" s="26">
        <v>13</v>
      </c>
      <c r="BA596" s="26">
        <f>+AZ596*80%</f>
        <v>10.4</v>
      </c>
      <c r="BB596" s="26">
        <f>+AZ596*70%</f>
        <v>9.1</v>
      </c>
      <c r="BC596" s="26">
        <f>+AZ596*60%</f>
        <v>7.8</v>
      </c>
      <c r="BD596" s="26">
        <v>0</v>
      </c>
      <c r="BE596" s="26">
        <v>0</v>
      </c>
      <c r="BF596" s="34">
        <f t="shared" si="121"/>
        <v>0</v>
      </c>
      <c r="BG596" s="34">
        <f t="shared" si="122"/>
        <v>0</v>
      </c>
      <c r="BH596" s="26">
        <v>0</v>
      </c>
      <c r="BI596" s="26">
        <v>0</v>
      </c>
      <c r="BJ596" s="20"/>
      <c r="BK596" s="27"/>
      <c r="BL596" s="27"/>
      <c r="BM596" s="27" t="s">
        <v>2598</v>
      </c>
      <c r="BN596" s="26"/>
      <c r="BO596" s="34"/>
      <c r="BP596" s="34"/>
      <c r="BQ596" s="34"/>
      <c r="BR596" s="34"/>
      <c r="BS596" s="34"/>
      <c r="BT596" s="34"/>
      <c r="BU596" s="34"/>
      <c r="BV596" s="34"/>
      <c r="BW596" s="34"/>
      <c r="BX596" s="34"/>
      <c r="BY596" s="34"/>
      <c r="BZ596" s="34"/>
      <c r="CA596" s="20"/>
      <c r="CB596" s="20"/>
      <c r="CC596" s="29">
        <v>46003</v>
      </c>
      <c r="CD596" s="35" t="s">
        <v>6560</v>
      </c>
    </row>
    <row r="597" spans="1:82" ht="66.75" customHeight="1" x14ac:dyDescent="0.25">
      <c r="A597" s="87">
        <v>593</v>
      </c>
      <c r="B597" s="141" t="s">
        <v>6661</v>
      </c>
      <c r="C597" s="6" t="s">
        <v>6662</v>
      </c>
      <c r="D597" s="6" t="s">
        <v>6663</v>
      </c>
      <c r="E597" s="75" t="s">
        <v>113</v>
      </c>
      <c r="F597" s="4" t="s">
        <v>3560</v>
      </c>
      <c r="G597" s="5" t="s">
        <v>84</v>
      </c>
      <c r="H597" s="6" t="s">
        <v>108</v>
      </c>
      <c r="I597" s="6" t="s">
        <v>3576</v>
      </c>
      <c r="J597" s="6" t="s">
        <v>3577</v>
      </c>
      <c r="K597" s="6"/>
      <c r="L597" s="6"/>
      <c r="M597" s="6" t="s">
        <v>88</v>
      </c>
      <c r="N597" s="6" t="s">
        <v>89</v>
      </c>
      <c r="O597" s="6" t="s">
        <v>6628</v>
      </c>
      <c r="P597" s="6" t="s">
        <v>3649</v>
      </c>
      <c r="Q597" s="6"/>
      <c r="R597" s="82" t="s">
        <v>2587</v>
      </c>
      <c r="S597" s="5" t="s">
        <v>92</v>
      </c>
      <c r="T597" s="5" t="s">
        <v>2587</v>
      </c>
      <c r="U597" s="91">
        <v>10000</v>
      </c>
      <c r="V597" s="5" t="s">
        <v>94</v>
      </c>
      <c r="W597" s="5" t="s">
        <v>97</v>
      </c>
      <c r="X597" s="5">
        <v>2025</v>
      </c>
      <c r="Y597" s="5" t="s">
        <v>117</v>
      </c>
      <c r="Z597" s="5" t="s">
        <v>108</v>
      </c>
      <c r="AA597" s="5" t="s">
        <v>108</v>
      </c>
      <c r="AB597" s="6" t="s">
        <v>99</v>
      </c>
      <c r="AC597" s="79" t="s">
        <v>6664</v>
      </c>
      <c r="AD597" s="79" t="s">
        <v>6641</v>
      </c>
      <c r="AE597" s="49" t="s">
        <v>6665</v>
      </c>
      <c r="AF597" s="49" t="s">
        <v>6643</v>
      </c>
      <c r="AG597" s="49" t="s">
        <v>6554</v>
      </c>
      <c r="AH597" s="49" t="s">
        <v>6554</v>
      </c>
      <c r="AI597" s="75" t="s">
        <v>6666</v>
      </c>
      <c r="AJ597" s="6" t="s">
        <v>6643</v>
      </c>
      <c r="AK597" s="6"/>
      <c r="AL597" s="6"/>
      <c r="AM597" s="5" t="s">
        <v>6558</v>
      </c>
      <c r="AN597" s="79" t="s">
        <v>6667</v>
      </c>
      <c r="AO597" s="79"/>
      <c r="AP597" s="79"/>
      <c r="AQ597" s="33" t="s">
        <v>6636</v>
      </c>
      <c r="AR597" s="20" t="s">
        <v>97</v>
      </c>
      <c r="AS597" s="20" t="s">
        <v>107</v>
      </c>
      <c r="AT597" s="20"/>
      <c r="AU597" s="26">
        <v>8</v>
      </c>
      <c r="AV597" s="26">
        <v>6.4</v>
      </c>
      <c r="AW597" s="26">
        <v>5.6</v>
      </c>
      <c r="AX597" s="26">
        <f>+AU597*60%</f>
        <v>4.8</v>
      </c>
      <c r="AY597" s="26">
        <v>0</v>
      </c>
      <c r="AZ597" s="26">
        <v>7</v>
      </c>
      <c r="BA597" s="26">
        <f>+AZ597*80%</f>
        <v>5.6000000000000005</v>
      </c>
      <c r="BB597" s="26">
        <f>+AZ597*70%</f>
        <v>4.8999999999999995</v>
      </c>
      <c r="BC597" s="26">
        <f>+AZ597*60%</f>
        <v>4.2</v>
      </c>
      <c r="BD597" s="26">
        <v>0</v>
      </c>
      <c r="BE597" s="26">
        <v>0</v>
      </c>
      <c r="BF597" s="34">
        <f t="shared" si="121"/>
        <v>0</v>
      </c>
      <c r="BG597" s="34">
        <f t="shared" si="122"/>
        <v>0</v>
      </c>
      <c r="BH597" s="26">
        <v>0</v>
      </c>
      <c r="BI597" s="26">
        <v>0</v>
      </c>
      <c r="BJ597" s="20"/>
      <c r="BK597" s="27"/>
      <c r="BL597" s="27"/>
      <c r="BM597" s="27" t="s">
        <v>2598</v>
      </c>
      <c r="BN597" s="26"/>
      <c r="BO597" s="34"/>
      <c r="BP597" s="34"/>
      <c r="BQ597" s="34"/>
      <c r="BR597" s="34"/>
      <c r="BS597" s="34"/>
      <c r="BT597" s="34"/>
      <c r="BU597" s="34"/>
      <c r="BV597" s="34"/>
      <c r="BW597" s="34"/>
      <c r="BX597" s="34"/>
      <c r="BY597" s="34"/>
      <c r="BZ597" s="34"/>
      <c r="CA597" s="20"/>
      <c r="CB597" s="20"/>
      <c r="CC597" s="29">
        <v>46003</v>
      </c>
      <c r="CD597" s="35" t="s">
        <v>6560</v>
      </c>
    </row>
    <row r="598" spans="1:82" ht="66.75" customHeight="1" x14ac:dyDescent="0.25">
      <c r="A598" s="121">
        <v>594</v>
      </c>
      <c r="B598" s="141" t="s">
        <v>6668</v>
      </c>
      <c r="C598" s="6" t="s">
        <v>6669</v>
      </c>
      <c r="D598" s="6" t="s">
        <v>6670</v>
      </c>
      <c r="E598" s="75" t="s">
        <v>113</v>
      </c>
      <c r="F598" s="4" t="s">
        <v>3560</v>
      </c>
      <c r="G598" s="5" t="s">
        <v>84</v>
      </c>
      <c r="H598" s="6" t="s">
        <v>108</v>
      </c>
      <c r="I598" s="6" t="s">
        <v>3576</v>
      </c>
      <c r="J598" s="6" t="s">
        <v>3577</v>
      </c>
      <c r="K598" s="6"/>
      <c r="L598" s="6"/>
      <c r="M598" s="6" t="s">
        <v>88</v>
      </c>
      <c r="N598" s="6" t="s">
        <v>89</v>
      </c>
      <c r="O598" s="6" t="s">
        <v>6628</v>
      </c>
      <c r="P598" s="6" t="s">
        <v>3649</v>
      </c>
      <c r="Q598" s="6"/>
      <c r="R598" s="82" t="s">
        <v>91</v>
      </c>
      <c r="S598" s="5" t="s">
        <v>92</v>
      </c>
      <c r="T598" s="5" t="s">
        <v>6671</v>
      </c>
      <c r="U598" s="91">
        <v>100</v>
      </c>
      <c r="V598" s="5" t="s">
        <v>94</v>
      </c>
      <c r="W598" s="5" t="s">
        <v>97</v>
      </c>
      <c r="X598" s="5">
        <v>2025</v>
      </c>
      <c r="Y598" s="5" t="s">
        <v>117</v>
      </c>
      <c r="Z598" s="5" t="s">
        <v>108</v>
      </c>
      <c r="AA598" s="5" t="s">
        <v>108</v>
      </c>
      <c r="AB598" s="6" t="s">
        <v>99</v>
      </c>
      <c r="AC598" s="6" t="s">
        <v>6672</v>
      </c>
      <c r="AD598" s="6" t="s">
        <v>6673</v>
      </c>
      <c r="AE598" s="49" t="s">
        <v>6651</v>
      </c>
      <c r="AF598" s="49" t="s">
        <v>6651</v>
      </c>
      <c r="AG598" s="49" t="s">
        <v>6554</v>
      </c>
      <c r="AH598" s="49" t="s">
        <v>6554</v>
      </c>
      <c r="AI598" s="49" t="s">
        <v>6651</v>
      </c>
      <c r="AJ598" s="6" t="s">
        <v>6651</v>
      </c>
      <c r="AK598" s="6"/>
      <c r="AL598" s="6" t="s">
        <v>6674</v>
      </c>
      <c r="AM598" s="5"/>
      <c r="AN598" s="6"/>
      <c r="AO598" s="6"/>
      <c r="AP598" s="6"/>
      <c r="AQ598" s="33" t="s">
        <v>6636</v>
      </c>
      <c r="AR598" s="20" t="s">
        <v>97</v>
      </c>
      <c r="AS598" s="20" t="s">
        <v>107</v>
      </c>
      <c r="AT598" s="20"/>
      <c r="AU598" s="24">
        <v>0.3</v>
      </c>
      <c r="AV598" s="24">
        <f t="shared" ref="AV598:AV613" si="124">+AU598*80%</f>
        <v>0.24</v>
      </c>
      <c r="AW598" s="24">
        <f t="shared" ref="AW598:AW613" si="125">+AU598*60%</f>
        <v>0.18</v>
      </c>
      <c r="AX598" s="25">
        <v>1E-4</v>
      </c>
      <c r="AY598" s="24">
        <v>0</v>
      </c>
      <c r="AZ598" s="24">
        <f t="shared" ref="AZ598:AZ613" si="126">+AU598*90%</f>
        <v>0.27</v>
      </c>
      <c r="BA598" s="24">
        <f t="shared" ref="BA598:BA613" si="127">AZ598*80%</f>
        <v>0.21600000000000003</v>
      </c>
      <c r="BB598" s="24">
        <f t="shared" ref="BB598:BB613" si="128">AZ598*60%</f>
        <v>0.16200000000000001</v>
      </c>
      <c r="BC598" s="25">
        <v>1E-4</v>
      </c>
      <c r="BD598" s="24">
        <v>0</v>
      </c>
      <c r="BE598" s="26">
        <v>0</v>
      </c>
      <c r="BF598" s="34">
        <f t="shared" si="121"/>
        <v>0</v>
      </c>
      <c r="BG598" s="34">
        <f t="shared" si="122"/>
        <v>0</v>
      </c>
      <c r="BH598" s="26">
        <v>0</v>
      </c>
      <c r="BI598" s="26">
        <v>0</v>
      </c>
      <c r="BJ598" s="20"/>
      <c r="BK598" s="27"/>
      <c r="BL598" s="27"/>
      <c r="BM598" s="27" t="s">
        <v>1176</v>
      </c>
      <c r="BN598" s="26"/>
      <c r="BO598" s="34"/>
      <c r="BP598" s="34"/>
      <c r="BQ598" s="34"/>
      <c r="BR598" s="34"/>
      <c r="BS598" s="34"/>
      <c r="BT598" s="34"/>
      <c r="BU598" s="34"/>
      <c r="BV598" s="34"/>
      <c r="BW598" s="34"/>
      <c r="BX598" s="34"/>
      <c r="BY598" s="34"/>
      <c r="BZ598" s="34"/>
      <c r="CA598" s="20"/>
      <c r="CB598" s="20"/>
      <c r="CC598" s="29">
        <v>46003</v>
      </c>
      <c r="CD598" s="35" t="s">
        <v>6560</v>
      </c>
    </row>
    <row r="599" spans="1:82" ht="66.75" customHeight="1" x14ac:dyDescent="0.25">
      <c r="A599" s="87">
        <v>595</v>
      </c>
      <c r="B599" s="141" t="s">
        <v>6675</v>
      </c>
      <c r="C599" s="6" t="s">
        <v>6676</v>
      </c>
      <c r="D599" s="6" t="s">
        <v>6677</v>
      </c>
      <c r="E599" s="75" t="s">
        <v>113</v>
      </c>
      <c r="F599" s="4" t="s">
        <v>3560</v>
      </c>
      <c r="G599" s="5" t="s">
        <v>84</v>
      </c>
      <c r="H599" s="6" t="s">
        <v>108</v>
      </c>
      <c r="I599" s="6" t="s">
        <v>3576</v>
      </c>
      <c r="J599" s="6" t="s">
        <v>3577</v>
      </c>
      <c r="K599" s="6"/>
      <c r="L599" s="6"/>
      <c r="M599" s="6" t="s">
        <v>88</v>
      </c>
      <c r="N599" s="6" t="s">
        <v>89</v>
      </c>
      <c r="O599" s="6" t="s">
        <v>6628</v>
      </c>
      <c r="P599" s="6" t="s">
        <v>3649</v>
      </c>
      <c r="Q599" s="6"/>
      <c r="R599" s="82" t="s">
        <v>91</v>
      </c>
      <c r="S599" s="5" t="s">
        <v>92</v>
      </c>
      <c r="T599" s="5" t="s">
        <v>6671</v>
      </c>
      <c r="U599" s="91">
        <v>100</v>
      </c>
      <c r="V599" s="5" t="s">
        <v>94</v>
      </c>
      <c r="W599" s="5" t="s">
        <v>97</v>
      </c>
      <c r="X599" s="5">
        <v>2025</v>
      </c>
      <c r="Y599" s="5" t="s">
        <v>117</v>
      </c>
      <c r="Z599" s="5" t="s">
        <v>108</v>
      </c>
      <c r="AA599" s="5" t="s">
        <v>108</v>
      </c>
      <c r="AB599" s="6" t="s">
        <v>99</v>
      </c>
      <c r="AC599" s="6" t="s">
        <v>6678</v>
      </c>
      <c r="AD599" s="6" t="s">
        <v>6673</v>
      </c>
      <c r="AE599" s="49" t="s">
        <v>7467</v>
      </c>
      <c r="AF599" s="49" t="s">
        <v>7467</v>
      </c>
      <c r="AG599" s="49" t="s">
        <v>6554</v>
      </c>
      <c r="AH599" s="49" t="s">
        <v>6554</v>
      </c>
      <c r="AI599" s="49" t="s">
        <v>6651</v>
      </c>
      <c r="AJ599" s="6" t="s">
        <v>6651</v>
      </c>
      <c r="AK599" s="6"/>
      <c r="AL599" s="6" t="s">
        <v>6674</v>
      </c>
      <c r="AM599" s="5"/>
      <c r="AN599" s="6"/>
      <c r="AO599" s="6"/>
      <c r="AP599" s="6"/>
      <c r="AQ599" s="33" t="s">
        <v>6636</v>
      </c>
      <c r="AR599" s="20" t="s">
        <v>97</v>
      </c>
      <c r="AS599" s="20" t="s">
        <v>107</v>
      </c>
      <c r="AT599" s="20"/>
      <c r="AU599" s="24">
        <v>0.5</v>
      </c>
      <c r="AV599" s="24">
        <f t="shared" si="124"/>
        <v>0.4</v>
      </c>
      <c r="AW599" s="24">
        <f t="shared" si="125"/>
        <v>0.3</v>
      </c>
      <c r="AX599" s="25">
        <v>1E-4</v>
      </c>
      <c r="AY599" s="24">
        <v>0</v>
      </c>
      <c r="AZ599" s="24">
        <f t="shared" si="126"/>
        <v>0.45</v>
      </c>
      <c r="BA599" s="24">
        <f t="shared" si="127"/>
        <v>0.36000000000000004</v>
      </c>
      <c r="BB599" s="24">
        <f t="shared" si="128"/>
        <v>0.27</v>
      </c>
      <c r="BC599" s="25">
        <v>1E-4</v>
      </c>
      <c r="BD599" s="24">
        <v>0</v>
      </c>
      <c r="BE599" s="26">
        <v>0</v>
      </c>
      <c r="BF599" s="34">
        <f t="shared" si="121"/>
        <v>0</v>
      </c>
      <c r="BG599" s="34">
        <f t="shared" si="122"/>
        <v>0</v>
      </c>
      <c r="BH599" s="26">
        <v>0</v>
      </c>
      <c r="BI599" s="26">
        <v>0</v>
      </c>
      <c r="BJ599" s="20"/>
      <c r="BK599" s="27"/>
      <c r="BL599" s="27"/>
      <c r="BM599" s="27" t="s">
        <v>1176</v>
      </c>
      <c r="BN599" s="26"/>
      <c r="BO599" s="34"/>
      <c r="BP599" s="34"/>
      <c r="BQ599" s="34"/>
      <c r="BR599" s="34"/>
      <c r="BS599" s="34"/>
      <c r="BT599" s="34"/>
      <c r="BU599" s="34"/>
      <c r="BV599" s="34"/>
      <c r="BW599" s="34"/>
      <c r="BX599" s="34"/>
      <c r="BY599" s="34"/>
      <c r="BZ599" s="34"/>
      <c r="CA599" s="20"/>
      <c r="CB599" s="19"/>
      <c r="CC599" s="29">
        <v>46003</v>
      </c>
      <c r="CD599" s="35" t="s">
        <v>6560</v>
      </c>
    </row>
    <row r="600" spans="1:82" ht="66.75" customHeight="1" x14ac:dyDescent="0.25">
      <c r="A600" s="87">
        <v>596</v>
      </c>
      <c r="B600" s="141" t="s">
        <v>6679</v>
      </c>
      <c r="C600" s="6" t="s">
        <v>6680</v>
      </c>
      <c r="D600" s="6" t="s">
        <v>6681</v>
      </c>
      <c r="E600" s="75" t="s">
        <v>113</v>
      </c>
      <c r="F600" s="4" t="s">
        <v>4197</v>
      </c>
      <c r="G600" s="5" t="s">
        <v>84</v>
      </c>
      <c r="H600" s="6" t="s">
        <v>108</v>
      </c>
      <c r="I600" s="6" t="s">
        <v>3649</v>
      </c>
      <c r="J600" s="6"/>
      <c r="K600" s="6"/>
      <c r="L600" s="6"/>
      <c r="M600" s="6" t="s">
        <v>88</v>
      </c>
      <c r="N600" s="6" t="s">
        <v>89</v>
      </c>
      <c r="O600" s="6" t="s">
        <v>6528</v>
      </c>
      <c r="P600" s="6" t="s">
        <v>3649</v>
      </c>
      <c r="Q600" s="6"/>
      <c r="R600" s="82" t="s">
        <v>175</v>
      </c>
      <c r="S600" s="5" t="s">
        <v>4201</v>
      </c>
      <c r="T600" s="5" t="s">
        <v>93</v>
      </c>
      <c r="U600" s="91">
        <v>100</v>
      </c>
      <c r="V600" s="5" t="s">
        <v>108</v>
      </c>
      <c r="W600" s="5" t="s">
        <v>95</v>
      </c>
      <c r="X600" s="5">
        <v>2025</v>
      </c>
      <c r="Y600" s="5" t="s">
        <v>117</v>
      </c>
      <c r="Z600" s="5" t="s">
        <v>108</v>
      </c>
      <c r="AA600" s="5" t="s">
        <v>108</v>
      </c>
      <c r="AB600" s="6" t="s">
        <v>99</v>
      </c>
      <c r="AC600" s="6" t="s">
        <v>6682</v>
      </c>
      <c r="AD600" s="6" t="s">
        <v>6683</v>
      </c>
      <c r="AE600" s="49" t="s">
        <v>6684</v>
      </c>
      <c r="AF600" s="49" t="s">
        <v>6685</v>
      </c>
      <c r="AG600" s="49" t="s">
        <v>6686</v>
      </c>
      <c r="AH600" s="49" t="s">
        <v>6686</v>
      </c>
      <c r="AI600" s="49" t="s">
        <v>85</v>
      </c>
      <c r="AJ600" s="49" t="s">
        <v>85</v>
      </c>
      <c r="AK600" s="49"/>
      <c r="AL600" s="49"/>
      <c r="AM600" s="5"/>
      <c r="AN600" s="6"/>
      <c r="AO600" s="6"/>
      <c r="AP600" s="6"/>
      <c r="AQ600" s="33" t="s">
        <v>4268</v>
      </c>
      <c r="AR600" s="20" t="s">
        <v>97</v>
      </c>
      <c r="AS600" s="20" t="s">
        <v>107</v>
      </c>
      <c r="AT600" s="20"/>
      <c r="AU600" s="24">
        <v>0.9</v>
      </c>
      <c r="AV600" s="24">
        <f t="shared" si="124"/>
        <v>0.72000000000000008</v>
      </c>
      <c r="AW600" s="24">
        <f t="shared" si="125"/>
        <v>0.54</v>
      </c>
      <c r="AX600" s="25">
        <v>1E-4</v>
      </c>
      <c r="AY600" s="24">
        <v>0</v>
      </c>
      <c r="AZ600" s="24">
        <f t="shared" si="126"/>
        <v>0.81</v>
      </c>
      <c r="BA600" s="24">
        <f t="shared" si="127"/>
        <v>0.64800000000000013</v>
      </c>
      <c r="BB600" s="24">
        <f t="shared" si="128"/>
        <v>0.48599999999999999</v>
      </c>
      <c r="BC600" s="25">
        <v>1E-4</v>
      </c>
      <c r="BD600" s="24">
        <v>0</v>
      </c>
      <c r="BE600" s="26">
        <v>0</v>
      </c>
      <c r="BF600" s="34">
        <f t="shared" si="121"/>
        <v>0</v>
      </c>
      <c r="BG600" s="34">
        <f t="shared" si="122"/>
        <v>0</v>
      </c>
      <c r="BH600" s="26">
        <v>0</v>
      </c>
      <c r="BI600" s="26">
        <v>0</v>
      </c>
      <c r="BJ600" s="20" t="s">
        <v>84</v>
      </c>
      <c r="BK600" s="27" t="s">
        <v>84</v>
      </c>
      <c r="BL600" s="27"/>
      <c r="BM600" s="27" t="s">
        <v>6687</v>
      </c>
      <c r="BN600" s="26"/>
      <c r="BO600" s="34"/>
      <c r="BP600" s="34"/>
      <c r="BQ600" s="34"/>
      <c r="BR600" s="34"/>
      <c r="BS600" s="34"/>
      <c r="BT600" s="34"/>
      <c r="BU600" s="34"/>
      <c r="BV600" s="34"/>
      <c r="BW600" s="34"/>
      <c r="BX600" s="34"/>
      <c r="BY600" s="34"/>
      <c r="BZ600" s="34"/>
      <c r="CA600" s="20"/>
      <c r="CB600" s="19"/>
      <c r="CC600" s="29">
        <v>46003</v>
      </c>
      <c r="CD600" s="35" t="s">
        <v>5189</v>
      </c>
    </row>
    <row r="601" spans="1:82" ht="96" customHeight="1" x14ac:dyDescent="0.25">
      <c r="A601" s="121">
        <v>597</v>
      </c>
      <c r="B601" s="141" t="s">
        <v>6688</v>
      </c>
      <c r="C601" s="6" t="s">
        <v>6689</v>
      </c>
      <c r="D601" s="6" t="s">
        <v>6690</v>
      </c>
      <c r="E601" s="75" t="s">
        <v>174</v>
      </c>
      <c r="F601" s="4" t="s">
        <v>4197</v>
      </c>
      <c r="G601" s="5" t="s">
        <v>84</v>
      </c>
      <c r="H601" s="6" t="s">
        <v>108</v>
      </c>
      <c r="I601" s="6" t="s">
        <v>3649</v>
      </c>
      <c r="J601" s="6"/>
      <c r="K601" s="6"/>
      <c r="L601" s="6"/>
      <c r="M601" s="6" t="s">
        <v>88</v>
      </c>
      <c r="N601" s="6" t="s">
        <v>89</v>
      </c>
      <c r="O601" s="6" t="s">
        <v>6528</v>
      </c>
      <c r="P601" s="6" t="s">
        <v>3649</v>
      </c>
      <c r="Q601" s="6"/>
      <c r="R601" s="82" t="s">
        <v>175</v>
      </c>
      <c r="S601" s="5" t="s">
        <v>4201</v>
      </c>
      <c r="T601" s="5" t="s">
        <v>93</v>
      </c>
      <c r="U601" s="91">
        <v>100</v>
      </c>
      <c r="V601" s="5" t="s">
        <v>108</v>
      </c>
      <c r="W601" s="5" t="s">
        <v>95</v>
      </c>
      <c r="X601" s="5">
        <v>2025</v>
      </c>
      <c r="Y601" s="5" t="s">
        <v>117</v>
      </c>
      <c r="Z601" s="5" t="s">
        <v>108</v>
      </c>
      <c r="AA601" s="5" t="s">
        <v>108</v>
      </c>
      <c r="AB601" s="6" t="s">
        <v>99</v>
      </c>
      <c r="AC601" s="6" t="s">
        <v>6691</v>
      </c>
      <c r="AD601" s="6" t="s">
        <v>6692</v>
      </c>
      <c r="AE601" s="49" t="s">
        <v>6684</v>
      </c>
      <c r="AF601" s="49" t="s">
        <v>6693</v>
      </c>
      <c r="AG601" s="49" t="s">
        <v>667</v>
      </c>
      <c r="AH601" s="6" t="s">
        <v>6694</v>
      </c>
      <c r="AI601" s="49" t="s">
        <v>85</v>
      </c>
      <c r="AJ601" s="49" t="s">
        <v>85</v>
      </c>
      <c r="AK601" s="49"/>
      <c r="AL601" s="49"/>
      <c r="AM601" s="5"/>
      <c r="AN601" s="6"/>
      <c r="AO601" s="6"/>
      <c r="AP601" s="6"/>
      <c r="AQ601" s="33" t="s">
        <v>4268</v>
      </c>
      <c r="AR601" s="20" t="s">
        <v>97</v>
      </c>
      <c r="AS601" s="20" t="s">
        <v>107</v>
      </c>
      <c r="AT601" s="20"/>
      <c r="AU601" s="24">
        <v>0.9</v>
      </c>
      <c r="AV601" s="24">
        <f t="shared" si="124"/>
        <v>0.72000000000000008</v>
      </c>
      <c r="AW601" s="24">
        <f t="shared" si="125"/>
        <v>0.54</v>
      </c>
      <c r="AX601" s="25">
        <v>1E-4</v>
      </c>
      <c r="AY601" s="24">
        <v>0</v>
      </c>
      <c r="AZ601" s="24">
        <f t="shared" si="126"/>
        <v>0.81</v>
      </c>
      <c r="BA601" s="24">
        <f t="shared" si="127"/>
        <v>0.64800000000000013</v>
      </c>
      <c r="BB601" s="24">
        <f t="shared" si="128"/>
        <v>0.48599999999999999</v>
      </c>
      <c r="BC601" s="25">
        <v>1E-4</v>
      </c>
      <c r="BD601" s="24">
        <v>0</v>
      </c>
      <c r="BE601" s="34">
        <v>40</v>
      </c>
      <c r="BF601" s="34">
        <f t="shared" si="121"/>
        <v>32</v>
      </c>
      <c r="BG601" s="34">
        <f t="shared" si="122"/>
        <v>24</v>
      </c>
      <c r="BH601" s="26">
        <v>1</v>
      </c>
      <c r="BI601" s="34">
        <v>0</v>
      </c>
      <c r="BJ601" s="20" t="s">
        <v>84</v>
      </c>
      <c r="BK601" s="27" t="s">
        <v>84</v>
      </c>
      <c r="BL601" s="27" t="s">
        <v>84</v>
      </c>
      <c r="BM601" s="27" t="s">
        <v>1176</v>
      </c>
      <c r="BN601" s="26"/>
      <c r="BO601" s="34"/>
      <c r="BP601" s="34"/>
      <c r="BQ601" s="34"/>
      <c r="BR601" s="34"/>
      <c r="BS601" s="34"/>
      <c r="BT601" s="34"/>
      <c r="BU601" s="34"/>
      <c r="BV601" s="34"/>
      <c r="BW601" s="34"/>
      <c r="BX601" s="34"/>
      <c r="BY601" s="34"/>
      <c r="BZ601" s="34"/>
      <c r="CA601" s="20"/>
      <c r="CB601" s="19"/>
      <c r="CC601" s="29">
        <v>46003</v>
      </c>
      <c r="CD601" s="35" t="s">
        <v>6695</v>
      </c>
    </row>
    <row r="602" spans="1:82" ht="135" customHeight="1" x14ac:dyDescent="0.25">
      <c r="A602" s="87">
        <v>598</v>
      </c>
      <c r="B602" s="142" t="s">
        <v>6696</v>
      </c>
      <c r="C602" s="2" t="s">
        <v>6697</v>
      </c>
      <c r="D602" s="2" t="s">
        <v>6698</v>
      </c>
      <c r="E602" s="75" t="s">
        <v>113</v>
      </c>
      <c r="F602" s="12" t="s">
        <v>81</v>
      </c>
      <c r="G602" s="7" t="s">
        <v>84</v>
      </c>
      <c r="H602" s="2" t="s">
        <v>108</v>
      </c>
      <c r="I602" s="2" t="s">
        <v>3649</v>
      </c>
      <c r="J602" s="2"/>
      <c r="K602" s="2"/>
      <c r="L602" s="2"/>
      <c r="M602" s="2" t="s">
        <v>88</v>
      </c>
      <c r="N602" s="2" t="s">
        <v>89</v>
      </c>
      <c r="O602" s="2" t="s">
        <v>6528</v>
      </c>
      <c r="P602" s="2" t="s">
        <v>3649</v>
      </c>
      <c r="Q602" s="2"/>
      <c r="R602" s="11" t="s">
        <v>175</v>
      </c>
      <c r="S602" s="5" t="s">
        <v>4201</v>
      </c>
      <c r="T602" s="7" t="s">
        <v>93</v>
      </c>
      <c r="U602" s="181">
        <v>100</v>
      </c>
      <c r="V602" s="7" t="s">
        <v>108</v>
      </c>
      <c r="W602" s="7" t="s">
        <v>95</v>
      </c>
      <c r="X602" s="7">
        <v>2025</v>
      </c>
      <c r="Y602" s="5" t="s">
        <v>117</v>
      </c>
      <c r="Z602" s="7" t="s">
        <v>108</v>
      </c>
      <c r="AA602" s="7" t="s">
        <v>108</v>
      </c>
      <c r="AB602" s="2" t="s">
        <v>99</v>
      </c>
      <c r="AC602" s="2" t="s">
        <v>6699</v>
      </c>
      <c r="AD602" s="2" t="s">
        <v>6683</v>
      </c>
      <c r="AE602" s="14" t="s">
        <v>6700</v>
      </c>
      <c r="AF602" s="14" t="s">
        <v>4267</v>
      </c>
      <c r="AG602" s="21" t="s">
        <v>6701</v>
      </c>
      <c r="AH602" s="21" t="s">
        <v>6701</v>
      </c>
      <c r="AI602" s="21" t="s">
        <v>85</v>
      </c>
      <c r="AJ602" s="21" t="s">
        <v>85</v>
      </c>
      <c r="AK602" s="21"/>
      <c r="AL602" s="21"/>
      <c r="AM602" s="7"/>
      <c r="AN602" s="2"/>
      <c r="AO602" s="14" t="s">
        <v>6700</v>
      </c>
      <c r="AP602" s="14" t="s">
        <v>4267</v>
      </c>
      <c r="AQ602" s="20" t="s">
        <v>4268</v>
      </c>
      <c r="AR602" s="20" t="s">
        <v>97</v>
      </c>
      <c r="AS602" s="20" t="s">
        <v>107</v>
      </c>
      <c r="AT602" s="20"/>
      <c r="AU602" s="24">
        <v>0.9</v>
      </c>
      <c r="AV602" s="24">
        <f t="shared" si="124"/>
        <v>0.72000000000000008</v>
      </c>
      <c r="AW602" s="24">
        <f t="shared" si="125"/>
        <v>0.54</v>
      </c>
      <c r="AX602" s="25">
        <v>1E-4</v>
      </c>
      <c r="AY602" s="24">
        <v>0</v>
      </c>
      <c r="AZ602" s="24">
        <f t="shared" si="126"/>
        <v>0.81</v>
      </c>
      <c r="BA602" s="24">
        <f t="shared" si="127"/>
        <v>0.64800000000000013</v>
      </c>
      <c r="BB602" s="24">
        <f t="shared" si="128"/>
        <v>0.48599999999999999</v>
      </c>
      <c r="BC602" s="25">
        <v>1E-4</v>
      </c>
      <c r="BD602" s="24">
        <v>0</v>
      </c>
      <c r="BE602" s="26">
        <v>0</v>
      </c>
      <c r="BF602" s="34">
        <f t="shared" si="121"/>
        <v>0</v>
      </c>
      <c r="BG602" s="34">
        <f t="shared" si="122"/>
        <v>0</v>
      </c>
      <c r="BH602" s="26">
        <v>0</v>
      </c>
      <c r="BI602" s="26">
        <v>0</v>
      </c>
      <c r="BJ602" s="20" t="s">
        <v>84</v>
      </c>
      <c r="BK602" s="27" t="s">
        <v>84</v>
      </c>
      <c r="BL602" s="27"/>
      <c r="BM602" s="27" t="s">
        <v>1176</v>
      </c>
      <c r="BN602" s="26"/>
      <c r="BO602" s="34"/>
      <c r="BP602" s="34"/>
      <c r="BQ602" s="34"/>
      <c r="BR602" s="34"/>
      <c r="BS602" s="34"/>
      <c r="BT602" s="34"/>
      <c r="BU602" s="34"/>
      <c r="BV602" s="34"/>
      <c r="BW602" s="34"/>
      <c r="BX602" s="34"/>
      <c r="BY602" s="34"/>
      <c r="BZ602" s="34"/>
      <c r="CA602" s="20"/>
      <c r="CB602" s="33"/>
      <c r="CC602" s="46">
        <v>46003</v>
      </c>
      <c r="CD602" s="40" t="s">
        <v>6702</v>
      </c>
    </row>
    <row r="603" spans="1:82" ht="66.75" customHeight="1" x14ac:dyDescent="0.25">
      <c r="A603" s="87">
        <v>599</v>
      </c>
      <c r="B603" s="141" t="s">
        <v>6703</v>
      </c>
      <c r="C603" s="6" t="s">
        <v>6704</v>
      </c>
      <c r="D603" s="6" t="s">
        <v>6705</v>
      </c>
      <c r="E603" s="75" t="s">
        <v>174</v>
      </c>
      <c r="F603" s="4" t="s">
        <v>4197</v>
      </c>
      <c r="G603" s="5" t="s">
        <v>84</v>
      </c>
      <c r="H603" s="6" t="s">
        <v>108</v>
      </c>
      <c r="I603" s="6" t="s">
        <v>3649</v>
      </c>
      <c r="J603" s="6"/>
      <c r="K603" s="6"/>
      <c r="L603" s="6"/>
      <c r="M603" s="6" t="s">
        <v>88</v>
      </c>
      <c r="N603" s="6" t="s">
        <v>89</v>
      </c>
      <c r="O603" s="6" t="s">
        <v>6528</v>
      </c>
      <c r="P603" s="6" t="s">
        <v>3649</v>
      </c>
      <c r="Q603" s="6"/>
      <c r="R603" s="82" t="s">
        <v>175</v>
      </c>
      <c r="S603" s="5" t="s">
        <v>4201</v>
      </c>
      <c r="T603" s="5" t="s">
        <v>93</v>
      </c>
      <c r="U603" s="91">
        <v>100</v>
      </c>
      <c r="V603" s="5" t="s">
        <v>108</v>
      </c>
      <c r="W603" s="5" t="s">
        <v>95</v>
      </c>
      <c r="X603" s="5">
        <v>2025</v>
      </c>
      <c r="Y603" s="5" t="s">
        <v>117</v>
      </c>
      <c r="Z603" s="5" t="s">
        <v>108</v>
      </c>
      <c r="AA603" s="5" t="s">
        <v>108</v>
      </c>
      <c r="AB603" s="6" t="s">
        <v>99</v>
      </c>
      <c r="AC603" s="6" t="s">
        <v>6706</v>
      </c>
      <c r="AD603" s="49" t="s">
        <v>6707</v>
      </c>
      <c r="AE603" s="49" t="s">
        <v>6708</v>
      </c>
      <c r="AF603" s="49" t="s">
        <v>6709</v>
      </c>
      <c r="AG603" s="49" t="s">
        <v>6701</v>
      </c>
      <c r="AH603" s="49" t="s">
        <v>6701</v>
      </c>
      <c r="AI603" s="49" t="s">
        <v>85</v>
      </c>
      <c r="AJ603" s="49" t="s">
        <v>85</v>
      </c>
      <c r="AK603" s="49"/>
      <c r="AL603" s="49"/>
      <c r="AM603" s="5"/>
      <c r="AN603" s="6"/>
      <c r="AO603" s="6"/>
      <c r="AP603" s="6"/>
      <c r="AQ603" s="33" t="s">
        <v>4268</v>
      </c>
      <c r="AR603" s="20" t="s">
        <v>97</v>
      </c>
      <c r="AS603" s="20" t="s">
        <v>107</v>
      </c>
      <c r="AT603" s="20"/>
      <c r="AU603" s="24">
        <v>0.8</v>
      </c>
      <c r="AV603" s="24">
        <f t="shared" si="124"/>
        <v>0.64000000000000012</v>
      </c>
      <c r="AW603" s="24">
        <f t="shared" si="125"/>
        <v>0.48</v>
      </c>
      <c r="AX603" s="25">
        <v>1E-4</v>
      </c>
      <c r="AY603" s="24">
        <v>0</v>
      </c>
      <c r="AZ603" s="24">
        <f t="shared" si="126"/>
        <v>0.72000000000000008</v>
      </c>
      <c r="BA603" s="24">
        <f t="shared" si="127"/>
        <v>0.57600000000000007</v>
      </c>
      <c r="BB603" s="24">
        <f t="shared" si="128"/>
        <v>0.43200000000000005</v>
      </c>
      <c r="BC603" s="25">
        <v>1E-4</v>
      </c>
      <c r="BD603" s="24">
        <v>0</v>
      </c>
      <c r="BE603" s="26">
        <v>20</v>
      </c>
      <c r="BF603" s="34">
        <f t="shared" si="121"/>
        <v>16</v>
      </c>
      <c r="BG603" s="34">
        <f t="shared" si="122"/>
        <v>12</v>
      </c>
      <c r="BH603" s="26">
        <v>1</v>
      </c>
      <c r="BI603" s="26">
        <v>0</v>
      </c>
      <c r="BJ603" s="20" t="s">
        <v>84</v>
      </c>
      <c r="BK603" s="27" t="s">
        <v>84</v>
      </c>
      <c r="BL603" s="27"/>
      <c r="BM603" s="27" t="s">
        <v>1176</v>
      </c>
      <c r="BN603" s="26"/>
      <c r="BO603" s="34"/>
      <c r="BP603" s="34"/>
      <c r="BQ603" s="34"/>
      <c r="BR603" s="34"/>
      <c r="BS603" s="34"/>
      <c r="BT603" s="34"/>
      <c r="BU603" s="34"/>
      <c r="BV603" s="34"/>
      <c r="BW603" s="34"/>
      <c r="BX603" s="34"/>
      <c r="BY603" s="34"/>
      <c r="BZ603" s="34"/>
      <c r="CA603" s="20"/>
      <c r="CB603" s="19"/>
      <c r="CC603" s="46">
        <v>46006</v>
      </c>
      <c r="CD603" s="35" t="s">
        <v>6710</v>
      </c>
    </row>
    <row r="604" spans="1:82" ht="66.75" customHeight="1" x14ac:dyDescent="0.25">
      <c r="A604" s="121">
        <v>600</v>
      </c>
      <c r="B604" s="142" t="s">
        <v>6711</v>
      </c>
      <c r="C604" s="2" t="s">
        <v>6712</v>
      </c>
      <c r="D604" s="2" t="s">
        <v>6713</v>
      </c>
      <c r="E604" s="75" t="s">
        <v>113</v>
      </c>
      <c r="F604" s="12" t="s">
        <v>4197</v>
      </c>
      <c r="G604" s="7" t="s">
        <v>84</v>
      </c>
      <c r="H604" s="2" t="s">
        <v>108</v>
      </c>
      <c r="I604" s="2" t="s">
        <v>3649</v>
      </c>
      <c r="J604" s="2"/>
      <c r="K604" s="2"/>
      <c r="L604" s="2"/>
      <c r="M604" s="2" t="s">
        <v>88</v>
      </c>
      <c r="N604" s="2" t="s">
        <v>89</v>
      </c>
      <c r="O604" s="2" t="s">
        <v>6714</v>
      </c>
      <c r="P604" s="2" t="s">
        <v>3649</v>
      </c>
      <c r="Q604" s="2"/>
      <c r="R604" s="11" t="s">
        <v>175</v>
      </c>
      <c r="S604" s="5" t="s">
        <v>4201</v>
      </c>
      <c r="T604" s="7" t="s">
        <v>93</v>
      </c>
      <c r="U604" s="181">
        <v>100</v>
      </c>
      <c r="V604" s="7" t="s">
        <v>108</v>
      </c>
      <c r="W604" s="7" t="s">
        <v>95</v>
      </c>
      <c r="X604" s="7">
        <v>2025</v>
      </c>
      <c r="Y604" s="5" t="s">
        <v>117</v>
      </c>
      <c r="Z604" s="7" t="s">
        <v>108</v>
      </c>
      <c r="AA604" s="7" t="s">
        <v>108</v>
      </c>
      <c r="AB604" s="2" t="s">
        <v>99</v>
      </c>
      <c r="AC604" s="2" t="s">
        <v>6715</v>
      </c>
      <c r="AD604" s="2" t="s">
        <v>7410</v>
      </c>
      <c r="AE604" s="14" t="s">
        <v>6721</v>
      </c>
      <c r="AF604" s="14" t="s">
        <v>4267</v>
      </c>
      <c r="AG604" s="21" t="s">
        <v>178</v>
      </c>
      <c r="AH604" s="21" t="s">
        <v>178</v>
      </c>
      <c r="AI604" s="21" t="s">
        <v>85</v>
      </c>
      <c r="AJ604" s="21" t="s">
        <v>85</v>
      </c>
      <c r="AK604" s="21"/>
      <c r="AL604" s="21"/>
      <c r="AM604" s="39" t="s">
        <v>6531</v>
      </c>
      <c r="AN604" s="2"/>
      <c r="AO604" s="14" t="s">
        <v>6716</v>
      </c>
      <c r="AP604" s="14" t="s">
        <v>4267</v>
      </c>
      <c r="AQ604" s="20" t="s">
        <v>4268</v>
      </c>
      <c r="AR604" s="20" t="s">
        <v>97</v>
      </c>
      <c r="AS604" s="20" t="s">
        <v>107</v>
      </c>
      <c r="AT604" s="20"/>
      <c r="AU604" s="24">
        <v>0.9</v>
      </c>
      <c r="AV604" s="24">
        <f t="shared" si="124"/>
        <v>0.72000000000000008</v>
      </c>
      <c r="AW604" s="24">
        <f t="shared" si="125"/>
        <v>0.54</v>
      </c>
      <c r="AX604" s="25">
        <v>1E-4</v>
      </c>
      <c r="AY604" s="24">
        <v>0</v>
      </c>
      <c r="AZ604" s="24">
        <f t="shared" si="126"/>
        <v>0.81</v>
      </c>
      <c r="BA604" s="24">
        <f t="shared" si="127"/>
        <v>0.64800000000000013</v>
      </c>
      <c r="BB604" s="24">
        <f t="shared" si="128"/>
        <v>0.48599999999999999</v>
      </c>
      <c r="BC604" s="25">
        <v>1E-4</v>
      </c>
      <c r="BD604" s="24">
        <v>0</v>
      </c>
      <c r="BE604" s="26">
        <v>0</v>
      </c>
      <c r="BF604" s="34">
        <f t="shared" si="121"/>
        <v>0</v>
      </c>
      <c r="BG604" s="34">
        <f t="shared" si="122"/>
        <v>0</v>
      </c>
      <c r="BH604" s="26">
        <v>0</v>
      </c>
      <c r="BI604" s="26">
        <v>0</v>
      </c>
      <c r="BJ604" s="20" t="s">
        <v>84</v>
      </c>
      <c r="BK604" s="27" t="s">
        <v>84</v>
      </c>
      <c r="BL604" s="27" t="s">
        <v>84</v>
      </c>
      <c r="BM604" s="27" t="s">
        <v>1176</v>
      </c>
      <c r="BN604" s="26"/>
      <c r="BO604" s="34"/>
      <c r="BP604" s="34"/>
      <c r="BQ604" s="34"/>
      <c r="BR604" s="34"/>
      <c r="BS604" s="34"/>
      <c r="BT604" s="34"/>
      <c r="BU604" s="34"/>
      <c r="BV604" s="34"/>
      <c r="BW604" s="34"/>
      <c r="BX604" s="34"/>
      <c r="BY604" s="34"/>
      <c r="BZ604" s="34"/>
      <c r="CA604" s="20"/>
      <c r="CB604" s="33"/>
      <c r="CC604" s="46">
        <v>46003</v>
      </c>
      <c r="CD604" s="40" t="s">
        <v>6717</v>
      </c>
    </row>
    <row r="605" spans="1:82" ht="66.75" customHeight="1" x14ac:dyDescent="0.25">
      <c r="A605" s="87">
        <v>601</v>
      </c>
      <c r="B605" s="145" t="s">
        <v>6718</v>
      </c>
      <c r="C605" s="6" t="s">
        <v>6719</v>
      </c>
      <c r="D605" s="2" t="s">
        <v>6720</v>
      </c>
      <c r="E605" s="75" t="s">
        <v>174</v>
      </c>
      <c r="F605" s="12" t="s">
        <v>4197</v>
      </c>
      <c r="G605" s="7" t="s">
        <v>84</v>
      </c>
      <c r="H605" s="2" t="s">
        <v>108</v>
      </c>
      <c r="I605" s="2" t="s">
        <v>3649</v>
      </c>
      <c r="J605" s="2"/>
      <c r="K605" s="2"/>
      <c r="L605" s="2"/>
      <c r="M605" s="2" t="s">
        <v>88</v>
      </c>
      <c r="N605" s="2" t="s">
        <v>89</v>
      </c>
      <c r="O605" s="2" t="s">
        <v>6714</v>
      </c>
      <c r="P605" s="2" t="s">
        <v>3649</v>
      </c>
      <c r="Q605" s="2"/>
      <c r="R605" s="11" t="s">
        <v>175</v>
      </c>
      <c r="S605" s="5" t="s">
        <v>4201</v>
      </c>
      <c r="T605" s="7" t="s">
        <v>93</v>
      </c>
      <c r="U605" s="181">
        <v>100</v>
      </c>
      <c r="V605" s="7" t="s">
        <v>108</v>
      </c>
      <c r="W605" s="7" t="s">
        <v>95</v>
      </c>
      <c r="X605" s="7">
        <v>2025</v>
      </c>
      <c r="Y605" s="5" t="s">
        <v>117</v>
      </c>
      <c r="Z605" s="7" t="s">
        <v>108</v>
      </c>
      <c r="AA605" s="7" t="s">
        <v>108</v>
      </c>
      <c r="AB605" s="2" t="s">
        <v>99</v>
      </c>
      <c r="AC605" s="14" t="s">
        <v>7412</v>
      </c>
      <c r="AD605" s="14" t="s">
        <v>7411</v>
      </c>
      <c r="AE605" s="14" t="s">
        <v>6721</v>
      </c>
      <c r="AF605" s="14" t="s">
        <v>4267</v>
      </c>
      <c r="AG605" s="21" t="s">
        <v>667</v>
      </c>
      <c r="AH605" s="21" t="s">
        <v>667</v>
      </c>
      <c r="AI605" s="21" t="s">
        <v>85</v>
      </c>
      <c r="AJ605" s="21" t="s">
        <v>85</v>
      </c>
      <c r="AK605" s="21"/>
      <c r="AL605" s="21"/>
      <c r="AM605" s="39" t="s">
        <v>6531</v>
      </c>
      <c r="AN605" s="2"/>
      <c r="AO605" s="14" t="s">
        <v>6721</v>
      </c>
      <c r="AP605" s="14" t="s">
        <v>4267</v>
      </c>
      <c r="AQ605" s="20" t="s">
        <v>4268</v>
      </c>
      <c r="AR605" s="20" t="s">
        <v>97</v>
      </c>
      <c r="AS605" s="20" t="s">
        <v>107</v>
      </c>
      <c r="AT605" s="20"/>
      <c r="AU605" s="24">
        <v>0.9</v>
      </c>
      <c r="AV605" s="24">
        <f t="shared" si="124"/>
        <v>0.72000000000000008</v>
      </c>
      <c r="AW605" s="24">
        <f t="shared" si="125"/>
        <v>0.54</v>
      </c>
      <c r="AX605" s="25">
        <v>1E-4</v>
      </c>
      <c r="AY605" s="24">
        <v>0</v>
      </c>
      <c r="AZ605" s="24">
        <f t="shared" si="126"/>
        <v>0.81</v>
      </c>
      <c r="BA605" s="24">
        <f t="shared" si="127"/>
        <v>0.64800000000000013</v>
      </c>
      <c r="BB605" s="24">
        <f t="shared" si="128"/>
        <v>0.48599999999999999</v>
      </c>
      <c r="BC605" s="25">
        <v>1E-4</v>
      </c>
      <c r="BD605" s="24">
        <v>0</v>
      </c>
      <c r="BE605" s="34">
        <v>20</v>
      </c>
      <c r="BF605" s="34">
        <f t="shared" si="121"/>
        <v>16</v>
      </c>
      <c r="BG605" s="34">
        <f t="shared" si="122"/>
        <v>12</v>
      </c>
      <c r="BH605" s="26">
        <v>1</v>
      </c>
      <c r="BI605" s="34">
        <v>0</v>
      </c>
      <c r="BJ605" s="20" t="s">
        <v>84</v>
      </c>
      <c r="BK605" s="27" t="s">
        <v>84</v>
      </c>
      <c r="BL605" s="27"/>
      <c r="BM605" s="105">
        <v>0.64</v>
      </c>
      <c r="BN605" s="26"/>
      <c r="BO605" s="34"/>
      <c r="BP605" s="34"/>
      <c r="BQ605" s="34"/>
      <c r="BR605" s="34"/>
      <c r="BS605" s="34"/>
      <c r="BT605" s="34"/>
      <c r="BU605" s="34"/>
      <c r="BV605" s="34"/>
      <c r="BW605" s="34"/>
      <c r="BX605" s="34"/>
      <c r="BY605" s="34"/>
      <c r="BZ605" s="34"/>
      <c r="CA605" s="20"/>
      <c r="CB605" s="33"/>
      <c r="CC605" s="46">
        <v>46003</v>
      </c>
      <c r="CD605" s="40" t="s">
        <v>6722</v>
      </c>
    </row>
    <row r="606" spans="1:82" ht="66.75" customHeight="1" x14ac:dyDescent="0.25">
      <c r="A606" s="87">
        <v>602</v>
      </c>
      <c r="B606" s="144" t="s">
        <v>6723</v>
      </c>
      <c r="C606" s="11" t="s">
        <v>6724</v>
      </c>
      <c r="D606" s="42" t="s">
        <v>6725</v>
      </c>
      <c r="E606" s="75" t="s">
        <v>174</v>
      </c>
      <c r="F606" s="12" t="s">
        <v>4197</v>
      </c>
      <c r="G606" s="7" t="s">
        <v>84</v>
      </c>
      <c r="H606" s="2" t="s">
        <v>775</v>
      </c>
      <c r="I606" s="90" t="s">
        <v>4198</v>
      </c>
      <c r="J606" s="90"/>
      <c r="K606" s="90"/>
      <c r="L606" s="90"/>
      <c r="M606" s="11" t="s">
        <v>88</v>
      </c>
      <c r="N606" s="11" t="s">
        <v>245</v>
      </c>
      <c r="O606" s="11" t="s">
        <v>246</v>
      </c>
      <c r="P606" s="11" t="s">
        <v>6726</v>
      </c>
      <c r="Q606" s="11"/>
      <c r="R606" s="11" t="s">
        <v>175</v>
      </c>
      <c r="S606" s="5" t="s">
        <v>92</v>
      </c>
      <c r="T606" s="11" t="s">
        <v>93</v>
      </c>
      <c r="U606" s="181">
        <v>100</v>
      </c>
      <c r="V606" s="7" t="s">
        <v>94</v>
      </c>
      <c r="W606" s="7" t="s">
        <v>95</v>
      </c>
      <c r="X606" s="7">
        <v>2025</v>
      </c>
      <c r="Y606" s="5" t="s">
        <v>117</v>
      </c>
      <c r="Z606" s="7" t="s">
        <v>97</v>
      </c>
      <c r="AA606" s="7" t="s">
        <v>98</v>
      </c>
      <c r="AB606" s="2" t="s">
        <v>99</v>
      </c>
      <c r="AC606" s="177" t="s">
        <v>7414</v>
      </c>
      <c r="AD606" s="31" t="s">
        <v>7579</v>
      </c>
      <c r="AE606" s="11" t="s">
        <v>6727</v>
      </c>
      <c r="AF606" s="74" t="s">
        <v>6728</v>
      </c>
      <c r="AG606" s="45" t="s">
        <v>7413</v>
      </c>
      <c r="AH606" s="96" t="s">
        <v>5220</v>
      </c>
      <c r="AI606" s="2" t="s">
        <v>6729</v>
      </c>
      <c r="AJ606" s="42" t="s">
        <v>6730</v>
      </c>
      <c r="AK606" s="20" t="s">
        <v>85</v>
      </c>
      <c r="AL606" s="2" t="s">
        <v>6731</v>
      </c>
      <c r="AM606" s="39" t="s">
        <v>6732</v>
      </c>
      <c r="AN606" s="7"/>
      <c r="AO606" s="7" t="s">
        <v>6733</v>
      </c>
      <c r="AP606" s="7" t="s">
        <v>6734</v>
      </c>
      <c r="AQ606" s="11" t="s">
        <v>6735</v>
      </c>
      <c r="AR606" s="20" t="s">
        <v>97</v>
      </c>
      <c r="AS606" s="20" t="s">
        <v>107</v>
      </c>
      <c r="AT606" s="20"/>
      <c r="AU606" s="59">
        <v>0.5</v>
      </c>
      <c r="AV606" s="24">
        <f t="shared" si="124"/>
        <v>0.4</v>
      </c>
      <c r="AW606" s="24">
        <f t="shared" si="125"/>
        <v>0.3</v>
      </c>
      <c r="AX606" s="25">
        <v>1E-4</v>
      </c>
      <c r="AY606" s="24">
        <v>0</v>
      </c>
      <c r="AZ606" s="24">
        <f t="shared" si="126"/>
        <v>0.45</v>
      </c>
      <c r="BA606" s="24">
        <f t="shared" si="127"/>
        <v>0.36000000000000004</v>
      </c>
      <c r="BB606" s="24">
        <f t="shared" si="128"/>
        <v>0.27</v>
      </c>
      <c r="BC606" s="25">
        <v>1E-4</v>
      </c>
      <c r="BD606" s="24">
        <v>0</v>
      </c>
      <c r="BE606" s="20">
        <v>10</v>
      </c>
      <c r="BF606" s="34">
        <f t="shared" si="121"/>
        <v>8</v>
      </c>
      <c r="BG606" s="34">
        <f t="shared" si="122"/>
        <v>6</v>
      </c>
      <c r="BH606" s="26">
        <v>1</v>
      </c>
      <c r="BI606" s="20">
        <v>0</v>
      </c>
      <c r="BJ606" s="33"/>
      <c r="BK606" s="33"/>
      <c r="BL606" s="33"/>
      <c r="BM606" s="27" t="s">
        <v>6736</v>
      </c>
      <c r="BN606" s="26"/>
      <c r="BO606" s="34"/>
      <c r="BP606" s="34"/>
      <c r="BQ606" s="34"/>
      <c r="BR606" s="34"/>
      <c r="BS606" s="34"/>
      <c r="BT606" s="34"/>
      <c r="BU606" s="34"/>
      <c r="BV606" s="34"/>
      <c r="BW606" s="34"/>
      <c r="BX606" s="34"/>
      <c r="BY606" s="34"/>
      <c r="BZ606" s="34"/>
      <c r="CA606" s="20"/>
      <c r="CB606" s="33"/>
      <c r="CC606" s="218">
        <v>46044</v>
      </c>
      <c r="CD606" s="51" t="s">
        <v>7333</v>
      </c>
    </row>
    <row r="607" spans="1:82" ht="66.75" customHeight="1" x14ac:dyDescent="0.25">
      <c r="A607" s="121">
        <v>603</v>
      </c>
      <c r="B607" s="144" t="s">
        <v>6737</v>
      </c>
      <c r="C607" s="11" t="s">
        <v>6738</v>
      </c>
      <c r="D607" s="2" t="s">
        <v>6739</v>
      </c>
      <c r="E607" s="75" t="s">
        <v>113</v>
      </c>
      <c r="F607" s="12" t="s">
        <v>4197</v>
      </c>
      <c r="G607" s="7" t="s">
        <v>84</v>
      </c>
      <c r="H607" s="2" t="s">
        <v>775</v>
      </c>
      <c r="I607" s="90" t="s">
        <v>4198</v>
      </c>
      <c r="J607" s="90"/>
      <c r="K607" s="90"/>
      <c r="L607" s="90"/>
      <c r="M607" s="11" t="s">
        <v>88</v>
      </c>
      <c r="N607" s="11" t="s">
        <v>245</v>
      </c>
      <c r="O607" s="11" t="s">
        <v>246</v>
      </c>
      <c r="P607" s="11" t="s">
        <v>6740</v>
      </c>
      <c r="Q607" s="11"/>
      <c r="R607" s="11" t="s">
        <v>175</v>
      </c>
      <c r="S607" s="5" t="s">
        <v>92</v>
      </c>
      <c r="T607" s="11" t="s">
        <v>93</v>
      </c>
      <c r="U607" s="181">
        <v>100</v>
      </c>
      <c r="V607" s="7" t="s">
        <v>94</v>
      </c>
      <c r="W607" s="7" t="s">
        <v>95</v>
      </c>
      <c r="X607" s="7">
        <v>2025</v>
      </c>
      <c r="Y607" s="5" t="s">
        <v>117</v>
      </c>
      <c r="Z607" s="7" t="s">
        <v>97</v>
      </c>
      <c r="AA607" s="7" t="s">
        <v>98</v>
      </c>
      <c r="AB607" s="2" t="s">
        <v>99</v>
      </c>
      <c r="AC607" s="31" t="s">
        <v>7578</v>
      </c>
      <c r="AD607" s="31" t="s">
        <v>6741</v>
      </c>
      <c r="AE607" s="11" t="s">
        <v>6727</v>
      </c>
      <c r="AF607" s="74" t="s">
        <v>6742</v>
      </c>
      <c r="AG607" s="7" t="s">
        <v>6743</v>
      </c>
      <c r="AH607" s="7" t="s">
        <v>5220</v>
      </c>
      <c r="AI607" s="2" t="s">
        <v>6729</v>
      </c>
      <c r="AJ607" s="2" t="s">
        <v>6744</v>
      </c>
      <c r="AK607" s="7" t="s">
        <v>85</v>
      </c>
      <c r="AL607" s="7" t="s">
        <v>6745</v>
      </c>
      <c r="AM607" s="7" t="s">
        <v>6746</v>
      </c>
      <c r="AN607" s="7"/>
      <c r="AO607" s="7" t="s">
        <v>6747</v>
      </c>
      <c r="AP607" s="7" t="s">
        <v>6748</v>
      </c>
      <c r="AQ607" s="11" t="s">
        <v>6735</v>
      </c>
      <c r="AR607" s="20" t="s">
        <v>97</v>
      </c>
      <c r="AS607" s="20" t="s">
        <v>107</v>
      </c>
      <c r="AT607" s="20"/>
      <c r="AU607" s="59">
        <v>0.55000000000000004</v>
      </c>
      <c r="AV607" s="24">
        <f t="shared" si="124"/>
        <v>0.44000000000000006</v>
      </c>
      <c r="AW607" s="24">
        <f t="shared" si="125"/>
        <v>0.33</v>
      </c>
      <c r="AX607" s="25">
        <v>1E-4</v>
      </c>
      <c r="AY607" s="24">
        <v>0</v>
      </c>
      <c r="AZ607" s="24">
        <f t="shared" si="126"/>
        <v>0.49500000000000005</v>
      </c>
      <c r="BA607" s="24">
        <f t="shared" si="127"/>
        <v>0.39600000000000007</v>
      </c>
      <c r="BB607" s="24">
        <f t="shared" si="128"/>
        <v>0.29700000000000004</v>
      </c>
      <c r="BC607" s="25">
        <v>1E-4</v>
      </c>
      <c r="BD607" s="24">
        <v>0</v>
      </c>
      <c r="BE607" s="26">
        <v>0</v>
      </c>
      <c r="BF607" s="34">
        <f t="shared" si="121"/>
        <v>0</v>
      </c>
      <c r="BG607" s="34">
        <f t="shared" si="122"/>
        <v>0</v>
      </c>
      <c r="BH607" s="26">
        <v>0</v>
      </c>
      <c r="BI607" s="26">
        <v>0</v>
      </c>
      <c r="BJ607" s="33"/>
      <c r="BK607" s="33"/>
      <c r="BL607" s="33"/>
      <c r="BM607" s="27" t="s">
        <v>6749</v>
      </c>
      <c r="BN607" s="26"/>
      <c r="BO607" s="34"/>
      <c r="BP607" s="34"/>
      <c r="BQ607" s="34"/>
      <c r="BR607" s="34"/>
      <c r="BS607" s="34"/>
      <c r="BT607" s="34"/>
      <c r="BU607" s="34"/>
      <c r="BV607" s="34"/>
      <c r="BW607" s="34"/>
      <c r="BX607" s="34"/>
      <c r="BY607" s="34"/>
      <c r="BZ607" s="34"/>
      <c r="CA607" s="20"/>
      <c r="CB607" s="33"/>
      <c r="CC607" s="46">
        <v>46003</v>
      </c>
      <c r="CD607" s="51" t="s">
        <v>6750</v>
      </c>
    </row>
    <row r="608" spans="1:82" ht="66.75" customHeight="1" x14ac:dyDescent="0.25">
      <c r="A608" s="87">
        <v>604</v>
      </c>
      <c r="B608" s="145" t="s">
        <v>6751</v>
      </c>
      <c r="C608" s="82" t="s">
        <v>6752</v>
      </c>
      <c r="D608" s="88" t="s">
        <v>6753</v>
      </c>
      <c r="E608" s="75" t="s">
        <v>174</v>
      </c>
      <c r="F608" s="4" t="s">
        <v>4197</v>
      </c>
      <c r="G608" s="5" t="s">
        <v>84</v>
      </c>
      <c r="H608" s="6" t="s">
        <v>114</v>
      </c>
      <c r="I608" s="90" t="s">
        <v>4198</v>
      </c>
      <c r="J608" s="90"/>
      <c r="K608" s="90"/>
      <c r="L608" s="90"/>
      <c r="M608" s="82" t="s">
        <v>88</v>
      </c>
      <c r="N608" s="82" t="s">
        <v>245</v>
      </c>
      <c r="O608" s="6" t="s">
        <v>4199</v>
      </c>
      <c r="P608" s="6" t="s">
        <v>4199</v>
      </c>
      <c r="Q608" s="6"/>
      <c r="R608" s="82" t="s">
        <v>175</v>
      </c>
      <c r="S608" s="5" t="s">
        <v>4201</v>
      </c>
      <c r="T608" s="82" t="s">
        <v>93</v>
      </c>
      <c r="U608" s="91">
        <v>100</v>
      </c>
      <c r="V608" s="5" t="s">
        <v>94</v>
      </c>
      <c r="W608" s="5" t="s">
        <v>95</v>
      </c>
      <c r="X608" s="5">
        <v>2025</v>
      </c>
      <c r="Y608" s="5" t="s">
        <v>117</v>
      </c>
      <c r="Z608" s="5" t="s">
        <v>97</v>
      </c>
      <c r="AA608" s="5" t="s">
        <v>98</v>
      </c>
      <c r="AB608" s="6" t="s">
        <v>99</v>
      </c>
      <c r="AC608" s="79" t="s">
        <v>6754</v>
      </c>
      <c r="AD608" s="79" t="s">
        <v>6755</v>
      </c>
      <c r="AE608" s="49" t="s">
        <v>6756</v>
      </c>
      <c r="AF608" s="49" t="s">
        <v>6757</v>
      </c>
      <c r="AG608" s="49" t="s">
        <v>5219</v>
      </c>
      <c r="AH608" s="5" t="s">
        <v>6758</v>
      </c>
      <c r="AI608" s="6" t="s">
        <v>6759</v>
      </c>
      <c r="AJ608" s="47" t="s">
        <v>6760</v>
      </c>
      <c r="AK608" s="33" t="s">
        <v>85</v>
      </c>
      <c r="AL608" s="188" t="s">
        <v>7432</v>
      </c>
      <c r="AM608" s="199" t="s">
        <v>6732</v>
      </c>
      <c r="AN608" s="5"/>
      <c r="AO608" s="5" t="s">
        <v>6761</v>
      </c>
      <c r="AP608" s="5" t="s">
        <v>6762</v>
      </c>
      <c r="AQ608" s="82" t="s">
        <v>6763</v>
      </c>
      <c r="AR608" s="20" t="s">
        <v>97</v>
      </c>
      <c r="AS608" s="20" t="s">
        <v>107</v>
      </c>
      <c r="AT608" s="20"/>
      <c r="AU608" s="59">
        <v>0.7</v>
      </c>
      <c r="AV608" s="24">
        <f t="shared" si="124"/>
        <v>0.55999999999999994</v>
      </c>
      <c r="AW608" s="24">
        <f t="shared" si="125"/>
        <v>0.42</v>
      </c>
      <c r="AX608" s="25">
        <v>1E-4</v>
      </c>
      <c r="AY608" s="24">
        <v>0</v>
      </c>
      <c r="AZ608" s="24">
        <f t="shared" si="126"/>
        <v>0.63</v>
      </c>
      <c r="BA608" s="24">
        <f t="shared" si="127"/>
        <v>0.504</v>
      </c>
      <c r="BB608" s="24">
        <f t="shared" si="128"/>
        <v>0.378</v>
      </c>
      <c r="BC608" s="25">
        <v>1E-4</v>
      </c>
      <c r="BD608" s="24">
        <v>0</v>
      </c>
      <c r="BE608" s="20">
        <v>10</v>
      </c>
      <c r="BF608" s="34">
        <f t="shared" si="121"/>
        <v>8</v>
      </c>
      <c r="BG608" s="34">
        <f t="shared" si="122"/>
        <v>6</v>
      </c>
      <c r="BH608" s="26">
        <v>1</v>
      </c>
      <c r="BI608" s="20">
        <v>0</v>
      </c>
      <c r="BJ608" s="20"/>
      <c r="BK608" s="20"/>
      <c r="BL608" s="27"/>
      <c r="BM608" s="27" t="s">
        <v>6764</v>
      </c>
      <c r="BN608" s="26"/>
      <c r="BO608" s="34"/>
      <c r="BP608" s="34"/>
      <c r="BQ608" s="34"/>
      <c r="BR608" s="34"/>
      <c r="BS608" s="34"/>
      <c r="BT608" s="34"/>
      <c r="BU608" s="34"/>
      <c r="BV608" s="34"/>
      <c r="BW608" s="34"/>
      <c r="BX608" s="34"/>
      <c r="BY608" s="34"/>
      <c r="BZ608" s="34"/>
      <c r="CA608" s="20"/>
      <c r="CB608" s="33"/>
      <c r="CC608" s="218">
        <v>46044</v>
      </c>
      <c r="CD608" s="51" t="s">
        <v>7332</v>
      </c>
    </row>
    <row r="609" spans="1:82" ht="66.75" customHeight="1" x14ac:dyDescent="0.25">
      <c r="A609" s="87">
        <v>605</v>
      </c>
      <c r="B609" s="145" t="s">
        <v>6765</v>
      </c>
      <c r="C609" s="82" t="s">
        <v>6766</v>
      </c>
      <c r="D609" s="6" t="s">
        <v>6767</v>
      </c>
      <c r="E609" s="75" t="s">
        <v>174</v>
      </c>
      <c r="F609" s="4" t="s">
        <v>4197</v>
      </c>
      <c r="G609" s="5" t="s">
        <v>84</v>
      </c>
      <c r="H609" s="6" t="s">
        <v>775</v>
      </c>
      <c r="I609" s="90" t="s">
        <v>4198</v>
      </c>
      <c r="J609" s="90"/>
      <c r="K609" s="90"/>
      <c r="L609" s="90"/>
      <c r="M609" s="82" t="s">
        <v>88</v>
      </c>
      <c r="N609" s="82" t="s">
        <v>245</v>
      </c>
      <c r="O609" s="82" t="s">
        <v>246</v>
      </c>
      <c r="P609" s="82" t="s">
        <v>6768</v>
      </c>
      <c r="Q609" s="82"/>
      <c r="R609" s="82" t="s">
        <v>175</v>
      </c>
      <c r="S609" s="5" t="s">
        <v>92</v>
      </c>
      <c r="T609" s="82" t="s">
        <v>93</v>
      </c>
      <c r="U609" s="91">
        <v>100</v>
      </c>
      <c r="V609" s="5" t="s">
        <v>94</v>
      </c>
      <c r="W609" s="5" t="s">
        <v>95</v>
      </c>
      <c r="X609" s="5">
        <v>2025</v>
      </c>
      <c r="Y609" s="5" t="s">
        <v>117</v>
      </c>
      <c r="Z609" s="5" t="s">
        <v>97</v>
      </c>
      <c r="AA609" s="5" t="s">
        <v>98</v>
      </c>
      <c r="AB609" s="6" t="s">
        <v>99</v>
      </c>
      <c r="AC609" s="79" t="s">
        <v>6769</v>
      </c>
      <c r="AD609" s="79" t="s">
        <v>6770</v>
      </c>
      <c r="AE609" s="33" t="s">
        <v>6771</v>
      </c>
      <c r="AF609" s="92" t="s">
        <v>6772</v>
      </c>
      <c r="AG609" s="49" t="s">
        <v>5219</v>
      </c>
      <c r="AH609" s="179" t="s">
        <v>5220</v>
      </c>
      <c r="AI609" s="49" t="s">
        <v>6729</v>
      </c>
      <c r="AJ609" s="49" t="s">
        <v>6773</v>
      </c>
      <c r="AK609" s="33" t="s">
        <v>85</v>
      </c>
      <c r="AL609" s="33" t="s">
        <v>85</v>
      </c>
      <c r="AM609" s="199" t="s">
        <v>6732</v>
      </c>
      <c r="AN609" s="5"/>
      <c r="AO609" s="5" t="s">
        <v>6774</v>
      </c>
      <c r="AP609" s="5" t="s">
        <v>6775</v>
      </c>
      <c r="AQ609" s="82" t="s">
        <v>6776</v>
      </c>
      <c r="AR609" s="20" t="s">
        <v>97</v>
      </c>
      <c r="AS609" s="20" t="s">
        <v>107</v>
      </c>
      <c r="AT609" s="20"/>
      <c r="AU609" s="59">
        <v>0.5</v>
      </c>
      <c r="AV609" s="24">
        <f t="shared" si="124"/>
        <v>0.4</v>
      </c>
      <c r="AW609" s="24">
        <f t="shared" si="125"/>
        <v>0.3</v>
      </c>
      <c r="AX609" s="25">
        <v>1E-4</v>
      </c>
      <c r="AY609" s="24">
        <v>0</v>
      </c>
      <c r="AZ609" s="24">
        <f t="shared" si="126"/>
        <v>0.45</v>
      </c>
      <c r="BA609" s="24">
        <f t="shared" si="127"/>
        <v>0.36000000000000004</v>
      </c>
      <c r="BB609" s="24">
        <f t="shared" si="128"/>
        <v>0.27</v>
      </c>
      <c r="BC609" s="25">
        <v>1E-4</v>
      </c>
      <c r="BD609" s="24">
        <v>0</v>
      </c>
      <c r="BE609" s="20">
        <v>10</v>
      </c>
      <c r="BF609" s="34">
        <f t="shared" si="121"/>
        <v>8</v>
      </c>
      <c r="BG609" s="34">
        <f t="shared" si="122"/>
        <v>6</v>
      </c>
      <c r="BH609" s="26">
        <v>1</v>
      </c>
      <c r="BI609" s="20">
        <v>0</v>
      </c>
      <c r="BJ609" s="20"/>
      <c r="BK609" s="20"/>
      <c r="BL609" s="27"/>
      <c r="BM609" s="27" t="s">
        <v>6777</v>
      </c>
      <c r="BN609" s="26"/>
      <c r="BO609" s="34"/>
      <c r="BP609" s="34"/>
      <c r="BQ609" s="34"/>
      <c r="BR609" s="34"/>
      <c r="BS609" s="34"/>
      <c r="BT609" s="34"/>
      <c r="BU609" s="34"/>
      <c r="BV609" s="34"/>
      <c r="BW609" s="34"/>
      <c r="BX609" s="34"/>
      <c r="BY609" s="34"/>
      <c r="BZ609" s="34"/>
      <c r="CA609" s="20"/>
      <c r="CB609" s="33"/>
      <c r="CC609" s="218">
        <v>46044</v>
      </c>
      <c r="CD609" s="51" t="s">
        <v>7334</v>
      </c>
    </row>
    <row r="610" spans="1:82" ht="66.75" customHeight="1" x14ac:dyDescent="0.25">
      <c r="A610" s="121">
        <v>606</v>
      </c>
      <c r="B610" s="145" t="s">
        <v>6778</v>
      </c>
      <c r="C610" s="6" t="s">
        <v>6779</v>
      </c>
      <c r="D610" s="6" t="s">
        <v>6780</v>
      </c>
      <c r="E610" s="75" t="s">
        <v>113</v>
      </c>
      <c r="F610" s="90" t="s">
        <v>81</v>
      </c>
      <c r="G610" s="5" t="s">
        <v>84</v>
      </c>
      <c r="H610" s="6" t="s">
        <v>114</v>
      </c>
      <c r="I610" s="6" t="s">
        <v>578</v>
      </c>
      <c r="J610" s="6"/>
      <c r="K610" s="6"/>
      <c r="L610" s="6"/>
      <c r="M610" s="6" t="s">
        <v>88</v>
      </c>
      <c r="N610" s="6" t="s">
        <v>89</v>
      </c>
      <c r="O610" s="6" t="s">
        <v>579</v>
      </c>
      <c r="P610" s="6" t="s">
        <v>580</v>
      </c>
      <c r="Q610" s="6"/>
      <c r="R610" s="82" t="s">
        <v>91</v>
      </c>
      <c r="S610" s="5" t="s">
        <v>92</v>
      </c>
      <c r="T610" s="5" t="s">
        <v>93</v>
      </c>
      <c r="U610" s="91">
        <v>100</v>
      </c>
      <c r="V610" s="5" t="s">
        <v>94</v>
      </c>
      <c r="W610" s="5" t="s">
        <v>95</v>
      </c>
      <c r="X610" s="5">
        <v>2025</v>
      </c>
      <c r="Y610" s="5" t="s">
        <v>117</v>
      </c>
      <c r="Z610" s="5" t="s">
        <v>97</v>
      </c>
      <c r="AA610" s="5" t="s">
        <v>98</v>
      </c>
      <c r="AB610" s="6" t="s">
        <v>99</v>
      </c>
      <c r="AC610" s="79" t="s">
        <v>6781</v>
      </c>
      <c r="AD610" s="79" t="s">
        <v>648</v>
      </c>
      <c r="AE610" s="6" t="s">
        <v>778</v>
      </c>
      <c r="AF610" s="6" t="s">
        <v>121</v>
      </c>
      <c r="AG610" s="6" t="s">
        <v>218</v>
      </c>
      <c r="AH610" s="6" t="s">
        <v>123</v>
      </c>
      <c r="AI610" s="6" t="s">
        <v>5710</v>
      </c>
      <c r="AJ610" s="6" t="s">
        <v>750</v>
      </c>
      <c r="AK610" s="5" t="s">
        <v>97</v>
      </c>
      <c r="AL610" s="5" t="s">
        <v>97</v>
      </c>
      <c r="AM610" s="5" t="s">
        <v>641</v>
      </c>
      <c r="AN610" s="82" t="s">
        <v>631</v>
      </c>
      <c r="AO610" s="6"/>
      <c r="AP610" s="6"/>
      <c r="AQ610" s="49" t="s">
        <v>589</v>
      </c>
      <c r="AR610" s="7" t="s">
        <v>97</v>
      </c>
      <c r="AS610" s="20" t="s">
        <v>107</v>
      </c>
      <c r="AT610" s="7"/>
      <c r="AU610" s="59">
        <v>0.95</v>
      </c>
      <c r="AV610" s="24">
        <f t="shared" si="124"/>
        <v>0.76</v>
      </c>
      <c r="AW610" s="24">
        <f t="shared" si="125"/>
        <v>0.56999999999999995</v>
      </c>
      <c r="AX610" s="25">
        <v>1E-4</v>
      </c>
      <c r="AY610" s="24">
        <v>0</v>
      </c>
      <c r="AZ610" s="24">
        <f t="shared" si="126"/>
        <v>0.85499999999999998</v>
      </c>
      <c r="BA610" s="24">
        <f t="shared" si="127"/>
        <v>0.68400000000000005</v>
      </c>
      <c r="BB610" s="24">
        <f t="shared" si="128"/>
        <v>0.51300000000000001</v>
      </c>
      <c r="BC610" s="25">
        <v>1E-4</v>
      </c>
      <c r="BD610" s="24">
        <v>0</v>
      </c>
      <c r="BE610" s="26">
        <v>0</v>
      </c>
      <c r="BF610" s="34">
        <f t="shared" si="121"/>
        <v>0</v>
      </c>
      <c r="BG610" s="34">
        <f t="shared" si="122"/>
        <v>0</v>
      </c>
      <c r="BH610" s="26">
        <v>0</v>
      </c>
      <c r="BI610" s="26">
        <v>0</v>
      </c>
      <c r="BJ610" s="7" t="s">
        <v>496</v>
      </c>
      <c r="BK610" s="10">
        <v>0.75582115238617986</v>
      </c>
      <c r="BL610" s="10" t="s">
        <v>783</v>
      </c>
      <c r="BM610" s="27" t="s">
        <v>6782</v>
      </c>
      <c r="BN610" s="26"/>
      <c r="BO610" s="34"/>
      <c r="BP610" s="34"/>
      <c r="BQ610" s="34"/>
      <c r="BR610" s="34"/>
      <c r="BS610" s="34"/>
      <c r="BT610" s="34"/>
      <c r="BU610" s="34"/>
      <c r="BV610" s="34"/>
      <c r="BW610" s="34"/>
      <c r="BX610" s="34"/>
      <c r="BY610" s="34"/>
      <c r="BZ610" s="34"/>
      <c r="CA610" s="20"/>
      <c r="CB610" s="7"/>
      <c r="CC610" s="29">
        <v>46003</v>
      </c>
      <c r="CD610" s="11" t="s">
        <v>6783</v>
      </c>
    </row>
    <row r="611" spans="1:82" ht="66.75" customHeight="1" x14ac:dyDescent="0.25">
      <c r="A611" s="87">
        <v>607</v>
      </c>
      <c r="B611" s="145" t="s">
        <v>6784</v>
      </c>
      <c r="C611" s="82" t="s">
        <v>6785</v>
      </c>
      <c r="D611" s="82" t="s">
        <v>6786</v>
      </c>
      <c r="E611" s="75" t="s">
        <v>113</v>
      </c>
      <c r="F611" s="5" t="s">
        <v>1628</v>
      </c>
      <c r="G611" s="5" t="s">
        <v>84</v>
      </c>
      <c r="H611" s="82" t="s">
        <v>775</v>
      </c>
      <c r="I611" s="82" t="s">
        <v>2247</v>
      </c>
      <c r="J611" s="6" t="s">
        <v>115</v>
      </c>
      <c r="K611" s="6"/>
      <c r="L611" s="6"/>
      <c r="M611" s="82" t="s">
        <v>88</v>
      </c>
      <c r="N611" s="82" t="s">
        <v>245</v>
      </c>
      <c r="O611" s="82" t="s">
        <v>116</v>
      </c>
      <c r="P611" s="82" t="s">
        <v>4326</v>
      </c>
      <c r="Q611" s="82"/>
      <c r="R611" s="82" t="s">
        <v>91</v>
      </c>
      <c r="S611" s="5" t="s">
        <v>92</v>
      </c>
      <c r="T611" s="82" t="s">
        <v>93</v>
      </c>
      <c r="U611" s="91">
        <v>100</v>
      </c>
      <c r="V611" s="5" t="s">
        <v>94</v>
      </c>
      <c r="W611" s="5" t="s">
        <v>95</v>
      </c>
      <c r="X611" s="5">
        <v>2024</v>
      </c>
      <c r="Y611" s="5" t="s">
        <v>117</v>
      </c>
      <c r="Z611" s="5" t="s">
        <v>97</v>
      </c>
      <c r="AA611" s="5" t="s">
        <v>98</v>
      </c>
      <c r="AB611" s="82" t="s">
        <v>99</v>
      </c>
      <c r="AC611" s="79" t="s">
        <v>6787</v>
      </c>
      <c r="AD611" s="79" t="s">
        <v>6788</v>
      </c>
      <c r="AE611" s="6" t="s">
        <v>6789</v>
      </c>
      <c r="AF611" s="6" t="s">
        <v>6790</v>
      </c>
      <c r="AG611" s="96" t="s">
        <v>6791</v>
      </c>
      <c r="AH611" s="5" t="s">
        <v>6792</v>
      </c>
      <c r="AI611" s="82" t="s">
        <v>6793</v>
      </c>
      <c r="AJ611" s="82" t="s">
        <v>6794</v>
      </c>
      <c r="AK611" s="5" t="s">
        <v>97</v>
      </c>
      <c r="AL611" s="5" t="s">
        <v>97</v>
      </c>
      <c r="AM611" s="5" t="s">
        <v>6795</v>
      </c>
      <c r="AN611" s="5"/>
      <c r="AO611" s="5" t="s">
        <v>6796</v>
      </c>
      <c r="AP611" s="5" t="s">
        <v>6797</v>
      </c>
      <c r="AQ611" s="82" t="s">
        <v>6798</v>
      </c>
      <c r="AR611" s="5" t="s">
        <v>97</v>
      </c>
      <c r="AS611" s="20" t="s">
        <v>107</v>
      </c>
      <c r="AT611" s="5"/>
      <c r="AU611" s="24">
        <v>0.45</v>
      </c>
      <c r="AV611" s="24">
        <f t="shared" si="124"/>
        <v>0.36000000000000004</v>
      </c>
      <c r="AW611" s="24">
        <f t="shared" si="125"/>
        <v>0.27</v>
      </c>
      <c r="AX611" s="25">
        <v>1E-4</v>
      </c>
      <c r="AY611" s="24">
        <v>0</v>
      </c>
      <c r="AZ611" s="24">
        <f t="shared" si="126"/>
        <v>0.40500000000000003</v>
      </c>
      <c r="BA611" s="24">
        <f t="shared" si="127"/>
        <v>0.32400000000000007</v>
      </c>
      <c r="BB611" s="24">
        <f t="shared" si="128"/>
        <v>0.24299999999999999</v>
      </c>
      <c r="BC611" s="25">
        <v>1E-4</v>
      </c>
      <c r="BD611" s="24">
        <v>0</v>
      </c>
      <c r="BE611" s="26">
        <v>0</v>
      </c>
      <c r="BF611" s="34">
        <f t="shared" si="121"/>
        <v>0</v>
      </c>
      <c r="BG611" s="34">
        <f t="shared" si="122"/>
        <v>0</v>
      </c>
      <c r="BH611" s="26">
        <v>0</v>
      </c>
      <c r="BI611" s="26">
        <v>0</v>
      </c>
      <c r="BJ611" s="5"/>
      <c r="BK611" s="5"/>
      <c r="BL611" s="5">
        <v>0.45779999999999998</v>
      </c>
      <c r="BM611" s="27" t="s">
        <v>1176</v>
      </c>
      <c r="BN611" s="26"/>
      <c r="BO611" s="34"/>
      <c r="BP611" s="34"/>
      <c r="BQ611" s="34"/>
      <c r="BR611" s="34"/>
      <c r="BS611" s="34"/>
      <c r="BT611" s="34"/>
      <c r="BU611" s="34"/>
      <c r="BV611" s="34"/>
      <c r="BW611" s="34"/>
      <c r="BX611" s="34"/>
      <c r="BY611" s="34"/>
      <c r="BZ611" s="34"/>
      <c r="CA611" s="20"/>
      <c r="CB611" s="5"/>
      <c r="CC611" s="29">
        <v>46003</v>
      </c>
      <c r="CD611" s="82" t="s">
        <v>6799</v>
      </c>
    </row>
    <row r="612" spans="1:82" ht="126.75" customHeight="1" x14ac:dyDescent="0.25">
      <c r="A612" s="87">
        <v>608</v>
      </c>
      <c r="B612" s="146" t="s">
        <v>6800</v>
      </c>
      <c r="C612" s="6" t="s">
        <v>6801</v>
      </c>
      <c r="D612" s="6" t="s">
        <v>6802</v>
      </c>
      <c r="E612" s="75" t="s">
        <v>113</v>
      </c>
      <c r="F612" s="4" t="s">
        <v>2782</v>
      </c>
      <c r="G612" s="5" t="s">
        <v>2782</v>
      </c>
      <c r="H612" s="6" t="s">
        <v>775</v>
      </c>
      <c r="I612" s="6" t="s">
        <v>1046</v>
      </c>
      <c r="J612" s="6"/>
      <c r="K612" s="6"/>
      <c r="L612" s="6"/>
      <c r="M612" s="6" t="s">
        <v>136</v>
      </c>
      <c r="N612" s="6" t="s">
        <v>89</v>
      </c>
      <c r="O612" s="6" t="s">
        <v>116</v>
      </c>
      <c r="P612" s="6" t="s">
        <v>2783</v>
      </c>
      <c r="Q612" s="6"/>
      <c r="R612" s="82" t="s">
        <v>91</v>
      </c>
      <c r="S612" s="5" t="s">
        <v>92</v>
      </c>
      <c r="T612" s="5" t="s">
        <v>93</v>
      </c>
      <c r="U612" s="91">
        <v>100</v>
      </c>
      <c r="V612" s="5" t="s">
        <v>94</v>
      </c>
      <c r="W612" s="5" t="s">
        <v>95</v>
      </c>
      <c r="X612" s="5">
        <v>2025</v>
      </c>
      <c r="Y612" s="5" t="s">
        <v>117</v>
      </c>
      <c r="Z612" s="5" t="s">
        <v>97</v>
      </c>
      <c r="AA612" s="5" t="s">
        <v>973</v>
      </c>
      <c r="AB612" s="6" t="s">
        <v>99</v>
      </c>
      <c r="AC612" s="6" t="s">
        <v>6803</v>
      </c>
      <c r="AD612" s="6" t="s">
        <v>2867</v>
      </c>
      <c r="AE612" s="47" t="s">
        <v>2786</v>
      </c>
      <c r="AF612" s="49" t="s">
        <v>2787</v>
      </c>
      <c r="AG612" s="49" t="s">
        <v>1043</v>
      </c>
      <c r="AH612" s="49" t="s">
        <v>1043</v>
      </c>
      <c r="AI612" s="6" t="s">
        <v>2788</v>
      </c>
      <c r="AJ612" s="6" t="s">
        <v>2789</v>
      </c>
      <c r="AK612" s="33" t="s">
        <v>97</v>
      </c>
      <c r="AL612" s="5" t="s">
        <v>2870</v>
      </c>
      <c r="AM612" s="5"/>
      <c r="AN612" s="5"/>
      <c r="AO612" s="5"/>
      <c r="AP612" s="5"/>
      <c r="AQ612" s="49" t="s">
        <v>1046</v>
      </c>
      <c r="AR612" s="20" t="s">
        <v>97</v>
      </c>
      <c r="AS612" s="20" t="s">
        <v>107</v>
      </c>
      <c r="AT612" s="20"/>
      <c r="AU612" s="24">
        <v>0.8</v>
      </c>
      <c r="AV612" s="24">
        <f t="shared" si="124"/>
        <v>0.64000000000000012</v>
      </c>
      <c r="AW612" s="24">
        <f t="shared" si="125"/>
        <v>0.48</v>
      </c>
      <c r="AX612" s="25">
        <v>1E-4</v>
      </c>
      <c r="AY612" s="24">
        <v>0</v>
      </c>
      <c r="AZ612" s="24">
        <f t="shared" si="126"/>
        <v>0.72000000000000008</v>
      </c>
      <c r="BA612" s="24">
        <f t="shared" si="127"/>
        <v>0.57600000000000007</v>
      </c>
      <c r="BB612" s="24">
        <f t="shared" si="128"/>
        <v>0.43200000000000005</v>
      </c>
      <c r="BC612" s="25">
        <v>1E-4</v>
      </c>
      <c r="BD612" s="24">
        <v>0</v>
      </c>
      <c r="BE612" s="26">
        <v>0</v>
      </c>
      <c r="BF612" s="34">
        <f t="shared" si="121"/>
        <v>0</v>
      </c>
      <c r="BG612" s="34">
        <f t="shared" si="122"/>
        <v>0</v>
      </c>
      <c r="BH612" s="26">
        <v>0</v>
      </c>
      <c r="BI612" s="26">
        <v>0</v>
      </c>
      <c r="BJ612" s="27"/>
      <c r="BK612" s="27"/>
      <c r="BL612" s="27"/>
      <c r="BM612" s="27" t="s">
        <v>6804</v>
      </c>
      <c r="BN612" s="26"/>
      <c r="BO612" s="34"/>
      <c r="BP612" s="34"/>
      <c r="BQ612" s="34"/>
      <c r="BR612" s="34"/>
      <c r="BS612" s="34"/>
      <c r="BT612" s="34"/>
      <c r="BU612" s="34"/>
      <c r="BV612" s="34"/>
      <c r="BW612" s="34"/>
      <c r="BX612" s="34"/>
      <c r="BY612" s="34"/>
      <c r="BZ612" s="34"/>
      <c r="CA612" s="20"/>
      <c r="CB612" s="20"/>
      <c r="CC612" s="46">
        <v>46006</v>
      </c>
      <c r="CD612" s="42" t="s">
        <v>6805</v>
      </c>
    </row>
    <row r="613" spans="1:82" ht="66.75" customHeight="1" x14ac:dyDescent="0.25">
      <c r="A613" s="121">
        <v>609</v>
      </c>
      <c r="B613" s="145" t="s">
        <v>6806</v>
      </c>
      <c r="C613" s="82" t="s">
        <v>6807</v>
      </c>
      <c r="D613" s="6" t="s">
        <v>6808</v>
      </c>
      <c r="E613" s="75" t="s">
        <v>113</v>
      </c>
      <c r="F613" s="4" t="s">
        <v>81</v>
      </c>
      <c r="G613" s="5" t="s">
        <v>2782</v>
      </c>
      <c r="H613" s="6" t="s">
        <v>775</v>
      </c>
      <c r="I613" s="6" t="s">
        <v>2295</v>
      </c>
      <c r="J613" s="6"/>
      <c r="K613" s="6"/>
      <c r="L613" s="6"/>
      <c r="M613" s="6" t="s">
        <v>136</v>
      </c>
      <c r="N613" s="6" t="s">
        <v>89</v>
      </c>
      <c r="O613" s="6" t="s">
        <v>213</v>
      </c>
      <c r="P613" s="6" t="s">
        <v>5448</v>
      </c>
      <c r="Q613" s="6"/>
      <c r="R613" s="82" t="s">
        <v>175</v>
      </c>
      <c r="S613" s="5" t="s">
        <v>92</v>
      </c>
      <c r="T613" s="5" t="s">
        <v>93</v>
      </c>
      <c r="U613" s="91">
        <v>100</v>
      </c>
      <c r="V613" s="5" t="s">
        <v>94</v>
      </c>
      <c r="W613" s="5" t="s">
        <v>95</v>
      </c>
      <c r="X613" s="5">
        <v>2025</v>
      </c>
      <c r="Y613" s="5" t="s">
        <v>117</v>
      </c>
      <c r="Z613" s="5" t="s">
        <v>95</v>
      </c>
      <c r="AA613" s="5" t="s">
        <v>973</v>
      </c>
      <c r="AB613" s="6" t="s">
        <v>99</v>
      </c>
      <c r="AC613" s="79" t="s">
        <v>6809</v>
      </c>
      <c r="AD613" s="79" t="s">
        <v>6810</v>
      </c>
      <c r="AE613" s="6" t="s">
        <v>5468</v>
      </c>
      <c r="AF613" s="6" t="s">
        <v>6811</v>
      </c>
      <c r="AG613" s="6" t="s">
        <v>178</v>
      </c>
      <c r="AH613" s="6" t="s">
        <v>123</v>
      </c>
      <c r="AI613" s="6" t="s">
        <v>5469</v>
      </c>
      <c r="AJ613" s="6" t="s">
        <v>6812</v>
      </c>
      <c r="AK613" s="5" t="s">
        <v>5471</v>
      </c>
      <c r="AL613" s="5" t="s">
        <v>5472</v>
      </c>
      <c r="AM613" s="5" t="s">
        <v>221</v>
      </c>
      <c r="AN613" s="5"/>
      <c r="AO613" s="5" t="s">
        <v>6813</v>
      </c>
      <c r="AP613" s="5" t="s">
        <v>6814</v>
      </c>
      <c r="AQ613" s="6" t="s">
        <v>5459</v>
      </c>
      <c r="AR613" s="33" t="s">
        <v>97</v>
      </c>
      <c r="AS613" s="20" t="s">
        <v>107</v>
      </c>
      <c r="AT613" s="33"/>
      <c r="AU613" s="24">
        <v>0.2</v>
      </c>
      <c r="AV613" s="24">
        <f t="shared" si="124"/>
        <v>0.16000000000000003</v>
      </c>
      <c r="AW613" s="24">
        <f t="shared" si="125"/>
        <v>0.12</v>
      </c>
      <c r="AX613" s="25">
        <v>1E-4</v>
      </c>
      <c r="AY613" s="24">
        <v>0</v>
      </c>
      <c r="AZ613" s="24">
        <f t="shared" si="126"/>
        <v>0.18000000000000002</v>
      </c>
      <c r="BA613" s="24">
        <f t="shared" si="127"/>
        <v>0.14400000000000002</v>
      </c>
      <c r="BB613" s="24">
        <f t="shared" si="128"/>
        <v>0.10800000000000001</v>
      </c>
      <c r="BC613" s="25">
        <v>1E-4</v>
      </c>
      <c r="BD613" s="24">
        <v>0</v>
      </c>
      <c r="BE613" s="26">
        <v>0</v>
      </c>
      <c r="BF613" s="34">
        <f t="shared" si="121"/>
        <v>0</v>
      </c>
      <c r="BG613" s="34">
        <f t="shared" si="122"/>
        <v>0</v>
      </c>
      <c r="BH613" s="26">
        <v>0</v>
      </c>
      <c r="BI613" s="26">
        <v>0</v>
      </c>
      <c r="BJ613" s="80"/>
      <c r="BK613" s="80"/>
      <c r="BL613" s="80"/>
      <c r="BM613" s="27" t="s">
        <v>6815</v>
      </c>
      <c r="BN613" s="26"/>
      <c r="BO613" s="34"/>
      <c r="BP613" s="34"/>
      <c r="BQ613" s="34"/>
      <c r="BR613" s="34"/>
      <c r="BS613" s="34"/>
      <c r="BT613" s="34"/>
      <c r="BU613" s="34"/>
      <c r="BV613" s="34"/>
      <c r="BW613" s="34"/>
      <c r="BX613" s="34"/>
      <c r="BY613" s="34"/>
      <c r="BZ613" s="34"/>
      <c r="CA613" s="20"/>
      <c r="CB613" s="54"/>
      <c r="CC613" s="46">
        <v>45912</v>
      </c>
      <c r="CD613" s="6" t="s">
        <v>6816</v>
      </c>
    </row>
    <row r="614" spans="1:82" ht="66.75" customHeight="1" x14ac:dyDescent="0.25">
      <c r="A614" s="87">
        <v>610</v>
      </c>
      <c r="B614" s="145" t="s">
        <v>6817</v>
      </c>
      <c r="C614" s="2" t="s">
        <v>6818</v>
      </c>
      <c r="D614" s="2" t="s">
        <v>6819</v>
      </c>
      <c r="E614" s="75" t="s">
        <v>113</v>
      </c>
      <c r="F614" s="12" t="s">
        <v>1628</v>
      </c>
      <c r="G614" s="7" t="s">
        <v>84</v>
      </c>
      <c r="H614" s="2" t="s">
        <v>775</v>
      </c>
      <c r="I614" s="2" t="s">
        <v>4129</v>
      </c>
      <c r="J614" s="2"/>
      <c r="K614" s="2"/>
      <c r="L614" s="2"/>
      <c r="M614" s="2" t="s">
        <v>74</v>
      </c>
      <c r="N614" s="2" t="s">
        <v>245</v>
      </c>
      <c r="O614" s="2" t="s">
        <v>246</v>
      </c>
      <c r="P614" s="2" t="s">
        <v>6818</v>
      </c>
      <c r="Q614" s="2"/>
      <c r="R614" s="11" t="s">
        <v>91</v>
      </c>
      <c r="S614" s="5" t="s">
        <v>92</v>
      </c>
      <c r="T614" s="7" t="s">
        <v>93</v>
      </c>
      <c r="U614" s="181">
        <v>100</v>
      </c>
      <c r="V614" s="7" t="s">
        <v>94</v>
      </c>
      <c r="W614" s="7" t="s">
        <v>95</v>
      </c>
      <c r="X614" s="7">
        <v>2026</v>
      </c>
      <c r="Y614" s="7" t="s">
        <v>1498</v>
      </c>
      <c r="Z614" s="7" t="s">
        <v>97</v>
      </c>
      <c r="AA614" s="7" t="s">
        <v>98</v>
      </c>
      <c r="AB614" s="2" t="s">
        <v>99</v>
      </c>
      <c r="AC614" s="31" t="s">
        <v>6820</v>
      </c>
      <c r="AD614" s="31" t="s">
        <v>6821</v>
      </c>
      <c r="AE614" s="2" t="s">
        <v>6822</v>
      </c>
      <c r="AF614" s="2" t="s">
        <v>6823</v>
      </c>
      <c r="AG614" s="21" t="s">
        <v>178</v>
      </c>
      <c r="AH614" s="21" t="s">
        <v>178</v>
      </c>
      <c r="AI614" s="21" t="s">
        <v>6824</v>
      </c>
      <c r="AJ614" s="2" t="s">
        <v>6824</v>
      </c>
      <c r="AK614" s="7" t="s">
        <v>1635</v>
      </c>
      <c r="AL614" s="7" t="s">
        <v>1635</v>
      </c>
      <c r="AM614" s="7"/>
      <c r="AN614" s="7"/>
      <c r="AO614" s="7"/>
      <c r="AP614" s="7"/>
      <c r="AQ614" s="21" t="s">
        <v>6825</v>
      </c>
      <c r="AR614" s="20" t="s">
        <v>97</v>
      </c>
      <c r="AS614" s="20" t="s">
        <v>107</v>
      </c>
      <c r="AT614" s="20"/>
      <c r="AU614" s="33" t="s">
        <v>496</v>
      </c>
      <c r="AV614" s="33"/>
      <c r="AW614" s="33"/>
      <c r="AX614" s="33"/>
      <c r="AY614" s="33"/>
      <c r="AZ614" s="33" t="s">
        <v>496</v>
      </c>
      <c r="BA614" s="33"/>
      <c r="BB614" s="33"/>
      <c r="BC614" s="33"/>
      <c r="BD614" s="33"/>
      <c r="BE614" s="26">
        <v>0</v>
      </c>
      <c r="BF614" s="34">
        <f t="shared" si="121"/>
        <v>0</v>
      </c>
      <c r="BG614" s="34">
        <f t="shared" si="122"/>
        <v>0</v>
      </c>
      <c r="BH614" s="26">
        <v>0</v>
      </c>
      <c r="BI614" s="26">
        <v>0</v>
      </c>
      <c r="BJ614" s="33"/>
      <c r="BK614" s="33"/>
      <c r="BL614" s="33"/>
      <c r="BM614" s="33"/>
      <c r="BN614" s="26"/>
      <c r="BO614" s="34"/>
      <c r="BP614" s="34"/>
      <c r="BQ614" s="34"/>
      <c r="BR614" s="34"/>
      <c r="BS614" s="34"/>
      <c r="BT614" s="34"/>
      <c r="BU614" s="34"/>
      <c r="BV614" s="34"/>
      <c r="BW614" s="34"/>
      <c r="BX614" s="34"/>
      <c r="BY614" s="34"/>
      <c r="BZ614" s="34"/>
      <c r="CA614" s="20"/>
      <c r="CB614" s="33"/>
      <c r="CC614" s="46">
        <v>45996</v>
      </c>
      <c r="CD614" s="11" t="s">
        <v>6826</v>
      </c>
    </row>
    <row r="615" spans="1:82" ht="110.25" customHeight="1" x14ac:dyDescent="0.25">
      <c r="A615" s="87">
        <v>611</v>
      </c>
      <c r="B615" s="145" t="s">
        <v>6827</v>
      </c>
      <c r="C615" s="2" t="s">
        <v>6828</v>
      </c>
      <c r="D615" s="2" t="s">
        <v>6829</v>
      </c>
      <c r="E615" s="75" t="s">
        <v>113</v>
      </c>
      <c r="F615" s="12" t="s">
        <v>1628</v>
      </c>
      <c r="G615" s="7" t="s">
        <v>84</v>
      </c>
      <c r="H615" s="2" t="s">
        <v>775</v>
      </c>
      <c r="I615" s="2" t="s">
        <v>4013</v>
      </c>
      <c r="J615" s="2"/>
      <c r="K615" s="2"/>
      <c r="L615" s="2"/>
      <c r="M615" s="2" t="s">
        <v>3924</v>
      </c>
      <c r="N615" s="2" t="s">
        <v>245</v>
      </c>
      <c r="O615" s="2" t="s">
        <v>246</v>
      </c>
      <c r="P615" s="2" t="s">
        <v>6828</v>
      </c>
      <c r="Q615" s="2"/>
      <c r="R615" s="11" t="s">
        <v>3684</v>
      </c>
      <c r="S615" s="5" t="s">
        <v>92</v>
      </c>
      <c r="T615" s="2" t="s">
        <v>2587</v>
      </c>
      <c r="U615" s="181">
        <v>100000</v>
      </c>
      <c r="V615" s="7" t="s">
        <v>94</v>
      </c>
      <c r="W615" s="2" t="s">
        <v>95</v>
      </c>
      <c r="X615" s="7">
        <v>2026</v>
      </c>
      <c r="Y615" s="7" t="s">
        <v>1498</v>
      </c>
      <c r="Z615" s="2" t="s">
        <v>95</v>
      </c>
      <c r="AA615" s="2" t="s">
        <v>98</v>
      </c>
      <c r="AB615" s="2" t="s">
        <v>99</v>
      </c>
      <c r="AC615" s="31" t="s">
        <v>6830</v>
      </c>
      <c r="AD615" s="31" t="s">
        <v>4721</v>
      </c>
      <c r="AE615" s="2" t="s">
        <v>6831</v>
      </c>
      <c r="AF615" s="21" t="s">
        <v>3582</v>
      </c>
      <c r="AG615" s="21" t="s">
        <v>178</v>
      </c>
      <c r="AH615" s="21" t="s">
        <v>178</v>
      </c>
      <c r="AI615" s="21" t="s">
        <v>4733</v>
      </c>
      <c r="AJ615" s="21" t="s">
        <v>4722</v>
      </c>
      <c r="AK615" s="2" t="s">
        <v>6832</v>
      </c>
      <c r="AL615" s="21" t="s">
        <v>97</v>
      </c>
      <c r="AM615" s="2"/>
      <c r="AN615" s="2"/>
      <c r="AO615" s="2"/>
      <c r="AP615" s="2"/>
      <c r="AQ615" s="21" t="s">
        <v>6825</v>
      </c>
      <c r="AR615" s="20" t="s">
        <v>97</v>
      </c>
      <c r="AS615" s="20" t="s">
        <v>107</v>
      </c>
      <c r="AT615" s="20"/>
      <c r="AU615" s="33" t="s">
        <v>496</v>
      </c>
      <c r="AV615" s="33"/>
      <c r="AW615" s="33"/>
      <c r="AX615" s="33"/>
      <c r="AY615" s="33"/>
      <c r="AZ615" s="33" t="s">
        <v>496</v>
      </c>
      <c r="BA615" s="33"/>
      <c r="BB615" s="33"/>
      <c r="BC615" s="33"/>
      <c r="BD615" s="33"/>
      <c r="BE615" s="26">
        <v>0</v>
      </c>
      <c r="BF615" s="34">
        <f t="shared" si="121"/>
        <v>0</v>
      </c>
      <c r="BG615" s="34">
        <f t="shared" si="122"/>
        <v>0</v>
      </c>
      <c r="BH615" s="26">
        <v>0</v>
      </c>
      <c r="BI615" s="26">
        <v>0</v>
      </c>
      <c r="BJ615" s="33"/>
      <c r="BK615" s="33"/>
      <c r="BL615" s="33"/>
      <c r="BM615" s="33"/>
      <c r="BN615" s="26"/>
      <c r="BO615" s="34"/>
      <c r="BP615" s="34"/>
      <c r="BQ615" s="34"/>
      <c r="BR615" s="34"/>
      <c r="BS615" s="34"/>
      <c r="BT615" s="34"/>
      <c r="BU615" s="34"/>
      <c r="BV615" s="34"/>
      <c r="BW615" s="34"/>
      <c r="BX615" s="34"/>
      <c r="BY615" s="34"/>
      <c r="BZ615" s="34"/>
      <c r="CA615" s="20"/>
      <c r="CB615" s="33"/>
      <c r="CC615" s="46">
        <v>45996</v>
      </c>
      <c r="CD615" s="11" t="s">
        <v>6826</v>
      </c>
    </row>
    <row r="616" spans="1:82" ht="132.75" customHeight="1" x14ac:dyDescent="0.25">
      <c r="A616" s="121">
        <v>612</v>
      </c>
      <c r="B616" s="145" t="s">
        <v>6833</v>
      </c>
      <c r="C616" s="6" t="s">
        <v>6834</v>
      </c>
      <c r="D616" s="2" t="s">
        <v>6835</v>
      </c>
      <c r="E616" s="75" t="s">
        <v>113</v>
      </c>
      <c r="F616" s="12" t="s">
        <v>1628</v>
      </c>
      <c r="G616" s="7" t="s">
        <v>84</v>
      </c>
      <c r="H616" s="2" t="s">
        <v>775</v>
      </c>
      <c r="I616" s="2" t="s">
        <v>4013</v>
      </c>
      <c r="J616" s="2"/>
      <c r="K616" s="2"/>
      <c r="L616" s="2"/>
      <c r="M616" s="2" t="s">
        <v>3924</v>
      </c>
      <c r="N616" s="2" t="s">
        <v>245</v>
      </c>
      <c r="O616" s="2" t="s">
        <v>246</v>
      </c>
      <c r="P616" s="2" t="s">
        <v>6828</v>
      </c>
      <c r="Q616" s="2"/>
      <c r="R616" s="11" t="s">
        <v>91</v>
      </c>
      <c r="S616" s="5" t="s">
        <v>92</v>
      </c>
      <c r="T616" s="2" t="s">
        <v>6836</v>
      </c>
      <c r="U616" s="181" t="s">
        <v>85</v>
      </c>
      <c r="V616" s="7" t="s">
        <v>94</v>
      </c>
      <c r="W616" s="2" t="s">
        <v>95</v>
      </c>
      <c r="X616" s="7">
        <v>2026</v>
      </c>
      <c r="Y616" s="7" t="s">
        <v>1498</v>
      </c>
      <c r="Z616" s="2" t="s">
        <v>95</v>
      </c>
      <c r="AA616" s="2" t="s">
        <v>98</v>
      </c>
      <c r="AB616" s="2" t="s">
        <v>99</v>
      </c>
      <c r="AC616" s="31" t="s">
        <v>6837</v>
      </c>
      <c r="AD616" s="195" t="s">
        <v>6838</v>
      </c>
      <c r="AE616" s="2" t="s">
        <v>6831</v>
      </c>
      <c r="AF616" s="21" t="s">
        <v>3582</v>
      </c>
      <c r="AG616" s="21" t="s">
        <v>178</v>
      </c>
      <c r="AH616" s="21" t="s">
        <v>178</v>
      </c>
      <c r="AI616" s="21" t="s">
        <v>4733</v>
      </c>
      <c r="AJ616" s="21" t="s">
        <v>4722</v>
      </c>
      <c r="AK616" s="2" t="s">
        <v>6832</v>
      </c>
      <c r="AL616" s="21" t="s">
        <v>97</v>
      </c>
      <c r="AM616" s="2"/>
      <c r="AN616" s="2"/>
      <c r="AO616" s="2"/>
      <c r="AP616" s="2"/>
      <c r="AQ616" s="21" t="s">
        <v>6825</v>
      </c>
      <c r="AR616" s="20" t="s">
        <v>97</v>
      </c>
      <c r="AS616" s="20" t="s">
        <v>107</v>
      </c>
      <c r="AT616" s="20"/>
      <c r="AU616" s="33" t="s">
        <v>496</v>
      </c>
      <c r="AV616" s="33"/>
      <c r="AW616" s="33"/>
      <c r="AX616" s="33"/>
      <c r="AY616" s="33"/>
      <c r="AZ616" s="33" t="s">
        <v>496</v>
      </c>
      <c r="BA616" s="33"/>
      <c r="BB616" s="33"/>
      <c r="BC616" s="33"/>
      <c r="BD616" s="33"/>
      <c r="BE616" s="26">
        <v>0</v>
      </c>
      <c r="BF616" s="34">
        <f t="shared" si="121"/>
        <v>0</v>
      </c>
      <c r="BG616" s="34">
        <f t="shared" si="122"/>
        <v>0</v>
      </c>
      <c r="BH616" s="26">
        <v>0</v>
      </c>
      <c r="BI616" s="26">
        <v>0</v>
      </c>
      <c r="BJ616" s="33"/>
      <c r="BK616" s="33"/>
      <c r="BL616" s="33"/>
      <c r="BM616" s="33"/>
      <c r="BN616" s="26"/>
      <c r="BO616" s="34"/>
      <c r="BP616" s="34"/>
      <c r="BQ616" s="34"/>
      <c r="BR616" s="34"/>
      <c r="BS616" s="34"/>
      <c r="BT616" s="34"/>
      <c r="BU616" s="34"/>
      <c r="BV616" s="34"/>
      <c r="BW616" s="34"/>
      <c r="BX616" s="34"/>
      <c r="BY616" s="34"/>
      <c r="BZ616" s="34"/>
      <c r="CA616" s="20"/>
      <c r="CB616" s="33"/>
      <c r="CC616" s="46">
        <v>45996</v>
      </c>
      <c r="CD616" s="11" t="s">
        <v>6826</v>
      </c>
    </row>
    <row r="617" spans="1:82" ht="66.75" customHeight="1" x14ac:dyDescent="0.25">
      <c r="A617" s="87">
        <v>613</v>
      </c>
      <c r="B617" s="145" t="s">
        <v>7364</v>
      </c>
      <c r="C617" s="11" t="s">
        <v>6839</v>
      </c>
      <c r="D617" s="11" t="s">
        <v>6840</v>
      </c>
      <c r="E617" s="75" t="s">
        <v>113</v>
      </c>
      <c r="F617" s="19" t="s">
        <v>3560</v>
      </c>
      <c r="G617" s="11" t="s">
        <v>84</v>
      </c>
      <c r="H617" s="15" t="s">
        <v>114</v>
      </c>
      <c r="I617" s="11" t="s">
        <v>3576</v>
      </c>
      <c r="J617" s="6" t="s">
        <v>3577</v>
      </c>
      <c r="K617" s="6"/>
      <c r="L617" s="6"/>
      <c r="M617" s="82"/>
      <c r="N617" s="11" t="s">
        <v>89</v>
      </c>
      <c r="O617" s="11" t="s">
        <v>3578</v>
      </c>
      <c r="P617" s="11" t="s">
        <v>3578</v>
      </c>
      <c r="Q617" s="11"/>
      <c r="R617" s="11" t="s">
        <v>175</v>
      </c>
      <c r="S617" s="5" t="s">
        <v>4201</v>
      </c>
      <c r="T617" s="11" t="s">
        <v>93</v>
      </c>
      <c r="U617" s="11">
        <v>100</v>
      </c>
      <c r="V617" s="11" t="s">
        <v>94</v>
      </c>
      <c r="W617" s="11" t="s">
        <v>95</v>
      </c>
      <c r="X617" s="5">
        <v>2026</v>
      </c>
      <c r="Y617" s="5" t="s">
        <v>1498</v>
      </c>
      <c r="Z617" s="82" t="s">
        <v>107</v>
      </c>
      <c r="AA617" s="11" t="s">
        <v>98</v>
      </c>
      <c r="AB617" s="11" t="s">
        <v>99</v>
      </c>
      <c r="AC617" s="82" t="s">
        <v>6841</v>
      </c>
      <c r="AD617" s="11" t="s">
        <v>3593</v>
      </c>
      <c r="AE617" s="11" t="s">
        <v>6842</v>
      </c>
      <c r="AF617" s="19" t="s">
        <v>3582</v>
      </c>
      <c r="AG617" s="19" t="s">
        <v>178</v>
      </c>
      <c r="AH617" s="19" t="s">
        <v>178</v>
      </c>
      <c r="AI617" s="19" t="s">
        <v>3594</v>
      </c>
      <c r="AJ617" s="19" t="s">
        <v>6843</v>
      </c>
      <c r="AK617" s="19" t="s">
        <v>97</v>
      </c>
      <c r="AL617" s="19" t="s">
        <v>97</v>
      </c>
      <c r="AM617" s="11" t="s">
        <v>6844</v>
      </c>
      <c r="AN617" s="19" t="s">
        <v>3586</v>
      </c>
      <c r="AO617" s="19" t="s">
        <v>781</v>
      </c>
      <c r="AP617" s="19" t="s">
        <v>781</v>
      </c>
      <c r="AQ617" s="19" t="s">
        <v>3539</v>
      </c>
      <c r="AR617" s="19" t="s">
        <v>97</v>
      </c>
      <c r="AS617" s="20" t="s">
        <v>107</v>
      </c>
      <c r="AT617" s="19"/>
      <c r="AU617" s="59">
        <v>0.22</v>
      </c>
      <c r="AV617" s="24">
        <f t="shared" ref="AV617:AV628" si="129">+AU617*80%</f>
        <v>0.17600000000000002</v>
      </c>
      <c r="AW617" s="24">
        <f t="shared" ref="AW617:AW628" si="130">+AU617*60%</f>
        <v>0.13200000000000001</v>
      </c>
      <c r="AX617" s="25">
        <v>1E-4</v>
      </c>
      <c r="AY617" s="24">
        <v>0</v>
      </c>
      <c r="AZ617" s="24">
        <f t="shared" ref="AZ617:AZ632" si="131">+AU617*90%</f>
        <v>0.19800000000000001</v>
      </c>
      <c r="BA617" s="24">
        <f t="shared" ref="BA617:BA628" si="132">AZ617*80%</f>
        <v>0.15840000000000001</v>
      </c>
      <c r="BB617" s="24">
        <f t="shared" ref="BB617:BB628" si="133">AZ617*60%</f>
        <v>0.1188</v>
      </c>
      <c r="BC617" s="25">
        <v>1E-4</v>
      </c>
      <c r="BD617" s="24">
        <v>0</v>
      </c>
      <c r="BE617" s="26">
        <v>0</v>
      </c>
      <c r="BF617" s="34">
        <f t="shared" si="121"/>
        <v>0</v>
      </c>
      <c r="BG617" s="34">
        <f t="shared" si="122"/>
        <v>0</v>
      </c>
      <c r="BH617" s="26">
        <v>0</v>
      </c>
      <c r="BI617" s="26">
        <v>0</v>
      </c>
      <c r="BJ617" s="33"/>
      <c r="BK617" s="33"/>
      <c r="BL617" s="33"/>
      <c r="BM617" s="33"/>
      <c r="BN617" s="26"/>
      <c r="BO617" s="34"/>
      <c r="BP617" s="34"/>
      <c r="BQ617" s="34"/>
      <c r="BR617" s="34"/>
      <c r="BS617" s="34"/>
      <c r="BT617" s="34"/>
      <c r="BU617" s="34"/>
      <c r="BV617" s="34"/>
      <c r="BW617" s="34"/>
      <c r="BX617" s="34"/>
      <c r="BY617" s="34"/>
      <c r="BZ617" s="34"/>
      <c r="CA617" s="20"/>
      <c r="CB617" s="33"/>
      <c r="CC617" s="46">
        <v>46003</v>
      </c>
      <c r="CD617" s="11" t="s">
        <v>6845</v>
      </c>
    </row>
    <row r="618" spans="1:82" ht="66.75" customHeight="1" x14ac:dyDescent="0.25">
      <c r="A618" s="87">
        <v>614</v>
      </c>
      <c r="B618" s="145" t="s">
        <v>7365</v>
      </c>
      <c r="C618" s="11" t="s">
        <v>6846</v>
      </c>
      <c r="D618" s="11" t="s">
        <v>6847</v>
      </c>
      <c r="E618" s="75" t="s">
        <v>113</v>
      </c>
      <c r="F618" s="19" t="s">
        <v>3560</v>
      </c>
      <c r="G618" s="11" t="s">
        <v>84</v>
      </c>
      <c r="H618" s="15" t="s">
        <v>309</v>
      </c>
      <c r="I618" s="11" t="s">
        <v>3576</v>
      </c>
      <c r="J618" s="6" t="s">
        <v>3577</v>
      </c>
      <c r="K618" s="6"/>
      <c r="L618" s="6"/>
      <c r="M618" s="82"/>
      <c r="N618" s="11" t="s">
        <v>89</v>
      </c>
      <c r="O618" s="11" t="s">
        <v>3578</v>
      </c>
      <c r="P618" s="11" t="s">
        <v>3578</v>
      </c>
      <c r="Q618" s="11"/>
      <c r="R618" s="11" t="s">
        <v>175</v>
      </c>
      <c r="S618" s="5" t="s">
        <v>4201</v>
      </c>
      <c r="T618" s="11" t="s">
        <v>93</v>
      </c>
      <c r="U618" s="11">
        <v>100</v>
      </c>
      <c r="V618" s="11" t="s">
        <v>94</v>
      </c>
      <c r="W618" s="11" t="s">
        <v>95</v>
      </c>
      <c r="X618" s="5">
        <v>2026</v>
      </c>
      <c r="Y618" s="5" t="s">
        <v>1498</v>
      </c>
      <c r="Z618" s="82" t="s">
        <v>107</v>
      </c>
      <c r="AA618" s="11" t="s">
        <v>98</v>
      </c>
      <c r="AB618" s="11" t="s">
        <v>99</v>
      </c>
      <c r="AC618" s="82" t="s">
        <v>6848</v>
      </c>
      <c r="AD618" s="11" t="s">
        <v>3602</v>
      </c>
      <c r="AE618" s="200" t="s">
        <v>6842</v>
      </c>
      <c r="AF618" s="19" t="s">
        <v>3582</v>
      </c>
      <c r="AG618" s="19" t="s">
        <v>178</v>
      </c>
      <c r="AH618" s="19" t="s">
        <v>178</v>
      </c>
      <c r="AI618" s="11" t="s">
        <v>3603</v>
      </c>
      <c r="AJ618" s="11" t="s">
        <v>6849</v>
      </c>
      <c r="AK618" s="19" t="s">
        <v>97</v>
      </c>
      <c r="AL618" s="19" t="s">
        <v>97</v>
      </c>
      <c r="AM618" s="200" t="s">
        <v>6850</v>
      </c>
      <c r="AN618" s="19" t="s">
        <v>3586</v>
      </c>
      <c r="AO618" s="19" t="s">
        <v>781</v>
      </c>
      <c r="AP618" s="19" t="s">
        <v>781</v>
      </c>
      <c r="AQ618" s="19" t="s">
        <v>3539</v>
      </c>
      <c r="AR618" s="19" t="s">
        <v>97</v>
      </c>
      <c r="AS618" s="20" t="s">
        <v>107</v>
      </c>
      <c r="AT618" s="19"/>
      <c r="AU618" s="59">
        <v>0.12</v>
      </c>
      <c r="AV618" s="24">
        <f t="shared" si="129"/>
        <v>9.6000000000000002E-2</v>
      </c>
      <c r="AW618" s="24">
        <f t="shared" si="130"/>
        <v>7.1999999999999995E-2</v>
      </c>
      <c r="AX618" s="25">
        <v>1E-4</v>
      </c>
      <c r="AY618" s="24">
        <v>0</v>
      </c>
      <c r="AZ618" s="24">
        <f t="shared" si="131"/>
        <v>0.108</v>
      </c>
      <c r="BA618" s="24">
        <f t="shared" si="132"/>
        <v>8.6400000000000005E-2</v>
      </c>
      <c r="BB618" s="24">
        <f t="shared" si="133"/>
        <v>6.4799999999999996E-2</v>
      </c>
      <c r="BC618" s="25">
        <v>1E-4</v>
      </c>
      <c r="BD618" s="24">
        <v>0</v>
      </c>
      <c r="BE618" s="26">
        <v>0</v>
      </c>
      <c r="BF618" s="34">
        <f t="shared" si="121"/>
        <v>0</v>
      </c>
      <c r="BG618" s="34">
        <f t="shared" si="122"/>
        <v>0</v>
      </c>
      <c r="BH618" s="26">
        <v>0</v>
      </c>
      <c r="BI618" s="26">
        <v>0</v>
      </c>
      <c r="BJ618" s="33"/>
      <c r="BK618" s="33"/>
      <c r="BL618" s="33"/>
      <c r="BM618" s="33"/>
      <c r="BN618" s="26"/>
      <c r="BO618" s="34"/>
      <c r="BP618" s="34"/>
      <c r="BQ618" s="34"/>
      <c r="BR618" s="34"/>
      <c r="BS618" s="34"/>
      <c r="BT618" s="34"/>
      <c r="BU618" s="34"/>
      <c r="BV618" s="34"/>
      <c r="BW618" s="34"/>
      <c r="BX618" s="34"/>
      <c r="BY618" s="34"/>
      <c r="BZ618" s="34"/>
      <c r="CA618" s="20"/>
      <c r="CB618" s="33"/>
      <c r="CC618" s="46">
        <v>46003</v>
      </c>
      <c r="CD618" s="11" t="s">
        <v>6845</v>
      </c>
    </row>
    <row r="619" spans="1:82" ht="66.75" customHeight="1" x14ac:dyDescent="0.25">
      <c r="A619" s="121">
        <v>615</v>
      </c>
      <c r="B619" s="145" t="s">
        <v>7366</v>
      </c>
      <c r="C619" s="11" t="s">
        <v>6851</v>
      </c>
      <c r="D619" s="11" t="s">
        <v>6852</v>
      </c>
      <c r="E619" s="75" t="s">
        <v>113</v>
      </c>
      <c r="F619" s="19" t="s">
        <v>3560</v>
      </c>
      <c r="G619" s="11" t="s">
        <v>84</v>
      </c>
      <c r="H619" s="15" t="s">
        <v>364</v>
      </c>
      <c r="I619" s="11" t="s">
        <v>3576</v>
      </c>
      <c r="J619" s="6" t="s">
        <v>3577</v>
      </c>
      <c r="K619" s="6"/>
      <c r="L619" s="6"/>
      <c r="M619" s="82"/>
      <c r="N619" s="11" t="s">
        <v>89</v>
      </c>
      <c r="O619" s="11" t="s">
        <v>3578</v>
      </c>
      <c r="P619" s="11" t="s">
        <v>3578</v>
      </c>
      <c r="Q619" s="11"/>
      <c r="R619" s="11" t="s">
        <v>175</v>
      </c>
      <c r="S619" s="5" t="s">
        <v>4201</v>
      </c>
      <c r="T619" s="11" t="s">
        <v>93</v>
      </c>
      <c r="U619" s="11">
        <v>100</v>
      </c>
      <c r="V619" s="11" t="s">
        <v>94</v>
      </c>
      <c r="W619" s="11" t="s">
        <v>95</v>
      </c>
      <c r="X619" s="5">
        <v>2026</v>
      </c>
      <c r="Y619" s="5" t="s">
        <v>1498</v>
      </c>
      <c r="Z619" s="82" t="s">
        <v>107</v>
      </c>
      <c r="AA619" s="11" t="s">
        <v>98</v>
      </c>
      <c r="AB619" s="11" t="s">
        <v>99</v>
      </c>
      <c r="AC619" s="82" t="s">
        <v>6853</v>
      </c>
      <c r="AD619" s="11" t="s">
        <v>3612</v>
      </c>
      <c r="AE619" s="200" t="s">
        <v>6842</v>
      </c>
      <c r="AF619" s="19" t="s">
        <v>3582</v>
      </c>
      <c r="AG619" s="19" t="s">
        <v>178</v>
      </c>
      <c r="AH619" s="19" t="s">
        <v>178</v>
      </c>
      <c r="AI619" s="11" t="s">
        <v>3613</v>
      </c>
      <c r="AJ619" s="11" t="s">
        <v>6854</v>
      </c>
      <c r="AK619" s="19" t="s">
        <v>97</v>
      </c>
      <c r="AL619" s="19" t="s">
        <v>97</v>
      </c>
      <c r="AM619" s="200" t="s">
        <v>6850</v>
      </c>
      <c r="AN619" s="19" t="s">
        <v>3586</v>
      </c>
      <c r="AO619" s="19" t="s">
        <v>781</v>
      </c>
      <c r="AP619" s="19" t="s">
        <v>781</v>
      </c>
      <c r="AQ619" s="19" t="s">
        <v>3539</v>
      </c>
      <c r="AR619" s="19" t="s">
        <v>97</v>
      </c>
      <c r="AS619" s="20" t="s">
        <v>107</v>
      </c>
      <c r="AT619" s="19"/>
      <c r="AU619" s="59">
        <v>0.12</v>
      </c>
      <c r="AV619" s="24">
        <f t="shared" si="129"/>
        <v>9.6000000000000002E-2</v>
      </c>
      <c r="AW619" s="24">
        <f t="shared" si="130"/>
        <v>7.1999999999999995E-2</v>
      </c>
      <c r="AX619" s="25">
        <v>1E-4</v>
      </c>
      <c r="AY619" s="24">
        <v>0</v>
      </c>
      <c r="AZ619" s="24">
        <f t="shared" si="131"/>
        <v>0.108</v>
      </c>
      <c r="BA619" s="24">
        <f t="shared" si="132"/>
        <v>8.6400000000000005E-2</v>
      </c>
      <c r="BB619" s="24">
        <f t="shared" si="133"/>
        <v>6.4799999999999996E-2</v>
      </c>
      <c r="BC619" s="25">
        <v>1E-4</v>
      </c>
      <c r="BD619" s="24">
        <v>0</v>
      </c>
      <c r="BE619" s="26">
        <v>0</v>
      </c>
      <c r="BF619" s="34">
        <f t="shared" si="121"/>
        <v>0</v>
      </c>
      <c r="BG619" s="34">
        <f t="shared" si="122"/>
        <v>0</v>
      </c>
      <c r="BH619" s="26">
        <v>0</v>
      </c>
      <c r="BI619" s="26">
        <v>0</v>
      </c>
      <c r="BJ619" s="33"/>
      <c r="BK619" s="33"/>
      <c r="BL619" s="33"/>
      <c r="BM619" s="33"/>
      <c r="BN619" s="26"/>
      <c r="BO619" s="34"/>
      <c r="BP619" s="34"/>
      <c r="BQ619" s="34"/>
      <c r="BR619" s="34"/>
      <c r="BS619" s="34"/>
      <c r="BT619" s="34"/>
      <c r="BU619" s="34"/>
      <c r="BV619" s="34"/>
      <c r="BW619" s="34"/>
      <c r="BX619" s="34"/>
      <c r="BY619" s="34"/>
      <c r="BZ619" s="34"/>
      <c r="CA619" s="20"/>
      <c r="CB619" s="33"/>
      <c r="CC619" s="46">
        <v>46003</v>
      </c>
      <c r="CD619" s="11" t="s">
        <v>6845</v>
      </c>
    </row>
    <row r="620" spans="1:82" ht="66.75" customHeight="1" x14ac:dyDescent="0.25">
      <c r="A620" s="87">
        <v>616</v>
      </c>
      <c r="B620" s="145" t="s">
        <v>7367</v>
      </c>
      <c r="C620" s="11" t="s">
        <v>6855</v>
      </c>
      <c r="D620" s="11" t="s">
        <v>6856</v>
      </c>
      <c r="E620" s="75" t="s">
        <v>113</v>
      </c>
      <c r="F620" s="19" t="s">
        <v>3560</v>
      </c>
      <c r="G620" s="11" t="s">
        <v>84</v>
      </c>
      <c r="H620" s="15" t="s">
        <v>423</v>
      </c>
      <c r="I620" s="11" t="s">
        <v>3576</v>
      </c>
      <c r="J620" s="6" t="s">
        <v>3577</v>
      </c>
      <c r="K620" s="6"/>
      <c r="L620" s="6"/>
      <c r="M620" s="82"/>
      <c r="N620" s="11" t="s">
        <v>89</v>
      </c>
      <c r="O620" s="11" t="s">
        <v>3578</v>
      </c>
      <c r="P620" s="11" t="s">
        <v>3578</v>
      </c>
      <c r="Q620" s="11"/>
      <c r="R620" s="11" t="s">
        <v>175</v>
      </c>
      <c r="S620" s="5" t="s">
        <v>4201</v>
      </c>
      <c r="T620" s="11" t="s">
        <v>93</v>
      </c>
      <c r="U620" s="11">
        <v>100</v>
      </c>
      <c r="V620" s="11" t="s">
        <v>94</v>
      </c>
      <c r="W620" s="11" t="s">
        <v>95</v>
      </c>
      <c r="X620" s="5">
        <v>2026</v>
      </c>
      <c r="Y620" s="5" t="s">
        <v>1498</v>
      </c>
      <c r="Z620" s="82" t="s">
        <v>107</v>
      </c>
      <c r="AA620" s="11" t="s">
        <v>98</v>
      </c>
      <c r="AB620" s="11" t="s">
        <v>99</v>
      </c>
      <c r="AC620" s="82" t="s">
        <v>6857</v>
      </c>
      <c r="AD620" s="11" t="s">
        <v>3622</v>
      </c>
      <c r="AE620" s="200" t="s">
        <v>6842</v>
      </c>
      <c r="AF620" s="19" t="s">
        <v>3582</v>
      </c>
      <c r="AG620" s="19" t="s">
        <v>178</v>
      </c>
      <c r="AH620" s="19" t="s">
        <v>178</v>
      </c>
      <c r="AI620" s="11" t="s">
        <v>3623</v>
      </c>
      <c r="AJ620" s="11" t="s">
        <v>3624</v>
      </c>
      <c r="AK620" s="19" t="s">
        <v>97</v>
      </c>
      <c r="AL620" s="19" t="s">
        <v>97</v>
      </c>
      <c r="AM620" s="200" t="s">
        <v>6850</v>
      </c>
      <c r="AN620" s="19" t="s">
        <v>3586</v>
      </c>
      <c r="AO620" s="19" t="s">
        <v>781</v>
      </c>
      <c r="AP620" s="19" t="s">
        <v>781</v>
      </c>
      <c r="AQ620" s="19" t="s">
        <v>3539</v>
      </c>
      <c r="AR620" s="19" t="s">
        <v>97</v>
      </c>
      <c r="AS620" s="20" t="s">
        <v>107</v>
      </c>
      <c r="AT620" s="19"/>
      <c r="AU620" s="59">
        <v>0.06</v>
      </c>
      <c r="AV620" s="24">
        <f t="shared" si="129"/>
        <v>4.8000000000000001E-2</v>
      </c>
      <c r="AW620" s="24">
        <f t="shared" si="130"/>
        <v>3.5999999999999997E-2</v>
      </c>
      <c r="AX620" s="25">
        <v>1E-4</v>
      </c>
      <c r="AY620" s="24">
        <v>0</v>
      </c>
      <c r="AZ620" s="24">
        <f t="shared" si="131"/>
        <v>5.3999999999999999E-2</v>
      </c>
      <c r="BA620" s="24">
        <f t="shared" si="132"/>
        <v>4.3200000000000002E-2</v>
      </c>
      <c r="BB620" s="24">
        <f t="shared" si="133"/>
        <v>3.2399999999999998E-2</v>
      </c>
      <c r="BC620" s="25">
        <v>1E-4</v>
      </c>
      <c r="BD620" s="24">
        <v>0</v>
      </c>
      <c r="BE620" s="26">
        <v>0</v>
      </c>
      <c r="BF620" s="34">
        <f t="shared" si="121"/>
        <v>0</v>
      </c>
      <c r="BG620" s="34">
        <f t="shared" si="122"/>
        <v>0</v>
      </c>
      <c r="BH620" s="26">
        <v>0</v>
      </c>
      <c r="BI620" s="26">
        <v>0</v>
      </c>
      <c r="BJ620" s="33"/>
      <c r="BK620" s="33"/>
      <c r="BL620" s="33"/>
      <c r="BM620" s="33"/>
      <c r="BN620" s="26"/>
      <c r="BO620" s="34"/>
      <c r="BP620" s="34"/>
      <c r="BQ620" s="34"/>
      <c r="BR620" s="34"/>
      <c r="BS620" s="34"/>
      <c r="BT620" s="34"/>
      <c r="BU620" s="34"/>
      <c r="BV620" s="34"/>
      <c r="BW620" s="34"/>
      <c r="BX620" s="34"/>
      <c r="BY620" s="34"/>
      <c r="BZ620" s="34"/>
      <c r="CA620" s="20"/>
      <c r="CB620" s="33"/>
      <c r="CC620" s="46">
        <v>46003</v>
      </c>
      <c r="CD620" s="11" t="s">
        <v>6845</v>
      </c>
    </row>
    <row r="621" spans="1:82" ht="66.75" customHeight="1" x14ac:dyDescent="0.25">
      <c r="A621" s="87">
        <v>617</v>
      </c>
      <c r="B621" s="145" t="s">
        <v>7368</v>
      </c>
      <c r="C621" s="11" t="s">
        <v>6858</v>
      </c>
      <c r="D621" s="11" t="s">
        <v>6859</v>
      </c>
      <c r="E621" s="75" t="s">
        <v>113</v>
      </c>
      <c r="F621" s="19" t="s">
        <v>3560</v>
      </c>
      <c r="G621" s="11" t="s">
        <v>84</v>
      </c>
      <c r="H621" s="15" t="s">
        <v>436</v>
      </c>
      <c r="I621" s="11" t="s">
        <v>3576</v>
      </c>
      <c r="J621" s="6" t="s">
        <v>3577</v>
      </c>
      <c r="K621" s="6"/>
      <c r="L621" s="6"/>
      <c r="M621" s="82"/>
      <c r="N621" s="11" t="s">
        <v>89</v>
      </c>
      <c r="O621" s="11" t="s">
        <v>3578</v>
      </c>
      <c r="P621" s="11" t="s">
        <v>3578</v>
      </c>
      <c r="Q621" s="11"/>
      <c r="R621" s="11" t="s">
        <v>175</v>
      </c>
      <c r="S621" s="5" t="s">
        <v>4201</v>
      </c>
      <c r="T621" s="11" t="s">
        <v>93</v>
      </c>
      <c r="U621" s="11">
        <v>100</v>
      </c>
      <c r="V621" s="11" t="s">
        <v>94</v>
      </c>
      <c r="W621" s="11" t="s">
        <v>95</v>
      </c>
      <c r="X621" s="5">
        <v>2026</v>
      </c>
      <c r="Y621" s="5" t="s">
        <v>1498</v>
      </c>
      <c r="Z621" s="82" t="s">
        <v>107</v>
      </c>
      <c r="AA621" s="11" t="s">
        <v>98</v>
      </c>
      <c r="AB621" s="11" t="s">
        <v>99</v>
      </c>
      <c r="AC621" s="82" t="s">
        <v>6860</v>
      </c>
      <c r="AD621" s="11" t="s">
        <v>3631</v>
      </c>
      <c r="AE621" s="200" t="s">
        <v>6842</v>
      </c>
      <c r="AF621" s="19" t="s">
        <v>3582</v>
      </c>
      <c r="AG621" s="19" t="s">
        <v>178</v>
      </c>
      <c r="AH621" s="19" t="s">
        <v>178</v>
      </c>
      <c r="AI621" s="11" t="s">
        <v>3632</v>
      </c>
      <c r="AJ621" s="11" t="s">
        <v>6861</v>
      </c>
      <c r="AK621" s="19" t="s">
        <v>97</v>
      </c>
      <c r="AL621" s="19" t="s">
        <v>97</v>
      </c>
      <c r="AM621" s="200" t="s">
        <v>6850</v>
      </c>
      <c r="AN621" s="19" t="s">
        <v>3586</v>
      </c>
      <c r="AO621" s="19" t="s">
        <v>781</v>
      </c>
      <c r="AP621" s="19" t="s">
        <v>781</v>
      </c>
      <c r="AQ621" s="19" t="s">
        <v>3539</v>
      </c>
      <c r="AR621" s="19" t="s">
        <v>97</v>
      </c>
      <c r="AS621" s="20" t="s">
        <v>107</v>
      </c>
      <c r="AT621" s="19"/>
      <c r="AU621" s="59">
        <v>7.0000000000000007E-2</v>
      </c>
      <c r="AV621" s="24">
        <f t="shared" si="129"/>
        <v>5.6000000000000008E-2</v>
      </c>
      <c r="AW621" s="24">
        <f t="shared" si="130"/>
        <v>4.2000000000000003E-2</v>
      </c>
      <c r="AX621" s="25">
        <v>1E-4</v>
      </c>
      <c r="AY621" s="24">
        <v>0</v>
      </c>
      <c r="AZ621" s="24">
        <f t="shared" si="131"/>
        <v>6.3000000000000014E-2</v>
      </c>
      <c r="BA621" s="24">
        <f t="shared" si="132"/>
        <v>5.0400000000000014E-2</v>
      </c>
      <c r="BB621" s="24">
        <f t="shared" si="133"/>
        <v>3.7800000000000007E-2</v>
      </c>
      <c r="BC621" s="25">
        <v>1E-4</v>
      </c>
      <c r="BD621" s="24">
        <v>0</v>
      </c>
      <c r="BE621" s="26">
        <v>0</v>
      </c>
      <c r="BF621" s="34">
        <f t="shared" si="121"/>
        <v>0</v>
      </c>
      <c r="BG621" s="34">
        <f t="shared" si="122"/>
        <v>0</v>
      </c>
      <c r="BH621" s="26">
        <v>0</v>
      </c>
      <c r="BI621" s="26">
        <v>0</v>
      </c>
      <c r="BJ621" s="33"/>
      <c r="BK621" s="33"/>
      <c r="BL621" s="33"/>
      <c r="BM621" s="33"/>
      <c r="BN621" s="26"/>
      <c r="BO621" s="34"/>
      <c r="BP621" s="34"/>
      <c r="BQ621" s="34"/>
      <c r="BR621" s="34"/>
      <c r="BS621" s="34"/>
      <c r="BT621" s="34"/>
      <c r="BU621" s="34"/>
      <c r="BV621" s="34"/>
      <c r="BW621" s="34"/>
      <c r="BX621" s="34"/>
      <c r="BY621" s="34"/>
      <c r="BZ621" s="34"/>
      <c r="CA621" s="20"/>
      <c r="CB621" s="33"/>
      <c r="CC621" s="46">
        <v>46003</v>
      </c>
      <c r="CD621" s="11" t="s">
        <v>6845</v>
      </c>
    </row>
    <row r="622" spans="1:82" ht="66.75" customHeight="1" x14ac:dyDescent="0.25">
      <c r="A622" s="121">
        <v>618</v>
      </c>
      <c r="B622" s="145" t="s">
        <v>7369</v>
      </c>
      <c r="C622" s="11" t="s">
        <v>6862</v>
      </c>
      <c r="D622" s="11" t="s">
        <v>6863</v>
      </c>
      <c r="E622" s="75" t="s">
        <v>113</v>
      </c>
      <c r="F622" s="19" t="s">
        <v>3560</v>
      </c>
      <c r="G622" s="11" t="s">
        <v>84</v>
      </c>
      <c r="H622" s="15" t="s">
        <v>463</v>
      </c>
      <c r="I622" s="11" t="s">
        <v>3576</v>
      </c>
      <c r="J622" s="6" t="s">
        <v>3577</v>
      </c>
      <c r="K622" s="6"/>
      <c r="L622" s="6"/>
      <c r="M622" s="82"/>
      <c r="N622" s="11" t="s">
        <v>89</v>
      </c>
      <c r="O622" s="11" t="s">
        <v>3578</v>
      </c>
      <c r="P622" s="11" t="s">
        <v>3578</v>
      </c>
      <c r="Q622" s="11"/>
      <c r="R622" s="11" t="s">
        <v>175</v>
      </c>
      <c r="S622" s="5" t="s">
        <v>4201</v>
      </c>
      <c r="T622" s="11" t="s">
        <v>93</v>
      </c>
      <c r="U622" s="11">
        <v>100</v>
      </c>
      <c r="V622" s="11" t="s">
        <v>94</v>
      </c>
      <c r="W622" s="11" t="s">
        <v>95</v>
      </c>
      <c r="X622" s="5">
        <v>2026</v>
      </c>
      <c r="Y622" s="5" t="s">
        <v>1498</v>
      </c>
      <c r="Z622" s="82" t="s">
        <v>107</v>
      </c>
      <c r="AA622" s="11" t="s">
        <v>98</v>
      </c>
      <c r="AB622" s="11" t="s">
        <v>99</v>
      </c>
      <c r="AC622" s="82" t="s">
        <v>6864</v>
      </c>
      <c r="AD622" s="11" t="s">
        <v>3641</v>
      </c>
      <c r="AE622" s="200" t="s">
        <v>6842</v>
      </c>
      <c r="AF622" s="19" t="s">
        <v>3582</v>
      </c>
      <c r="AG622" s="19" t="s">
        <v>178</v>
      </c>
      <c r="AH622" s="19" t="s">
        <v>178</v>
      </c>
      <c r="AI622" s="11" t="s">
        <v>3642</v>
      </c>
      <c r="AJ622" s="11" t="s">
        <v>6865</v>
      </c>
      <c r="AK622" s="19" t="s">
        <v>97</v>
      </c>
      <c r="AL622" s="19" t="s">
        <v>97</v>
      </c>
      <c r="AM622" s="200" t="s">
        <v>6850</v>
      </c>
      <c r="AN622" s="19" t="s">
        <v>3586</v>
      </c>
      <c r="AO622" s="19" t="s">
        <v>781</v>
      </c>
      <c r="AP622" s="19" t="s">
        <v>781</v>
      </c>
      <c r="AQ622" s="19" t="s">
        <v>3539</v>
      </c>
      <c r="AR622" s="19" t="s">
        <v>97</v>
      </c>
      <c r="AS622" s="20" t="s">
        <v>107</v>
      </c>
      <c r="AT622" s="19"/>
      <c r="AU622" s="59">
        <v>0.13</v>
      </c>
      <c r="AV622" s="24">
        <f t="shared" si="129"/>
        <v>0.10400000000000001</v>
      </c>
      <c r="AW622" s="24">
        <f t="shared" si="130"/>
        <v>7.8E-2</v>
      </c>
      <c r="AX622" s="25">
        <v>1E-4</v>
      </c>
      <c r="AY622" s="24">
        <v>0</v>
      </c>
      <c r="AZ622" s="24">
        <f t="shared" si="131"/>
        <v>0.11700000000000001</v>
      </c>
      <c r="BA622" s="24">
        <f t="shared" si="132"/>
        <v>9.3600000000000017E-2</v>
      </c>
      <c r="BB622" s="24">
        <f t="shared" si="133"/>
        <v>7.0199999999999999E-2</v>
      </c>
      <c r="BC622" s="25">
        <v>1E-4</v>
      </c>
      <c r="BD622" s="24">
        <v>0</v>
      </c>
      <c r="BE622" s="26">
        <v>0</v>
      </c>
      <c r="BF622" s="34">
        <f t="shared" si="121"/>
        <v>0</v>
      </c>
      <c r="BG622" s="34">
        <f t="shared" si="122"/>
        <v>0</v>
      </c>
      <c r="BH622" s="26">
        <v>0</v>
      </c>
      <c r="BI622" s="26">
        <v>0</v>
      </c>
      <c r="BJ622" s="33"/>
      <c r="BK622" s="33"/>
      <c r="BL622" s="33"/>
      <c r="BM622" s="33"/>
      <c r="BN622" s="26"/>
      <c r="BO622" s="34"/>
      <c r="BP622" s="34"/>
      <c r="BQ622" s="34"/>
      <c r="BR622" s="34"/>
      <c r="BS622" s="34"/>
      <c r="BT622" s="34"/>
      <c r="BU622" s="34"/>
      <c r="BV622" s="34"/>
      <c r="BW622" s="34"/>
      <c r="BX622" s="34"/>
      <c r="BY622" s="34"/>
      <c r="BZ622" s="34"/>
      <c r="CA622" s="20"/>
      <c r="CB622" s="33"/>
      <c r="CC622" s="46">
        <v>46003</v>
      </c>
      <c r="CD622" s="11" t="s">
        <v>6845</v>
      </c>
    </row>
    <row r="623" spans="1:82" ht="66.75" customHeight="1" x14ac:dyDescent="0.25">
      <c r="A623" s="87">
        <v>619</v>
      </c>
      <c r="B623" s="145" t="s">
        <v>7370</v>
      </c>
      <c r="C623" s="11" t="s">
        <v>6866</v>
      </c>
      <c r="D623" s="11" t="s">
        <v>6867</v>
      </c>
      <c r="E623" s="75" t="s">
        <v>113</v>
      </c>
      <c r="F623" s="19" t="s">
        <v>3560</v>
      </c>
      <c r="G623" s="11" t="s">
        <v>84</v>
      </c>
      <c r="H623" s="11" t="s">
        <v>775</v>
      </c>
      <c r="I623" s="11" t="s">
        <v>3576</v>
      </c>
      <c r="J623" s="6" t="s">
        <v>3577</v>
      </c>
      <c r="K623" s="6"/>
      <c r="L623" s="6"/>
      <c r="M623" s="82"/>
      <c r="N623" s="11" t="s">
        <v>89</v>
      </c>
      <c r="O623" s="11" t="s">
        <v>3578</v>
      </c>
      <c r="P623" s="11" t="s">
        <v>3578</v>
      </c>
      <c r="Q623" s="11"/>
      <c r="R623" s="11" t="s">
        <v>175</v>
      </c>
      <c r="S623" s="5" t="s">
        <v>4201</v>
      </c>
      <c r="T623" s="11" t="s">
        <v>93</v>
      </c>
      <c r="U623" s="11">
        <v>100</v>
      </c>
      <c r="V623" s="11" t="s">
        <v>94</v>
      </c>
      <c r="W623" s="11" t="s">
        <v>95</v>
      </c>
      <c r="X623" s="5">
        <v>2026</v>
      </c>
      <c r="Y623" s="5" t="s">
        <v>1498</v>
      </c>
      <c r="Z623" s="82" t="s">
        <v>107</v>
      </c>
      <c r="AA623" s="11" t="s">
        <v>98</v>
      </c>
      <c r="AB623" s="11" t="s">
        <v>99</v>
      </c>
      <c r="AC623" s="82" t="s">
        <v>7259</v>
      </c>
      <c r="AD623" s="11" t="s">
        <v>6868</v>
      </c>
      <c r="AE623" s="151" t="s">
        <v>6869</v>
      </c>
      <c r="AF623" s="19" t="s">
        <v>3582</v>
      </c>
      <c r="AG623" s="19" t="s">
        <v>3583</v>
      </c>
      <c r="AH623" s="19" t="s">
        <v>218</v>
      </c>
      <c r="AI623" s="19" t="s">
        <v>3584</v>
      </c>
      <c r="AJ623" s="19" t="s">
        <v>6868</v>
      </c>
      <c r="AK623" s="19" t="s">
        <v>97</v>
      </c>
      <c r="AL623" s="19" t="s">
        <v>97</v>
      </c>
      <c r="AM623" s="11" t="s">
        <v>6870</v>
      </c>
      <c r="AN623" s="19" t="s">
        <v>3586</v>
      </c>
      <c r="AO623" s="19" t="s">
        <v>781</v>
      </c>
      <c r="AP623" s="19" t="s">
        <v>781</v>
      </c>
      <c r="AQ623" s="19" t="s">
        <v>3539</v>
      </c>
      <c r="AR623" s="19" t="s">
        <v>97</v>
      </c>
      <c r="AS623" s="20" t="s">
        <v>107</v>
      </c>
      <c r="AT623" s="19"/>
      <c r="AU623" s="59">
        <v>0.12</v>
      </c>
      <c r="AV623" s="24">
        <f t="shared" si="129"/>
        <v>9.6000000000000002E-2</v>
      </c>
      <c r="AW623" s="24">
        <f t="shared" si="130"/>
        <v>7.1999999999999995E-2</v>
      </c>
      <c r="AX623" s="25">
        <v>1E-4</v>
      </c>
      <c r="AY623" s="24">
        <v>0</v>
      </c>
      <c r="AZ623" s="24">
        <f t="shared" si="131"/>
        <v>0.108</v>
      </c>
      <c r="BA623" s="24">
        <f t="shared" si="132"/>
        <v>8.6400000000000005E-2</v>
      </c>
      <c r="BB623" s="24">
        <f t="shared" si="133"/>
        <v>6.4799999999999996E-2</v>
      </c>
      <c r="BC623" s="25">
        <v>1E-4</v>
      </c>
      <c r="BD623" s="24">
        <v>0</v>
      </c>
      <c r="BE623" s="26">
        <v>0</v>
      </c>
      <c r="BF623" s="34">
        <f t="shared" si="121"/>
        <v>0</v>
      </c>
      <c r="BG623" s="34">
        <f t="shared" si="122"/>
        <v>0</v>
      </c>
      <c r="BH623" s="26">
        <v>0</v>
      </c>
      <c r="BI623" s="26">
        <v>0</v>
      </c>
      <c r="BJ623" s="33"/>
      <c r="BK623" s="33"/>
      <c r="BL623" s="33"/>
      <c r="BM623" s="33"/>
      <c r="BN623" s="26"/>
      <c r="BO623" s="34"/>
      <c r="BP623" s="34"/>
      <c r="BQ623" s="34"/>
      <c r="BR623" s="34"/>
      <c r="BS623" s="34"/>
      <c r="BT623" s="34"/>
      <c r="BU623" s="34"/>
      <c r="BV623" s="34"/>
      <c r="BW623" s="34"/>
      <c r="BX623" s="34"/>
      <c r="BY623" s="34"/>
      <c r="BZ623" s="34"/>
      <c r="CA623" s="20"/>
      <c r="CB623" s="33"/>
      <c r="CC623" s="46">
        <v>46003</v>
      </c>
      <c r="CD623" s="11" t="s">
        <v>6845</v>
      </c>
    </row>
    <row r="624" spans="1:82" ht="66.75" customHeight="1" x14ac:dyDescent="0.25">
      <c r="A624" s="87">
        <v>620</v>
      </c>
      <c r="B624" s="145" t="s">
        <v>7371</v>
      </c>
      <c r="C624" s="11" t="s">
        <v>6871</v>
      </c>
      <c r="D624" s="11" t="s">
        <v>6872</v>
      </c>
      <c r="E624" s="75" t="s">
        <v>113</v>
      </c>
      <c r="F624" s="11" t="s">
        <v>3560</v>
      </c>
      <c r="G624" s="11" t="s">
        <v>781</v>
      </c>
      <c r="H624" s="11" t="s">
        <v>775</v>
      </c>
      <c r="I624" s="11" t="s">
        <v>3576</v>
      </c>
      <c r="J624" s="6" t="s">
        <v>3577</v>
      </c>
      <c r="K624" s="6"/>
      <c r="L624" s="6"/>
      <c r="M624" s="11" t="s">
        <v>88</v>
      </c>
      <c r="N624" s="11" t="s">
        <v>89</v>
      </c>
      <c r="O624" s="11" t="s">
        <v>6873</v>
      </c>
      <c r="P624" s="11" t="s">
        <v>6873</v>
      </c>
      <c r="Q624" s="11"/>
      <c r="R624" s="11" t="s">
        <v>91</v>
      </c>
      <c r="S624" s="5" t="s">
        <v>92</v>
      </c>
      <c r="T624" s="11" t="s">
        <v>93</v>
      </c>
      <c r="U624" s="11">
        <v>100</v>
      </c>
      <c r="V624" s="11" t="s">
        <v>94</v>
      </c>
      <c r="W624" s="7" t="s">
        <v>185</v>
      </c>
      <c r="X624" s="5">
        <v>2026</v>
      </c>
      <c r="Y624" s="7" t="s">
        <v>1498</v>
      </c>
      <c r="Z624" s="7" t="s">
        <v>95</v>
      </c>
      <c r="AA624" s="7" t="s">
        <v>98</v>
      </c>
      <c r="AB624" s="11" t="s">
        <v>99</v>
      </c>
      <c r="AC624" s="82" t="s">
        <v>6874</v>
      </c>
      <c r="AD624" s="11" t="s">
        <v>6868</v>
      </c>
      <c r="AE624" t="s">
        <v>6875</v>
      </c>
      <c r="AF624" s="11" t="s">
        <v>3582</v>
      </c>
      <c r="AG624" s="11" t="s">
        <v>3583</v>
      </c>
      <c r="AH624" s="11" t="s">
        <v>218</v>
      </c>
      <c r="AI624" s="11" t="s">
        <v>3584</v>
      </c>
      <c r="AJ624" s="11" t="s">
        <v>6868</v>
      </c>
      <c r="AK624" s="7" t="s">
        <v>97</v>
      </c>
      <c r="AL624" s="7" t="s">
        <v>97</v>
      </c>
      <c r="AM624" s="11" t="s">
        <v>6876</v>
      </c>
      <c r="AN624" s="11" t="s">
        <v>781</v>
      </c>
      <c r="AO624" s="11" t="s">
        <v>781</v>
      </c>
      <c r="AP624" s="11" t="s">
        <v>781</v>
      </c>
      <c r="AQ624" s="11" t="s">
        <v>3539</v>
      </c>
      <c r="AR624" s="11" t="s">
        <v>97</v>
      </c>
      <c r="AS624" s="20" t="s">
        <v>107</v>
      </c>
      <c r="AT624" s="11"/>
      <c r="AU624" s="59">
        <v>0.12</v>
      </c>
      <c r="AV624" s="24">
        <f t="shared" si="129"/>
        <v>9.6000000000000002E-2</v>
      </c>
      <c r="AW624" s="24">
        <f t="shared" si="130"/>
        <v>7.1999999999999995E-2</v>
      </c>
      <c r="AX624" s="25">
        <v>1E-4</v>
      </c>
      <c r="AY624" s="24">
        <v>0</v>
      </c>
      <c r="AZ624" s="24">
        <f t="shared" si="131"/>
        <v>0.108</v>
      </c>
      <c r="BA624" s="24">
        <f t="shared" si="132"/>
        <v>8.6400000000000005E-2</v>
      </c>
      <c r="BB624" s="24">
        <f t="shared" si="133"/>
        <v>6.4799999999999996E-2</v>
      </c>
      <c r="BC624" s="25">
        <v>1E-4</v>
      </c>
      <c r="BD624" s="24">
        <v>0</v>
      </c>
      <c r="BE624" s="26">
        <v>0</v>
      </c>
      <c r="BF624" s="34">
        <f t="shared" si="121"/>
        <v>0</v>
      </c>
      <c r="BG624" s="34">
        <f t="shared" si="122"/>
        <v>0</v>
      </c>
      <c r="BH624" s="26">
        <v>0</v>
      </c>
      <c r="BI624" s="26">
        <v>0</v>
      </c>
      <c r="BJ624" s="33"/>
      <c r="BK624" s="33"/>
      <c r="BL624" s="33"/>
      <c r="BM624" s="33"/>
      <c r="BN624" s="26"/>
      <c r="BO624" s="34"/>
      <c r="BP624" s="34"/>
      <c r="BQ624" s="34"/>
      <c r="BR624" s="34"/>
      <c r="BS624" s="34"/>
      <c r="BT624" s="34"/>
      <c r="BU624" s="34"/>
      <c r="BV624" s="34"/>
      <c r="BW624" s="34"/>
      <c r="BX624" s="34"/>
      <c r="BY624" s="34"/>
      <c r="BZ624" s="34"/>
      <c r="CA624" s="20"/>
      <c r="CB624" s="33"/>
      <c r="CC624" s="46">
        <v>46003</v>
      </c>
      <c r="CD624" s="11" t="s">
        <v>6845</v>
      </c>
    </row>
    <row r="625" spans="1:82" ht="66.75" customHeight="1" x14ac:dyDescent="0.25">
      <c r="A625" s="121">
        <v>621</v>
      </c>
      <c r="B625" s="145" t="s">
        <v>7372</v>
      </c>
      <c r="C625" s="82" t="s">
        <v>6877</v>
      </c>
      <c r="D625" s="82" t="s">
        <v>6878</v>
      </c>
      <c r="E625" s="75" t="s">
        <v>113</v>
      </c>
      <c r="F625" s="19" t="s">
        <v>81</v>
      </c>
      <c r="G625" s="11" t="s">
        <v>84</v>
      </c>
      <c r="H625" s="11" t="s">
        <v>775</v>
      </c>
      <c r="I625" s="11" t="s">
        <v>578</v>
      </c>
      <c r="J625" s="11"/>
      <c r="K625" s="11"/>
      <c r="L625" s="11"/>
      <c r="M625" s="11" t="s">
        <v>88</v>
      </c>
      <c r="N625" s="11" t="s">
        <v>89</v>
      </c>
      <c r="O625" s="11" t="s">
        <v>579</v>
      </c>
      <c r="P625" s="11" t="s">
        <v>580</v>
      </c>
      <c r="Q625" s="11"/>
      <c r="R625" s="11" t="s">
        <v>91</v>
      </c>
      <c r="S625" s="5" t="s">
        <v>92</v>
      </c>
      <c r="T625" s="11" t="s">
        <v>93</v>
      </c>
      <c r="U625" s="11">
        <v>100</v>
      </c>
      <c r="V625" s="11" t="s">
        <v>94</v>
      </c>
      <c r="W625" s="11" t="s">
        <v>95</v>
      </c>
      <c r="X625" s="5">
        <v>2026</v>
      </c>
      <c r="Y625" s="11" t="s">
        <v>1498</v>
      </c>
      <c r="Z625" s="11" t="s">
        <v>97</v>
      </c>
      <c r="AA625" s="11" t="s">
        <v>98</v>
      </c>
      <c r="AB625" s="11" t="s">
        <v>99</v>
      </c>
      <c r="AC625" s="82" t="s">
        <v>7260</v>
      </c>
      <c r="AD625" s="11" t="s">
        <v>6879</v>
      </c>
      <c r="AE625" s="11" t="s">
        <v>840</v>
      </c>
      <c r="AF625" s="19" t="s">
        <v>121</v>
      </c>
      <c r="AG625" s="19" t="s">
        <v>218</v>
      </c>
      <c r="AH625" s="19" t="s">
        <v>123</v>
      </c>
      <c r="AI625" s="11" t="s">
        <v>6880</v>
      </c>
      <c r="AJ625" s="11" t="s">
        <v>6881</v>
      </c>
      <c r="AK625" s="19" t="s">
        <v>97</v>
      </c>
      <c r="AL625" s="19" t="s">
        <v>97</v>
      </c>
      <c r="AM625" s="15" t="s">
        <v>5539</v>
      </c>
      <c r="AN625" s="11" t="s">
        <v>631</v>
      </c>
      <c r="AO625" s="11" t="s">
        <v>781</v>
      </c>
      <c r="AP625" s="11" t="s">
        <v>781</v>
      </c>
      <c r="AQ625" s="65" t="s">
        <v>6882</v>
      </c>
      <c r="AR625" s="19" t="s">
        <v>97</v>
      </c>
      <c r="AS625" s="20" t="s">
        <v>107</v>
      </c>
      <c r="AT625" s="19"/>
      <c r="AU625" s="59">
        <v>0.1</v>
      </c>
      <c r="AV625" s="24">
        <f t="shared" si="129"/>
        <v>8.0000000000000016E-2</v>
      </c>
      <c r="AW625" s="24">
        <f t="shared" si="130"/>
        <v>0.06</v>
      </c>
      <c r="AX625" s="25">
        <v>1E-4</v>
      </c>
      <c r="AY625" s="24">
        <v>0</v>
      </c>
      <c r="AZ625" s="24">
        <f t="shared" si="131"/>
        <v>9.0000000000000011E-2</v>
      </c>
      <c r="BA625" s="24">
        <f t="shared" si="132"/>
        <v>7.2000000000000008E-2</v>
      </c>
      <c r="BB625" s="24">
        <f t="shared" si="133"/>
        <v>5.4000000000000006E-2</v>
      </c>
      <c r="BC625" s="25">
        <v>1E-4</v>
      </c>
      <c r="BD625" s="24">
        <v>0</v>
      </c>
      <c r="BE625" s="26">
        <v>0</v>
      </c>
      <c r="BF625" s="34">
        <f t="shared" si="121"/>
        <v>0</v>
      </c>
      <c r="BG625" s="34">
        <f t="shared" si="122"/>
        <v>0</v>
      </c>
      <c r="BH625" s="26">
        <v>0</v>
      </c>
      <c r="BI625" s="26">
        <v>0</v>
      </c>
      <c r="BJ625" s="33"/>
      <c r="BK625" s="33"/>
      <c r="BL625" s="33"/>
      <c r="BM625" s="33"/>
      <c r="BN625" s="26"/>
      <c r="BO625" s="34"/>
      <c r="BP625" s="34"/>
      <c r="BQ625" s="34"/>
      <c r="BR625" s="34"/>
      <c r="BS625" s="34"/>
      <c r="BT625" s="34"/>
      <c r="BU625" s="34"/>
      <c r="BV625" s="34"/>
      <c r="BW625" s="34"/>
      <c r="BX625" s="34"/>
      <c r="BY625" s="34"/>
      <c r="BZ625" s="34"/>
      <c r="CA625" s="20"/>
      <c r="CB625" s="33"/>
      <c r="CC625" s="46">
        <v>46003</v>
      </c>
      <c r="CD625" s="11" t="s">
        <v>6845</v>
      </c>
    </row>
    <row r="626" spans="1:82" ht="66.75" customHeight="1" x14ac:dyDescent="0.25">
      <c r="A626" s="87">
        <v>622</v>
      </c>
      <c r="B626" s="145" t="s">
        <v>7373</v>
      </c>
      <c r="C626" s="6" t="s">
        <v>6883</v>
      </c>
      <c r="D626" s="6" t="s">
        <v>6884</v>
      </c>
      <c r="E626" s="75" t="s">
        <v>113</v>
      </c>
      <c r="F626" s="19" t="s">
        <v>81</v>
      </c>
      <c r="G626" s="11" t="s">
        <v>84</v>
      </c>
      <c r="H626" s="11" t="s">
        <v>775</v>
      </c>
      <c r="I626" s="11" t="s">
        <v>578</v>
      </c>
      <c r="J626" s="11"/>
      <c r="K626" s="11"/>
      <c r="L626" s="11"/>
      <c r="M626" s="11" t="s">
        <v>88</v>
      </c>
      <c r="N626" s="11" t="s">
        <v>89</v>
      </c>
      <c r="O626" s="11" t="s">
        <v>579</v>
      </c>
      <c r="P626" s="11" t="s">
        <v>580</v>
      </c>
      <c r="Q626" s="11"/>
      <c r="R626" s="11" t="s">
        <v>91</v>
      </c>
      <c r="S626" s="5" t="s">
        <v>92</v>
      </c>
      <c r="T626" s="11" t="s">
        <v>93</v>
      </c>
      <c r="U626" s="11">
        <v>100</v>
      </c>
      <c r="V626" s="11" t="s">
        <v>94</v>
      </c>
      <c r="W626" s="11" t="s">
        <v>95</v>
      </c>
      <c r="X626" s="5">
        <v>2026</v>
      </c>
      <c r="Y626" s="11" t="s">
        <v>6885</v>
      </c>
      <c r="Z626" s="7" t="s">
        <v>97</v>
      </c>
      <c r="AA626" s="11" t="s">
        <v>973</v>
      </c>
      <c r="AB626" s="11" t="s">
        <v>99</v>
      </c>
      <c r="AC626" s="82" t="s">
        <v>6886</v>
      </c>
      <c r="AD626" s="11" t="s">
        <v>6887</v>
      </c>
      <c r="AE626" s="11" t="s">
        <v>1066</v>
      </c>
      <c r="AF626" s="11" t="s">
        <v>1067</v>
      </c>
      <c r="AG626" s="11" t="s">
        <v>218</v>
      </c>
      <c r="AH626" s="11" t="s">
        <v>6888</v>
      </c>
      <c r="AI626" s="11" t="s">
        <v>6889</v>
      </c>
      <c r="AJ626" s="11" t="s">
        <v>6890</v>
      </c>
      <c r="AK626" s="19" t="s">
        <v>97</v>
      </c>
      <c r="AL626" s="19" t="s">
        <v>97</v>
      </c>
      <c r="AM626" s="11" t="s">
        <v>6891</v>
      </c>
      <c r="AN626" s="11" t="s">
        <v>6892</v>
      </c>
      <c r="AO626" s="11" t="s">
        <v>6893</v>
      </c>
      <c r="AP626" s="11" t="s">
        <v>6894</v>
      </c>
      <c r="AQ626" s="19" t="s">
        <v>1046</v>
      </c>
      <c r="AR626" s="19" t="s">
        <v>97</v>
      </c>
      <c r="AS626" s="20" t="s">
        <v>107</v>
      </c>
      <c r="AT626" s="19"/>
      <c r="AU626" s="59">
        <v>0.6</v>
      </c>
      <c r="AV626" s="24">
        <f t="shared" si="129"/>
        <v>0.48</v>
      </c>
      <c r="AW626" s="24">
        <f t="shared" si="130"/>
        <v>0.36</v>
      </c>
      <c r="AX626" s="25">
        <v>1E-4</v>
      </c>
      <c r="AY626" s="24">
        <v>0</v>
      </c>
      <c r="AZ626" s="24">
        <f t="shared" si="131"/>
        <v>0.54</v>
      </c>
      <c r="BA626" s="24">
        <f t="shared" si="132"/>
        <v>0.43200000000000005</v>
      </c>
      <c r="BB626" s="24">
        <f t="shared" si="133"/>
        <v>0.32400000000000001</v>
      </c>
      <c r="BC626" s="25">
        <v>1E-4</v>
      </c>
      <c r="BD626" s="24">
        <v>0</v>
      </c>
      <c r="BE626" s="26">
        <v>0</v>
      </c>
      <c r="BF626" s="34">
        <f t="shared" si="121"/>
        <v>0</v>
      </c>
      <c r="BG626" s="34">
        <f t="shared" si="122"/>
        <v>0</v>
      </c>
      <c r="BH626" s="26">
        <v>0</v>
      </c>
      <c r="BI626" s="26">
        <v>0</v>
      </c>
      <c r="BJ626" s="33"/>
      <c r="BK626" s="33"/>
      <c r="BL626" s="33"/>
      <c r="BM626" s="33"/>
      <c r="BN626" s="26"/>
      <c r="BO626" s="34"/>
      <c r="BP626" s="34"/>
      <c r="BQ626" s="34"/>
      <c r="BR626" s="34"/>
      <c r="BS626" s="34"/>
      <c r="BT626" s="34"/>
      <c r="BU626" s="34"/>
      <c r="BV626" s="34"/>
      <c r="BW626" s="34"/>
      <c r="BX626" s="34"/>
      <c r="BY626" s="34"/>
      <c r="BZ626" s="34"/>
      <c r="CA626" s="20"/>
      <c r="CB626" s="33"/>
      <c r="CC626" s="46">
        <v>46003</v>
      </c>
      <c r="CD626" s="11" t="s">
        <v>6845</v>
      </c>
    </row>
    <row r="627" spans="1:82" ht="66.75" customHeight="1" x14ac:dyDescent="0.25">
      <c r="A627" s="87">
        <v>623</v>
      </c>
      <c r="B627" s="145" t="s">
        <v>7374</v>
      </c>
      <c r="C627" s="82" t="s">
        <v>6895</v>
      </c>
      <c r="D627" s="82" t="s">
        <v>6896</v>
      </c>
      <c r="E627" s="75" t="s">
        <v>113</v>
      </c>
      <c r="F627" s="11" t="s">
        <v>81</v>
      </c>
      <c r="G627" s="11" t="s">
        <v>84</v>
      </c>
      <c r="H627" s="11" t="s">
        <v>114</v>
      </c>
      <c r="I627" s="11" t="s">
        <v>578</v>
      </c>
      <c r="J627" s="11"/>
      <c r="K627" s="11"/>
      <c r="L627" s="11"/>
      <c r="M627" s="11" t="s">
        <v>88</v>
      </c>
      <c r="N627" s="11" t="s">
        <v>89</v>
      </c>
      <c r="O627" s="11" t="s">
        <v>579</v>
      </c>
      <c r="P627" s="11" t="s">
        <v>580</v>
      </c>
      <c r="Q627" s="11"/>
      <c r="R627" s="11" t="s">
        <v>91</v>
      </c>
      <c r="S627" s="5" t="s">
        <v>92</v>
      </c>
      <c r="T627" s="11" t="s">
        <v>93</v>
      </c>
      <c r="U627" s="11">
        <v>100</v>
      </c>
      <c r="V627" s="11" t="s">
        <v>94</v>
      </c>
      <c r="W627" s="11" t="s">
        <v>95</v>
      </c>
      <c r="X627" s="5">
        <v>2026</v>
      </c>
      <c r="Y627" s="11" t="s">
        <v>1498</v>
      </c>
      <c r="Z627" s="7" t="s">
        <v>97</v>
      </c>
      <c r="AA627" s="11" t="s">
        <v>98</v>
      </c>
      <c r="AB627" s="11" t="s">
        <v>99</v>
      </c>
      <c r="AC627" s="82" t="s">
        <v>7417</v>
      </c>
      <c r="AD627" s="11" t="s">
        <v>6897</v>
      </c>
      <c r="AE627" s="11" t="s">
        <v>778</v>
      </c>
      <c r="AF627" s="11" t="s">
        <v>121</v>
      </c>
      <c r="AG627" s="11" t="s">
        <v>218</v>
      </c>
      <c r="AH627" s="11" t="s">
        <v>123</v>
      </c>
      <c r="AI627" s="15" t="s">
        <v>6898</v>
      </c>
      <c r="AJ627" s="11" t="s">
        <v>6899</v>
      </c>
      <c r="AK627" s="11" t="s">
        <v>97</v>
      </c>
      <c r="AL627" s="11" t="s">
        <v>97</v>
      </c>
      <c r="AM627" s="15" t="s">
        <v>641</v>
      </c>
      <c r="AN627" s="11" t="s">
        <v>631</v>
      </c>
      <c r="AO627" s="11" t="s">
        <v>781</v>
      </c>
      <c r="AP627" s="11" t="s">
        <v>781</v>
      </c>
      <c r="AQ627" s="65" t="s">
        <v>6900</v>
      </c>
      <c r="AR627" s="11" t="s">
        <v>97</v>
      </c>
      <c r="AS627" s="20" t="s">
        <v>107</v>
      </c>
      <c r="AT627" s="11"/>
      <c r="AU627" s="59">
        <v>0.95</v>
      </c>
      <c r="AV627" s="24">
        <f t="shared" si="129"/>
        <v>0.76</v>
      </c>
      <c r="AW627" s="24">
        <f t="shared" si="130"/>
        <v>0.56999999999999995</v>
      </c>
      <c r="AX627" s="25">
        <v>1E-4</v>
      </c>
      <c r="AY627" s="24">
        <v>0</v>
      </c>
      <c r="AZ627" s="24">
        <f t="shared" si="131"/>
        <v>0.85499999999999998</v>
      </c>
      <c r="BA627" s="24">
        <f t="shared" si="132"/>
        <v>0.68400000000000005</v>
      </c>
      <c r="BB627" s="24">
        <f t="shared" si="133"/>
        <v>0.51300000000000001</v>
      </c>
      <c r="BC627" s="25">
        <v>1E-4</v>
      </c>
      <c r="BD627" s="24">
        <v>0</v>
      </c>
      <c r="BE627" s="26">
        <v>0</v>
      </c>
      <c r="BF627" s="34">
        <f t="shared" si="121"/>
        <v>0</v>
      </c>
      <c r="BG627" s="34">
        <f t="shared" si="122"/>
        <v>0</v>
      </c>
      <c r="BH627" s="26">
        <v>0</v>
      </c>
      <c r="BI627" s="26">
        <v>0</v>
      </c>
      <c r="BJ627" s="33"/>
      <c r="BK627" s="33"/>
      <c r="BL627" s="33"/>
      <c r="BM627" s="33"/>
      <c r="BN627" s="26"/>
      <c r="BO627" s="34"/>
      <c r="BP627" s="34"/>
      <c r="BQ627" s="34"/>
      <c r="BR627" s="34"/>
      <c r="BS627" s="34"/>
      <c r="BT627" s="34"/>
      <c r="BU627" s="34"/>
      <c r="BV627" s="34"/>
      <c r="BW627" s="34"/>
      <c r="BX627" s="34"/>
      <c r="BY627" s="34"/>
      <c r="BZ627" s="34"/>
      <c r="CA627" s="20"/>
      <c r="CB627" s="33"/>
      <c r="CC627" s="46">
        <v>46003</v>
      </c>
      <c r="CD627" s="11" t="s">
        <v>6845</v>
      </c>
    </row>
    <row r="628" spans="1:82" ht="66.75" customHeight="1" x14ac:dyDescent="0.25">
      <c r="A628" s="121">
        <v>624</v>
      </c>
      <c r="B628" s="145" t="s">
        <v>7375</v>
      </c>
      <c r="C628" s="82" t="s">
        <v>6901</v>
      </c>
      <c r="D628" s="82" t="s">
        <v>6902</v>
      </c>
      <c r="E628" s="75" t="s">
        <v>113</v>
      </c>
      <c r="F628" s="5" t="s">
        <v>3560</v>
      </c>
      <c r="G628" s="5" t="s">
        <v>84</v>
      </c>
      <c r="H628" s="82" t="s">
        <v>775</v>
      </c>
      <c r="I628" s="82" t="s">
        <v>3561</v>
      </c>
      <c r="J628" s="82"/>
      <c r="K628" s="82"/>
      <c r="L628" s="82"/>
      <c r="M628" s="82" t="s">
        <v>88</v>
      </c>
      <c r="N628" s="82" t="s">
        <v>89</v>
      </c>
      <c r="O628" s="82" t="s">
        <v>3562</v>
      </c>
      <c r="P628" s="5" t="s">
        <v>5064</v>
      </c>
      <c r="Q628" s="5"/>
      <c r="R628" s="5" t="s">
        <v>175</v>
      </c>
      <c r="S628" s="5" t="s">
        <v>92</v>
      </c>
      <c r="T628" s="82" t="s">
        <v>93</v>
      </c>
      <c r="U628" s="91">
        <v>100</v>
      </c>
      <c r="V628" s="5" t="s">
        <v>94</v>
      </c>
      <c r="W628" s="5" t="s">
        <v>95</v>
      </c>
      <c r="X628" s="5">
        <v>2026</v>
      </c>
      <c r="Y628" s="82" t="s">
        <v>1498</v>
      </c>
      <c r="Z628" s="5" t="s">
        <v>95</v>
      </c>
      <c r="AA628" s="5" t="s">
        <v>98</v>
      </c>
      <c r="AB628" s="82" t="s">
        <v>6903</v>
      </c>
      <c r="AC628" s="79" t="s">
        <v>6904</v>
      </c>
      <c r="AD628" s="79" t="s">
        <v>6905</v>
      </c>
      <c r="AE628" s="6" t="s">
        <v>5068</v>
      </c>
      <c r="AF628" s="5" t="s">
        <v>5117</v>
      </c>
      <c r="AG628" s="6" t="s">
        <v>178</v>
      </c>
      <c r="AH628" s="6" t="s">
        <v>178</v>
      </c>
      <c r="AI628" s="82" t="s">
        <v>3147</v>
      </c>
      <c r="AJ628" s="82" t="s">
        <v>6906</v>
      </c>
      <c r="AK628" s="7" t="s">
        <v>97</v>
      </c>
      <c r="AL628" s="7" t="s">
        <v>97</v>
      </c>
      <c r="AM628" s="5" t="s">
        <v>781</v>
      </c>
      <c r="AN628" s="5" t="s">
        <v>781</v>
      </c>
      <c r="AO628" s="5" t="s">
        <v>781</v>
      </c>
      <c r="AP628" s="5" t="s">
        <v>781</v>
      </c>
      <c r="AQ628" s="82" t="s">
        <v>5126</v>
      </c>
      <c r="AR628" s="5" t="s">
        <v>97</v>
      </c>
      <c r="AS628" s="20" t="s">
        <v>107</v>
      </c>
      <c r="AT628" s="5"/>
      <c r="AU628" s="24">
        <v>0.4</v>
      </c>
      <c r="AV628" s="24">
        <f t="shared" si="129"/>
        <v>0.32000000000000006</v>
      </c>
      <c r="AW628" s="24">
        <f t="shared" si="130"/>
        <v>0.24</v>
      </c>
      <c r="AX628" s="25">
        <v>1E-4</v>
      </c>
      <c r="AY628" s="24">
        <v>0</v>
      </c>
      <c r="AZ628" s="24">
        <f t="shared" si="131"/>
        <v>0.36000000000000004</v>
      </c>
      <c r="BA628" s="24">
        <f t="shared" si="132"/>
        <v>0.28800000000000003</v>
      </c>
      <c r="BB628" s="24">
        <f t="shared" si="133"/>
        <v>0.21600000000000003</v>
      </c>
      <c r="BC628" s="25">
        <v>1E-4</v>
      </c>
      <c r="BD628" s="24">
        <v>0</v>
      </c>
      <c r="BE628" s="26">
        <v>0</v>
      </c>
      <c r="BF628" s="34">
        <f t="shared" si="121"/>
        <v>0</v>
      </c>
      <c r="BG628" s="34">
        <f t="shared" si="122"/>
        <v>0</v>
      </c>
      <c r="BH628" s="26">
        <v>0</v>
      </c>
      <c r="BI628" s="26">
        <v>0</v>
      </c>
      <c r="BJ628" s="33"/>
      <c r="BK628" s="33"/>
      <c r="BL628" s="33"/>
      <c r="BM628" s="33"/>
      <c r="BN628" s="26"/>
      <c r="BO628" s="34"/>
      <c r="BP628" s="34"/>
      <c r="BQ628" s="34"/>
      <c r="BR628" s="34"/>
      <c r="BS628" s="34"/>
      <c r="BT628" s="34"/>
      <c r="BU628" s="34"/>
      <c r="BV628" s="34"/>
      <c r="BW628" s="34"/>
      <c r="BX628" s="34"/>
      <c r="BY628" s="34"/>
      <c r="BZ628" s="34"/>
      <c r="CA628" s="20"/>
      <c r="CB628" s="33"/>
      <c r="CC628" s="29">
        <v>45996</v>
      </c>
      <c r="CD628" s="2" t="s">
        <v>6907</v>
      </c>
    </row>
    <row r="629" spans="1:82" ht="99" customHeight="1" x14ac:dyDescent="0.2">
      <c r="A629" s="87">
        <v>625</v>
      </c>
      <c r="B629" s="145" t="s">
        <v>6908</v>
      </c>
      <c r="C629" s="13" t="s">
        <v>6909</v>
      </c>
      <c r="D629" s="13" t="s">
        <v>6910</v>
      </c>
      <c r="E629" s="75" t="s">
        <v>113</v>
      </c>
      <c r="F629" s="12" t="s">
        <v>81</v>
      </c>
      <c r="G629" s="7">
        <v>135</v>
      </c>
      <c r="H629" s="2" t="s">
        <v>775</v>
      </c>
      <c r="I629" s="2" t="s">
        <v>3313</v>
      </c>
      <c r="J629" s="2"/>
      <c r="K629" s="2"/>
      <c r="L629" s="2"/>
      <c r="M629" s="2" t="s">
        <v>136</v>
      </c>
      <c r="N629" s="2" t="s">
        <v>245</v>
      </c>
      <c r="O629" s="2" t="s">
        <v>246</v>
      </c>
      <c r="P629" s="7" t="s">
        <v>3244</v>
      </c>
      <c r="Q629" s="7"/>
      <c r="R629" s="7" t="s">
        <v>91</v>
      </c>
      <c r="S629" s="5" t="s">
        <v>92</v>
      </c>
      <c r="T629" s="7" t="s">
        <v>93</v>
      </c>
      <c r="U629" s="181">
        <v>100</v>
      </c>
      <c r="V629" s="7" t="s">
        <v>94</v>
      </c>
      <c r="W629" s="7" t="s">
        <v>95</v>
      </c>
      <c r="X629" s="7">
        <v>2026</v>
      </c>
      <c r="Y629" s="7" t="s">
        <v>1498</v>
      </c>
      <c r="Z629" s="7" t="s">
        <v>95</v>
      </c>
      <c r="AA629" s="7" t="s">
        <v>98</v>
      </c>
      <c r="AB629" s="2" t="s">
        <v>99</v>
      </c>
      <c r="AC629" s="79" t="s">
        <v>6911</v>
      </c>
      <c r="AD629" s="2" t="s">
        <v>6912</v>
      </c>
      <c r="AE629" s="47" t="s">
        <v>6913</v>
      </c>
      <c r="AF629" s="6" t="s">
        <v>6914</v>
      </c>
      <c r="AG629" s="2" t="s">
        <v>6915</v>
      </c>
      <c r="AH629" s="2" t="s">
        <v>123</v>
      </c>
      <c r="AI629" s="2" t="s">
        <v>6916</v>
      </c>
      <c r="AJ629" s="2" t="s">
        <v>6917</v>
      </c>
      <c r="AK629" s="7" t="s">
        <v>97</v>
      </c>
      <c r="AL629" s="14" t="s">
        <v>6918</v>
      </c>
      <c r="AM629" s="2" t="s">
        <v>221</v>
      </c>
      <c r="AN629" s="168"/>
      <c r="AO629" s="168"/>
      <c r="AP629" s="168"/>
      <c r="AQ629" s="21" t="s">
        <v>3360</v>
      </c>
      <c r="AR629" s="20" t="s">
        <v>97</v>
      </c>
      <c r="AS629" s="20" t="s">
        <v>107</v>
      </c>
      <c r="AT629" s="20"/>
      <c r="AU629" s="24">
        <v>0.01</v>
      </c>
      <c r="AV629" s="24">
        <f t="shared" ref="AV629:AV634" si="134">+AU629*80%</f>
        <v>8.0000000000000002E-3</v>
      </c>
      <c r="AW629" s="24">
        <f t="shared" ref="AW629:AW634" si="135">+AU629*60%</f>
        <v>6.0000000000000001E-3</v>
      </c>
      <c r="AX629" s="25">
        <v>1E-4</v>
      </c>
      <c r="AY629" s="24">
        <v>0</v>
      </c>
      <c r="AZ629" s="24">
        <f t="shared" si="131"/>
        <v>9.0000000000000011E-3</v>
      </c>
      <c r="BA629" s="24">
        <f t="shared" ref="BA629:BA634" si="136">AZ629*80%</f>
        <v>7.2000000000000015E-3</v>
      </c>
      <c r="BB629" s="24">
        <f t="shared" ref="BB629:BB634" si="137">AZ629*60%</f>
        <v>5.4000000000000003E-3</v>
      </c>
      <c r="BC629" s="25">
        <v>1E-4</v>
      </c>
      <c r="BD629" s="24">
        <v>0</v>
      </c>
      <c r="BE629" s="26">
        <v>0</v>
      </c>
      <c r="BF629" s="34">
        <f t="shared" si="121"/>
        <v>0</v>
      </c>
      <c r="BG629" s="34">
        <f t="shared" si="122"/>
        <v>0</v>
      </c>
      <c r="BH629" s="26">
        <v>0</v>
      </c>
      <c r="BI629" s="26">
        <v>0</v>
      </c>
      <c r="BJ629" s="33"/>
      <c r="BK629" s="33"/>
      <c r="BL629" s="33"/>
      <c r="BM629" s="33"/>
      <c r="BN629" s="26"/>
      <c r="BO629" s="34"/>
      <c r="BP629" s="34"/>
      <c r="BQ629" s="34"/>
      <c r="BR629" s="34"/>
      <c r="BS629" s="34"/>
      <c r="BT629" s="34"/>
      <c r="BU629" s="34"/>
      <c r="BV629" s="34"/>
      <c r="BW629" s="34"/>
      <c r="BX629" s="34"/>
      <c r="BY629" s="34"/>
      <c r="BZ629" s="34"/>
      <c r="CA629" s="20"/>
      <c r="CB629" s="33"/>
      <c r="CC629" s="46">
        <v>46003</v>
      </c>
      <c r="CD629" s="11" t="s">
        <v>6845</v>
      </c>
    </row>
    <row r="630" spans="1:82" ht="66.75" customHeight="1" x14ac:dyDescent="0.2">
      <c r="A630" s="87">
        <v>626</v>
      </c>
      <c r="B630" s="145" t="s">
        <v>7376</v>
      </c>
      <c r="C630" s="13" t="s">
        <v>6919</v>
      </c>
      <c r="D630" s="13" t="s">
        <v>6920</v>
      </c>
      <c r="E630" s="75" t="s">
        <v>113</v>
      </c>
      <c r="F630" s="12" t="s">
        <v>81</v>
      </c>
      <c r="G630" s="7">
        <v>135</v>
      </c>
      <c r="H630" s="2" t="s">
        <v>775</v>
      </c>
      <c r="I630" s="2" t="s">
        <v>3328</v>
      </c>
      <c r="J630" s="2"/>
      <c r="K630" s="2"/>
      <c r="L630" s="2"/>
      <c r="M630" s="2" t="s">
        <v>136</v>
      </c>
      <c r="N630" s="2" t="s">
        <v>245</v>
      </c>
      <c r="O630" s="6" t="s">
        <v>2688</v>
      </c>
      <c r="P630" s="2" t="s">
        <v>3244</v>
      </c>
      <c r="Q630" s="2"/>
      <c r="R630" s="11" t="s">
        <v>91</v>
      </c>
      <c r="S630" s="5" t="s">
        <v>92</v>
      </c>
      <c r="T630" s="7" t="s">
        <v>93</v>
      </c>
      <c r="U630" s="181">
        <v>100</v>
      </c>
      <c r="V630" s="7" t="s">
        <v>94</v>
      </c>
      <c r="W630" s="7" t="s">
        <v>95</v>
      </c>
      <c r="X630" s="7">
        <v>2026</v>
      </c>
      <c r="Y630" s="7" t="s">
        <v>1498</v>
      </c>
      <c r="Z630" s="7" t="s">
        <v>95</v>
      </c>
      <c r="AA630" s="7" t="s">
        <v>98</v>
      </c>
      <c r="AB630" s="2" t="s">
        <v>99</v>
      </c>
      <c r="AC630" s="79" t="s">
        <v>6921</v>
      </c>
      <c r="AD630" s="2" t="s">
        <v>6922</v>
      </c>
      <c r="AE630" s="47" t="s">
        <v>6923</v>
      </c>
      <c r="AF630" s="6" t="s">
        <v>6924</v>
      </c>
      <c r="AG630" s="21" t="s">
        <v>6925</v>
      </c>
      <c r="AH630" s="21" t="s">
        <v>123</v>
      </c>
      <c r="AI630" s="2" t="s">
        <v>6926</v>
      </c>
      <c r="AJ630" s="2" t="s">
        <v>7433</v>
      </c>
      <c r="AK630" s="7" t="s">
        <v>97</v>
      </c>
      <c r="AL630" s="7" t="s">
        <v>97</v>
      </c>
      <c r="AM630" s="7" t="s">
        <v>221</v>
      </c>
      <c r="AN630" s="168"/>
      <c r="AO630" s="168"/>
      <c r="AP630" s="168"/>
      <c r="AQ630" s="19" t="s">
        <v>3328</v>
      </c>
      <c r="AR630" s="20" t="s">
        <v>97</v>
      </c>
      <c r="AS630" s="20" t="s">
        <v>107</v>
      </c>
      <c r="AT630" s="20"/>
      <c r="AU630" s="24">
        <v>0.01</v>
      </c>
      <c r="AV630" s="24">
        <f t="shared" si="134"/>
        <v>8.0000000000000002E-3</v>
      </c>
      <c r="AW630" s="24">
        <f t="shared" si="135"/>
        <v>6.0000000000000001E-3</v>
      </c>
      <c r="AX630" s="25">
        <v>1E-4</v>
      </c>
      <c r="AY630" s="24">
        <v>0</v>
      </c>
      <c r="AZ630" s="24">
        <f t="shared" si="131"/>
        <v>9.0000000000000011E-3</v>
      </c>
      <c r="BA630" s="24">
        <f t="shared" si="136"/>
        <v>7.2000000000000015E-3</v>
      </c>
      <c r="BB630" s="24">
        <f t="shared" si="137"/>
        <v>5.4000000000000003E-3</v>
      </c>
      <c r="BC630" s="25">
        <v>1E-4</v>
      </c>
      <c r="BD630" s="24">
        <v>0</v>
      </c>
      <c r="BE630" s="26">
        <v>0</v>
      </c>
      <c r="BF630" s="34">
        <f t="shared" si="121"/>
        <v>0</v>
      </c>
      <c r="BG630" s="34">
        <f t="shared" si="122"/>
        <v>0</v>
      </c>
      <c r="BH630" s="26">
        <v>0</v>
      </c>
      <c r="BI630" s="26">
        <v>0</v>
      </c>
      <c r="BJ630" s="33"/>
      <c r="BK630" s="33"/>
      <c r="BL630" s="33"/>
      <c r="BM630" s="33"/>
      <c r="BN630" s="26"/>
      <c r="BO630" s="34"/>
      <c r="BP630" s="34"/>
      <c r="BQ630" s="34"/>
      <c r="BR630" s="34"/>
      <c r="BS630" s="34"/>
      <c r="BT630" s="34"/>
      <c r="BU630" s="34"/>
      <c r="BV630" s="34"/>
      <c r="BW630" s="34"/>
      <c r="BX630" s="34"/>
      <c r="BY630" s="34"/>
      <c r="BZ630" s="34"/>
      <c r="CA630" s="20"/>
      <c r="CB630" s="33"/>
      <c r="CC630" s="46">
        <v>46003</v>
      </c>
      <c r="CD630" s="11" t="s">
        <v>6845</v>
      </c>
    </row>
    <row r="631" spans="1:82" ht="66.75" customHeight="1" x14ac:dyDescent="0.25">
      <c r="A631" s="121">
        <v>627</v>
      </c>
      <c r="B631" s="145" t="s">
        <v>7377</v>
      </c>
      <c r="C631" s="82" t="s">
        <v>6927</v>
      </c>
      <c r="D631" s="2" t="s">
        <v>6928</v>
      </c>
      <c r="E631" s="75" t="s">
        <v>174</v>
      </c>
      <c r="F631" s="12" t="s">
        <v>4197</v>
      </c>
      <c r="G631" s="7" t="s">
        <v>84</v>
      </c>
      <c r="H631" s="2" t="s">
        <v>108</v>
      </c>
      <c r="I631" s="90" t="s">
        <v>4198</v>
      </c>
      <c r="J631" s="90"/>
      <c r="K631" s="90"/>
      <c r="L631" s="90"/>
      <c r="M631" s="2" t="s">
        <v>88</v>
      </c>
      <c r="N631" s="2" t="s">
        <v>89</v>
      </c>
      <c r="O631" s="2" t="s">
        <v>6929</v>
      </c>
      <c r="P631" s="2" t="s">
        <v>6930</v>
      </c>
      <c r="Q631" s="2"/>
      <c r="R631" s="11" t="s">
        <v>175</v>
      </c>
      <c r="S631" s="5" t="s">
        <v>4201</v>
      </c>
      <c r="T631" s="7" t="s">
        <v>93</v>
      </c>
      <c r="U631" s="181">
        <v>100</v>
      </c>
      <c r="V631" s="7" t="s">
        <v>94</v>
      </c>
      <c r="W631" s="7" t="s">
        <v>95</v>
      </c>
      <c r="X631" s="5">
        <v>2026</v>
      </c>
      <c r="Y631" s="7" t="s">
        <v>6885</v>
      </c>
      <c r="Z631" s="7" t="s">
        <v>97</v>
      </c>
      <c r="AA631" s="7" t="s">
        <v>98</v>
      </c>
      <c r="AB631" s="2" t="s">
        <v>6931</v>
      </c>
      <c r="AC631" s="79" t="s">
        <v>6932</v>
      </c>
      <c r="AD631" s="31" t="s">
        <v>6933</v>
      </c>
      <c r="AE631" s="2" t="s">
        <v>6934</v>
      </c>
      <c r="AF631" s="2" t="s">
        <v>6935</v>
      </c>
      <c r="AG631" s="20" t="s">
        <v>94</v>
      </c>
      <c r="AH631" s="20" t="s">
        <v>94</v>
      </c>
      <c r="AI631" s="2" t="s">
        <v>6936</v>
      </c>
      <c r="AJ631" s="2" t="s">
        <v>6937</v>
      </c>
      <c r="AK631" s="7" t="s">
        <v>84</v>
      </c>
      <c r="AL631" s="7" t="s">
        <v>6938</v>
      </c>
      <c r="AM631" s="7" t="s">
        <v>6939</v>
      </c>
      <c r="AN631" s="7"/>
      <c r="AO631" s="7"/>
      <c r="AP631" s="7"/>
      <c r="AQ631" s="2" t="s">
        <v>84</v>
      </c>
      <c r="AR631" s="7" t="s">
        <v>84</v>
      </c>
      <c r="AS631" s="7" t="s">
        <v>84</v>
      </c>
      <c r="AT631" s="7"/>
      <c r="AU631" s="24">
        <v>0.9</v>
      </c>
      <c r="AV631" s="24">
        <f t="shared" si="134"/>
        <v>0.72000000000000008</v>
      </c>
      <c r="AW631" s="24">
        <f t="shared" si="135"/>
        <v>0.54</v>
      </c>
      <c r="AX631" s="25">
        <v>1E-4</v>
      </c>
      <c r="AY631" s="24">
        <v>0</v>
      </c>
      <c r="AZ631" s="24">
        <f t="shared" si="131"/>
        <v>0.81</v>
      </c>
      <c r="BA631" s="24">
        <f t="shared" si="136"/>
        <v>0.64800000000000013</v>
      </c>
      <c r="BB631" s="24">
        <f t="shared" si="137"/>
        <v>0.48599999999999999</v>
      </c>
      <c r="BC631" s="25">
        <v>1E-4</v>
      </c>
      <c r="BD631" s="24">
        <v>0</v>
      </c>
      <c r="BE631" s="26">
        <v>60</v>
      </c>
      <c r="BF631" s="34">
        <f t="shared" si="121"/>
        <v>48</v>
      </c>
      <c r="BG631" s="34">
        <f t="shared" si="122"/>
        <v>36</v>
      </c>
      <c r="BH631" s="26">
        <v>1</v>
      </c>
      <c r="BI631" s="26">
        <v>0</v>
      </c>
      <c r="BJ631" s="33"/>
      <c r="BK631" s="33"/>
      <c r="BL631" s="33"/>
      <c r="BM631" s="33"/>
      <c r="BN631" s="26"/>
      <c r="BO631" s="34"/>
      <c r="BP631" s="34"/>
      <c r="BQ631" s="34"/>
      <c r="BR631" s="34"/>
      <c r="BS631" s="34"/>
      <c r="BT631" s="34"/>
      <c r="BU631" s="34"/>
      <c r="BV631" s="34"/>
      <c r="BW631" s="34"/>
      <c r="BX631" s="34"/>
      <c r="BY631" s="34"/>
      <c r="BZ631" s="34"/>
      <c r="CA631" s="20"/>
      <c r="CB631" s="33"/>
      <c r="CC631" s="218">
        <v>46044</v>
      </c>
      <c r="CD631" s="11" t="s">
        <v>7335</v>
      </c>
    </row>
    <row r="632" spans="1:82" ht="66.75" customHeight="1" x14ac:dyDescent="0.25">
      <c r="A632" s="87">
        <v>628</v>
      </c>
      <c r="B632" s="141" t="s">
        <v>7378</v>
      </c>
      <c r="C632" s="6" t="s">
        <v>6941</v>
      </c>
      <c r="D632" s="6" t="s">
        <v>6942</v>
      </c>
      <c r="E632" s="75" t="s">
        <v>174</v>
      </c>
      <c r="F632" s="4" t="s">
        <v>4197</v>
      </c>
      <c r="G632" s="5" t="s">
        <v>84</v>
      </c>
      <c r="H632" s="6" t="s">
        <v>86</v>
      </c>
      <c r="I632" s="90" t="s">
        <v>4198</v>
      </c>
      <c r="J632" s="90"/>
      <c r="K632" s="90"/>
      <c r="L632" s="90"/>
      <c r="M632" s="6" t="s">
        <v>88</v>
      </c>
      <c r="N632" s="6" t="s">
        <v>245</v>
      </c>
      <c r="O632" s="6" t="s">
        <v>6943</v>
      </c>
      <c r="P632" s="6" t="s">
        <v>6944</v>
      </c>
      <c r="Q632" s="6"/>
      <c r="R632" s="82" t="s">
        <v>175</v>
      </c>
      <c r="S632" s="5" t="s">
        <v>92</v>
      </c>
      <c r="T632" s="5" t="s">
        <v>93</v>
      </c>
      <c r="U632" s="91">
        <v>100</v>
      </c>
      <c r="V632" s="5" t="s">
        <v>108</v>
      </c>
      <c r="W632" s="5" t="s">
        <v>95</v>
      </c>
      <c r="X632" s="5">
        <v>2026</v>
      </c>
      <c r="Y632" s="5" t="s">
        <v>1498</v>
      </c>
      <c r="Z632" s="5" t="s">
        <v>95</v>
      </c>
      <c r="AA632" s="5" t="s">
        <v>98</v>
      </c>
      <c r="AB632" s="6" t="s">
        <v>99</v>
      </c>
      <c r="AC632" s="79" t="s">
        <v>6945</v>
      </c>
      <c r="AD632" s="79" t="s">
        <v>6946</v>
      </c>
      <c r="AE632" s="2" t="s">
        <v>6947</v>
      </c>
      <c r="AF632" s="6" t="s">
        <v>6948</v>
      </c>
      <c r="AG632" s="49" t="s">
        <v>6940</v>
      </c>
      <c r="AH632" s="49" t="s">
        <v>6940</v>
      </c>
      <c r="AI632" s="48" t="s">
        <v>6949</v>
      </c>
      <c r="AJ632" s="11" t="s">
        <v>6950</v>
      </c>
      <c r="AK632" s="49" t="s">
        <v>85</v>
      </c>
      <c r="AL632" s="7" t="s">
        <v>6951</v>
      </c>
      <c r="AM632" s="96"/>
      <c r="AN632" s="5"/>
      <c r="AO632" s="5"/>
      <c r="AP632" s="5"/>
      <c r="AQ632" s="7" t="s">
        <v>6952</v>
      </c>
      <c r="AR632" s="20" t="s">
        <v>185</v>
      </c>
      <c r="AS632" s="20" t="s">
        <v>185</v>
      </c>
      <c r="AT632" s="7" t="s">
        <v>6953</v>
      </c>
      <c r="AU632" s="24">
        <v>0.8</v>
      </c>
      <c r="AV632" s="24">
        <f t="shared" si="134"/>
        <v>0.64000000000000012</v>
      </c>
      <c r="AW632" s="24">
        <f t="shared" si="135"/>
        <v>0.48</v>
      </c>
      <c r="AX632" s="25">
        <v>1E-4</v>
      </c>
      <c r="AY632" s="24">
        <v>0</v>
      </c>
      <c r="AZ632" s="24">
        <f t="shared" si="131"/>
        <v>0.72000000000000008</v>
      </c>
      <c r="BA632" s="24">
        <f t="shared" si="136"/>
        <v>0.57600000000000007</v>
      </c>
      <c r="BB632" s="24">
        <f t="shared" si="137"/>
        <v>0.43200000000000005</v>
      </c>
      <c r="BC632" s="25">
        <v>1E-4</v>
      </c>
      <c r="BD632" s="24">
        <v>0</v>
      </c>
      <c r="BE632" s="26">
        <v>60</v>
      </c>
      <c r="BF632" s="34">
        <f t="shared" ref="BF632:BF634" si="138">+BE632*80%</f>
        <v>48</v>
      </c>
      <c r="BG632" s="34">
        <f t="shared" ref="BG632:BG634" si="139">+BE632*60%</f>
        <v>36</v>
      </c>
      <c r="BH632" s="26">
        <v>1</v>
      </c>
      <c r="BI632" s="26">
        <v>0</v>
      </c>
      <c r="BJ632" s="33"/>
      <c r="BK632" s="33"/>
      <c r="BL632" s="33"/>
      <c r="BM632" s="33"/>
      <c r="BN632" s="26"/>
      <c r="BO632" s="34"/>
      <c r="BP632" s="34"/>
      <c r="BQ632" s="34"/>
      <c r="BR632" s="34"/>
      <c r="BS632" s="34"/>
      <c r="BT632" s="34"/>
      <c r="BU632" s="34"/>
      <c r="BV632" s="34"/>
      <c r="BW632" s="34"/>
      <c r="BX632" s="34"/>
      <c r="BY632" s="34"/>
      <c r="BZ632" s="34"/>
      <c r="CA632" s="20"/>
      <c r="CB632" s="33"/>
      <c r="CC632" s="211">
        <v>46006</v>
      </c>
      <c r="CD632" s="82" t="s">
        <v>6954</v>
      </c>
    </row>
    <row r="633" spans="1:82" ht="138.75" customHeight="1" x14ac:dyDescent="0.25">
      <c r="A633" s="87">
        <v>629</v>
      </c>
      <c r="B633" s="145" t="s">
        <v>6955</v>
      </c>
      <c r="C633" s="6" t="s">
        <v>6956</v>
      </c>
      <c r="D633" s="6" t="s">
        <v>6957</v>
      </c>
      <c r="E633" s="75" t="s">
        <v>113</v>
      </c>
      <c r="F633" s="4" t="s">
        <v>81</v>
      </c>
      <c r="G633" s="5" t="s">
        <v>84</v>
      </c>
      <c r="H633" s="6" t="s">
        <v>775</v>
      </c>
      <c r="I633" s="6" t="s">
        <v>3313</v>
      </c>
      <c r="J633" s="6"/>
      <c r="K633" s="6"/>
      <c r="L633" s="6"/>
      <c r="M633" s="6" t="s">
        <v>136</v>
      </c>
      <c r="N633" s="6" t="s">
        <v>89</v>
      </c>
      <c r="O633" s="6" t="s">
        <v>579</v>
      </c>
      <c r="P633" s="6" t="s">
        <v>3353</v>
      </c>
      <c r="Q633" s="6"/>
      <c r="R633" s="6" t="s">
        <v>175</v>
      </c>
      <c r="S633" s="5" t="s">
        <v>92</v>
      </c>
      <c r="T633" s="5" t="s">
        <v>93</v>
      </c>
      <c r="U633" s="91">
        <v>100</v>
      </c>
      <c r="V633" s="5" t="s">
        <v>94</v>
      </c>
      <c r="W633" s="5" t="s">
        <v>95</v>
      </c>
      <c r="X633" s="5">
        <v>2026</v>
      </c>
      <c r="Y633" s="5" t="s">
        <v>1498</v>
      </c>
      <c r="Z633" s="5" t="s">
        <v>95</v>
      </c>
      <c r="AA633" s="5" t="s">
        <v>1011</v>
      </c>
      <c r="AB633" s="6" t="s">
        <v>99</v>
      </c>
      <c r="AC633" s="79" t="s">
        <v>7262</v>
      </c>
      <c r="AD633" s="79" t="s">
        <v>6958</v>
      </c>
      <c r="AE633" s="14" t="s">
        <v>3369</v>
      </c>
      <c r="AF633" s="6" t="s">
        <v>7263</v>
      </c>
      <c r="AG633" s="49" t="s">
        <v>178</v>
      </c>
      <c r="AH633" s="6" t="s">
        <v>6959</v>
      </c>
      <c r="AI633" s="6" t="s">
        <v>6960</v>
      </c>
      <c r="AJ633" s="6" t="s">
        <v>6961</v>
      </c>
      <c r="AK633" s="20" t="s">
        <v>97</v>
      </c>
      <c r="AL633" s="6" t="s">
        <v>7261</v>
      </c>
      <c r="AM633" s="7" t="s">
        <v>221</v>
      </c>
      <c r="AN633" s="7" t="s">
        <v>470</v>
      </c>
      <c r="AO633" s="5"/>
      <c r="AP633" s="5"/>
      <c r="AQ633" s="49" t="s">
        <v>3360</v>
      </c>
      <c r="AR633" s="20" t="s">
        <v>97</v>
      </c>
      <c r="AS633" s="20" t="s">
        <v>107</v>
      </c>
      <c r="AT633" s="20"/>
      <c r="AU633" s="24">
        <v>0.3</v>
      </c>
      <c r="AV633" s="24">
        <f t="shared" si="134"/>
        <v>0.24</v>
      </c>
      <c r="AW633" s="24">
        <f t="shared" si="135"/>
        <v>0.18</v>
      </c>
      <c r="AX633" s="25">
        <v>1E-4</v>
      </c>
      <c r="AY633" s="24">
        <v>0</v>
      </c>
      <c r="AZ633" s="24">
        <v>0.3</v>
      </c>
      <c r="BA633" s="24">
        <f t="shared" si="136"/>
        <v>0.24</v>
      </c>
      <c r="BB633" s="24">
        <f t="shared" si="137"/>
        <v>0.18</v>
      </c>
      <c r="BC633" s="25">
        <v>1E-4</v>
      </c>
      <c r="BD633" s="24">
        <v>0</v>
      </c>
      <c r="BE633" s="26">
        <v>0</v>
      </c>
      <c r="BF633" s="34">
        <f t="shared" si="138"/>
        <v>0</v>
      </c>
      <c r="BG633" s="34">
        <f t="shared" si="139"/>
        <v>0</v>
      </c>
      <c r="BH633" s="26">
        <v>0</v>
      </c>
      <c r="BI633" s="26">
        <v>0</v>
      </c>
      <c r="BJ633" s="33"/>
      <c r="BK633" s="33"/>
      <c r="BL633" s="33"/>
      <c r="BM633" s="33"/>
      <c r="BN633" s="26"/>
      <c r="BO633" s="34"/>
      <c r="BP633" s="34"/>
      <c r="BQ633" s="34"/>
      <c r="BR633" s="34"/>
      <c r="BS633" s="34"/>
      <c r="BT633" s="34"/>
      <c r="BU633" s="34"/>
      <c r="BV633" s="34"/>
      <c r="BW633" s="34"/>
      <c r="BX633" s="34"/>
      <c r="BY633" s="34"/>
      <c r="BZ633" s="34"/>
      <c r="CA633" s="20"/>
      <c r="CB633" s="33"/>
      <c r="CC633" s="46">
        <v>46049</v>
      </c>
      <c r="CD633" s="11" t="s">
        <v>7345</v>
      </c>
    </row>
    <row r="634" spans="1:82" ht="146.25" customHeight="1" x14ac:dyDescent="0.25">
      <c r="A634" s="121">
        <v>630</v>
      </c>
      <c r="B634" s="142" t="s">
        <v>6962</v>
      </c>
      <c r="C634" s="186" t="s">
        <v>6963</v>
      </c>
      <c r="D634" s="82" t="s">
        <v>6505</v>
      </c>
      <c r="E634" s="75" t="s">
        <v>113</v>
      </c>
      <c r="F634" s="12" t="s">
        <v>81</v>
      </c>
      <c r="G634" s="7" t="s">
        <v>84</v>
      </c>
      <c r="H634" s="2" t="s">
        <v>775</v>
      </c>
      <c r="I634" s="11" t="s">
        <v>2901</v>
      </c>
      <c r="J634" s="11"/>
      <c r="K634" s="11"/>
      <c r="L634" s="11"/>
      <c r="M634" s="11" t="s">
        <v>136</v>
      </c>
      <c r="N634" s="11" t="s">
        <v>89</v>
      </c>
      <c r="O634" s="11" t="s">
        <v>2688</v>
      </c>
      <c r="P634" s="11" t="s">
        <v>6310</v>
      </c>
      <c r="Q634" s="11"/>
      <c r="R634" s="11" t="s">
        <v>175</v>
      </c>
      <c r="S634" s="5" t="s">
        <v>92</v>
      </c>
      <c r="T634" s="7" t="s">
        <v>93</v>
      </c>
      <c r="U634" s="181">
        <v>100</v>
      </c>
      <c r="V634" s="7" t="s">
        <v>94</v>
      </c>
      <c r="W634" s="7" t="s">
        <v>95</v>
      </c>
      <c r="X634" s="7">
        <v>2025</v>
      </c>
      <c r="Y634" s="5" t="s">
        <v>1498</v>
      </c>
      <c r="Z634" s="7" t="s">
        <v>97</v>
      </c>
      <c r="AA634" s="7" t="s">
        <v>973</v>
      </c>
      <c r="AB634" s="2" t="s">
        <v>99</v>
      </c>
      <c r="AC634" s="79" t="s">
        <v>7415</v>
      </c>
      <c r="AD634" s="31" t="s">
        <v>7273</v>
      </c>
      <c r="AE634" s="6" t="s">
        <v>6506</v>
      </c>
      <c r="AF634" s="102" t="s">
        <v>7277</v>
      </c>
      <c r="AG634" s="5" t="s">
        <v>6507</v>
      </c>
      <c r="AH634" s="197" t="s">
        <v>6964</v>
      </c>
      <c r="AI634" s="5" t="s">
        <v>6508</v>
      </c>
      <c r="AJ634" s="197" t="s">
        <v>6965</v>
      </c>
      <c r="AK634" s="20" t="s">
        <v>97</v>
      </c>
      <c r="AL634" s="20" t="s">
        <v>97</v>
      </c>
      <c r="AM634" s="5" t="s">
        <v>6509</v>
      </c>
      <c r="AN634" s="7"/>
      <c r="AO634" s="15" t="s">
        <v>6510</v>
      </c>
      <c r="AP634" s="7" t="s">
        <v>6511</v>
      </c>
      <c r="AQ634" s="15" t="s">
        <v>7272</v>
      </c>
      <c r="AR634" s="20" t="s">
        <v>97</v>
      </c>
      <c r="AS634" s="20" t="s">
        <v>107</v>
      </c>
      <c r="AT634" s="20"/>
      <c r="AU634" s="24">
        <v>0.6</v>
      </c>
      <c r="AV634" s="24">
        <f t="shared" si="134"/>
        <v>0.48</v>
      </c>
      <c r="AW634" s="24">
        <f t="shared" si="135"/>
        <v>0.36</v>
      </c>
      <c r="AX634" s="25">
        <v>1E-4</v>
      </c>
      <c r="AY634" s="24">
        <v>0</v>
      </c>
      <c r="AZ634" s="24">
        <f t="shared" ref="AZ634" si="140">+AU634*90%</f>
        <v>0.54</v>
      </c>
      <c r="BA634" s="24">
        <f t="shared" si="136"/>
        <v>0.43200000000000005</v>
      </c>
      <c r="BB634" s="24">
        <f t="shared" si="137"/>
        <v>0.32400000000000001</v>
      </c>
      <c r="BC634" s="25">
        <v>1E-4</v>
      </c>
      <c r="BD634" s="24">
        <v>0</v>
      </c>
      <c r="BE634" s="26">
        <v>0</v>
      </c>
      <c r="BF634" s="34">
        <f t="shared" si="138"/>
        <v>0</v>
      </c>
      <c r="BG634" s="34">
        <f t="shared" si="139"/>
        <v>0</v>
      </c>
      <c r="BH634" s="26">
        <v>0</v>
      </c>
      <c r="BI634" s="26">
        <v>0</v>
      </c>
      <c r="BJ634" s="20"/>
      <c r="BK634" s="20"/>
      <c r="BL634" s="27"/>
      <c r="BM634" s="27"/>
      <c r="BN634" s="205">
        <v>46003</v>
      </c>
      <c r="BO634" s="2" t="s">
        <v>6513</v>
      </c>
      <c r="BP634" s="11" t="s">
        <v>2914</v>
      </c>
      <c r="BQ634" s="11" t="s">
        <v>2914</v>
      </c>
      <c r="BR634" s="11" t="s">
        <v>132</v>
      </c>
      <c r="BS634" s="75" t="s">
        <v>6514</v>
      </c>
      <c r="BT634" s="46" t="s">
        <v>2915</v>
      </c>
      <c r="BU634" s="7">
        <v>1</v>
      </c>
      <c r="BV634" s="33"/>
      <c r="BW634" s="106">
        <v>46038</v>
      </c>
      <c r="BX634" s="33"/>
      <c r="BY634" s="33">
        <v>1</v>
      </c>
      <c r="BZ634" s="33"/>
      <c r="CA634" s="20">
        <v>1</v>
      </c>
      <c r="CB634" s="33"/>
      <c r="CC634" s="194">
        <v>46044</v>
      </c>
      <c r="CD634" s="5" t="s">
        <v>6966</v>
      </c>
    </row>
    <row r="635" spans="1:82" ht="55.5" customHeight="1" x14ac:dyDescent="0.25">
      <c r="A635" s="87">
        <v>631</v>
      </c>
      <c r="B635" s="141" t="s">
        <v>7271</v>
      </c>
      <c r="C635" s="82" t="s">
        <v>6457</v>
      </c>
      <c r="D635" s="82" t="s">
        <v>7264</v>
      </c>
      <c r="E635" s="75" t="s">
        <v>113</v>
      </c>
      <c r="F635" s="4" t="s">
        <v>81</v>
      </c>
      <c r="G635" s="5" t="s">
        <v>84</v>
      </c>
      <c r="H635" s="6" t="s">
        <v>775</v>
      </c>
      <c r="I635" s="6" t="s">
        <v>3257</v>
      </c>
      <c r="J635" s="6"/>
      <c r="K635" s="6"/>
      <c r="L635" s="6"/>
      <c r="M635" s="6" t="s">
        <v>136</v>
      </c>
      <c r="N635" s="6" t="s">
        <v>89</v>
      </c>
      <c r="O635" s="6" t="s">
        <v>3903</v>
      </c>
      <c r="P635" s="6" t="s">
        <v>4326</v>
      </c>
      <c r="Q635" s="6"/>
      <c r="R635" s="82" t="s">
        <v>175</v>
      </c>
      <c r="S635" s="5" t="s">
        <v>92</v>
      </c>
      <c r="T635" s="82" t="s">
        <v>93</v>
      </c>
      <c r="U635" s="91">
        <v>100</v>
      </c>
      <c r="V635" s="5" t="s">
        <v>94</v>
      </c>
      <c r="W635" s="5" t="s">
        <v>95</v>
      </c>
      <c r="X635" s="5">
        <v>2025</v>
      </c>
      <c r="Y635" s="5" t="s">
        <v>1498</v>
      </c>
      <c r="Z635" s="5" t="s">
        <v>97</v>
      </c>
      <c r="AA635" s="5" t="s">
        <v>973</v>
      </c>
      <c r="AB635" s="6" t="s">
        <v>99</v>
      </c>
      <c r="AC635" s="79" t="s">
        <v>7416</v>
      </c>
      <c r="AD635" s="182" t="s">
        <v>7265</v>
      </c>
      <c r="AE635" s="6" t="s">
        <v>7270</v>
      </c>
      <c r="AF635" s="83" t="s">
        <v>7267</v>
      </c>
      <c r="AG635" s="188" t="s">
        <v>7269</v>
      </c>
      <c r="AH635" s="5" t="s">
        <v>6458</v>
      </c>
      <c r="AI635" s="5" t="s">
        <v>6459</v>
      </c>
      <c r="AJ635" s="6" t="s">
        <v>7268</v>
      </c>
      <c r="AK635" s="49"/>
      <c r="AL635" s="94"/>
      <c r="AM635" s="82"/>
      <c r="AN635" s="5"/>
      <c r="AO635" s="5" t="s">
        <v>6460</v>
      </c>
      <c r="AP635" s="5" t="s">
        <v>6461</v>
      </c>
      <c r="AQ635" s="75" t="s">
        <v>6462</v>
      </c>
      <c r="AR635" s="20" t="s">
        <v>97</v>
      </c>
      <c r="AS635" s="20" t="s">
        <v>107</v>
      </c>
      <c r="AT635" s="20"/>
      <c r="AU635" s="24">
        <v>0.8</v>
      </c>
      <c r="AV635" s="24">
        <v>0.64000000000000012</v>
      </c>
      <c r="AW635" s="24">
        <v>0.48</v>
      </c>
      <c r="AX635" s="25">
        <v>1E-4</v>
      </c>
      <c r="AY635" s="24">
        <v>0</v>
      </c>
      <c r="AZ635" s="24">
        <v>0.72000000000000008</v>
      </c>
      <c r="BA635" s="24">
        <v>0.57600000000000007</v>
      </c>
      <c r="BB635" s="24">
        <v>0.43200000000000005</v>
      </c>
      <c r="BC635" s="25">
        <v>1E-4</v>
      </c>
      <c r="BD635" s="24">
        <v>0</v>
      </c>
      <c r="BE635" s="26">
        <v>0</v>
      </c>
      <c r="BF635" s="34">
        <v>0</v>
      </c>
      <c r="BG635" s="34">
        <v>0</v>
      </c>
      <c r="BH635" s="26">
        <v>0</v>
      </c>
      <c r="BI635" s="26">
        <v>0</v>
      </c>
      <c r="BJ635" s="20"/>
      <c r="BK635" s="20"/>
      <c r="BL635" s="27"/>
      <c r="BM635" s="103" t="s">
        <v>6463</v>
      </c>
      <c r="BN635" s="46">
        <v>46006</v>
      </c>
      <c r="BO635" s="35" t="s">
        <v>6464</v>
      </c>
      <c r="BP635" s="21" t="s">
        <v>226</v>
      </c>
      <c r="BQ635" s="21" t="s">
        <v>3349</v>
      </c>
      <c r="BR635" s="11" t="s">
        <v>132</v>
      </c>
      <c r="BS635" s="19" t="s">
        <v>6465</v>
      </c>
      <c r="BT635" s="109" t="s">
        <v>109</v>
      </c>
      <c r="BU635" s="33">
        <v>1</v>
      </c>
      <c r="BV635" s="19"/>
      <c r="BW635" s="106">
        <v>46038</v>
      </c>
      <c r="BX635" s="20">
        <v>1</v>
      </c>
      <c r="BY635" s="20">
        <v>1</v>
      </c>
      <c r="BZ635" s="20">
        <v>1</v>
      </c>
      <c r="CA635" s="20">
        <v>1</v>
      </c>
      <c r="CB635" s="20">
        <v>1</v>
      </c>
      <c r="CC635" s="211">
        <v>46045</v>
      </c>
      <c r="CD635" s="82" t="s">
        <v>7362</v>
      </c>
    </row>
  </sheetData>
  <autoFilter ref="A3:CD635" xr:uid="{E447D878-2D5C-48D6-827F-6888D8FBCC77}"/>
  <mergeCells count="22">
    <mergeCell ref="A1:AB1"/>
    <mergeCell ref="AC1:AT1"/>
    <mergeCell ref="AU1:BI1"/>
    <mergeCell ref="AM2:AQ2"/>
    <mergeCell ref="AR2:AT2"/>
    <mergeCell ref="AU2:AY2"/>
    <mergeCell ref="AZ2:BD2"/>
    <mergeCell ref="BE2:BI2"/>
    <mergeCell ref="AC2:AD2"/>
    <mergeCell ref="AE2:AF2"/>
    <mergeCell ref="AG2:AH2"/>
    <mergeCell ref="A2:F2"/>
    <mergeCell ref="G2:AB2"/>
    <mergeCell ref="AI2:AJ2"/>
    <mergeCell ref="AK2:AL2"/>
    <mergeCell ref="BN2:BR2"/>
    <mergeCell ref="BS2:CB2"/>
    <mergeCell ref="CC1:CD1"/>
    <mergeCell ref="CC2:CD2"/>
    <mergeCell ref="BJ1:BM1"/>
    <mergeCell ref="BJ2:BM2"/>
    <mergeCell ref="BN1:CB1"/>
  </mergeCells>
  <phoneticPr fontId="48" type="noConversion"/>
  <conditionalFormatting sqref="B1 B3 B5:B624">
    <cfRule type="duplicateValues" dxfId="228" priority="2289"/>
  </conditionalFormatting>
  <conditionalFormatting sqref="B1 B3 B5:B628">
    <cfRule type="duplicateValues" dxfId="227" priority="2324"/>
  </conditionalFormatting>
  <conditionalFormatting sqref="B1 B3 B5:B1048576">
    <cfRule type="duplicateValues" dxfId="226" priority="79"/>
  </conditionalFormatting>
  <conditionalFormatting sqref="B1 B5:B600 B3">
    <cfRule type="duplicateValues" dxfId="225" priority="2292"/>
  </conditionalFormatting>
  <conditionalFormatting sqref="B3 B5:B628">
    <cfRule type="duplicateValues" dxfId="224" priority="2328"/>
  </conditionalFormatting>
  <conditionalFormatting sqref="B43:B50">
    <cfRule type="duplicateValues" dxfId="223" priority="163"/>
    <cfRule type="duplicateValues" dxfId="222" priority="164"/>
  </conditionalFormatting>
  <conditionalFormatting sqref="B73:B74">
    <cfRule type="duplicateValues" dxfId="221" priority="158"/>
    <cfRule type="duplicateValues" dxfId="220" priority="157"/>
  </conditionalFormatting>
  <conditionalFormatting sqref="B87">
    <cfRule type="duplicateValues" dxfId="219" priority="155"/>
    <cfRule type="duplicateValues" dxfId="218" priority="154"/>
  </conditionalFormatting>
  <conditionalFormatting sqref="B89">
    <cfRule type="duplicateValues" dxfId="217" priority="151"/>
    <cfRule type="duplicateValues" dxfId="216" priority="152"/>
  </conditionalFormatting>
  <conditionalFormatting sqref="B93">
    <cfRule type="duplicateValues" dxfId="215" priority="148"/>
    <cfRule type="duplicateValues" dxfId="214" priority="149"/>
  </conditionalFormatting>
  <conditionalFormatting sqref="B95:B111">
    <cfRule type="duplicateValues" dxfId="213" priority="1530"/>
    <cfRule type="duplicateValues" dxfId="212" priority="1529"/>
  </conditionalFormatting>
  <conditionalFormatting sqref="B113:B114">
    <cfRule type="duplicateValues" dxfId="211" priority="143"/>
    <cfRule type="duplicateValues" dxfId="210" priority="142"/>
  </conditionalFormatting>
  <conditionalFormatting sqref="B131">
    <cfRule type="duplicateValues" dxfId="209" priority="214"/>
    <cfRule type="duplicateValues" dxfId="208" priority="212"/>
  </conditionalFormatting>
  <conditionalFormatting sqref="B148">
    <cfRule type="duplicateValues" dxfId="207" priority="209"/>
    <cfRule type="duplicateValues" dxfId="206" priority="211"/>
  </conditionalFormatting>
  <conditionalFormatting sqref="B160">
    <cfRule type="duplicateValues" dxfId="205" priority="203"/>
    <cfRule type="duplicateValues" dxfId="204" priority="205"/>
  </conditionalFormatting>
  <conditionalFormatting sqref="B161">
    <cfRule type="duplicateValues" dxfId="203" priority="202"/>
    <cfRule type="duplicateValues" dxfId="202" priority="200"/>
  </conditionalFormatting>
  <conditionalFormatting sqref="B162">
    <cfRule type="duplicateValues" dxfId="201" priority="199"/>
    <cfRule type="duplicateValues" dxfId="200" priority="197"/>
  </conditionalFormatting>
  <conditionalFormatting sqref="B163">
    <cfRule type="duplicateValues" dxfId="199" priority="196"/>
    <cfRule type="duplicateValues" dxfId="198" priority="194"/>
  </conditionalFormatting>
  <conditionalFormatting sqref="B164">
    <cfRule type="duplicateValues" dxfId="197" priority="193"/>
    <cfRule type="duplicateValues" dxfId="196" priority="191"/>
  </conditionalFormatting>
  <conditionalFormatting sqref="B165">
    <cfRule type="duplicateValues" dxfId="195" priority="190"/>
    <cfRule type="duplicateValues" dxfId="194" priority="188"/>
  </conditionalFormatting>
  <conditionalFormatting sqref="B166">
    <cfRule type="duplicateValues" dxfId="193" priority="208"/>
    <cfRule type="duplicateValues" dxfId="192" priority="206"/>
  </conditionalFormatting>
  <conditionalFormatting sqref="B167">
    <cfRule type="duplicateValues" dxfId="191" priority="176"/>
    <cfRule type="duplicateValues" dxfId="190" priority="178"/>
  </conditionalFormatting>
  <conditionalFormatting sqref="B168">
    <cfRule type="duplicateValues" dxfId="189" priority="181"/>
    <cfRule type="duplicateValues" dxfId="188" priority="179"/>
  </conditionalFormatting>
  <conditionalFormatting sqref="B169">
    <cfRule type="duplicateValues" dxfId="187" priority="187"/>
    <cfRule type="duplicateValues" dxfId="186" priority="185"/>
  </conditionalFormatting>
  <conditionalFormatting sqref="B170">
    <cfRule type="duplicateValues" dxfId="185" priority="182"/>
    <cfRule type="duplicateValues" dxfId="184" priority="184"/>
  </conditionalFormatting>
  <conditionalFormatting sqref="B250">
    <cfRule type="duplicateValues" dxfId="183" priority="218"/>
    <cfRule type="duplicateValues" dxfId="182" priority="220"/>
  </conditionalFormatting>
  <conditionalFormatting sqref="B268">
    <cfRule type="duplicateValues" dxfId="181" priority="167"/>
    <cfRule type="duplicateValues" dxfId="180" priority="169"/>
  </conditionalFormatting>
  <conditionalFormatting sqref="B270">
    <cfRule type="duplicateValues" dxfId="179" priority="165"/>
  </conditionalFormatting>
  <conditionalFormatting sqref="B359">
    <cfRule type="duplicateValues" dxfId="178" priority="175"/>
    <cfRule type="duplicateValues" dxfId="177" priority="173"/>
  </conditionalFormatting>
  <conditionalFormatting sqref="B397">
    <cfRule type="duplicateValues" dxfId="176" priority="170"/>
    <cfRule type="duplicateValues" dxfId="175" priority="172"/>
  </conditionalFormatting>
  <conditionalFormatting sqref="B423:B435">
    <cfRule type="duplicateValues" dxfId="174" priority="1180"/>
    <cfRule type="duplicateValues" dxfId="173" priority="1181"/>
  </conditionalFormatting>
  <conditionalFormatting sqref="B437:B439">
    <cfRule type="duplicateValues" dxfId="172" priority="1209"/>
    <cfRule type="duplicateValues" dxfId="171" priority="1210"/>
  </conditionalFormatting>
  <conditionalFormatting sqref="B440 B436 B398:B422 B360:B396 B266:B267 B271:B272 B275:B280 B282:B358 B251:B264 B149:B159 B171:B249 B51:B72 B75:B86 B88 B90:B92 B94 B112 B115:B130 B443 B448:B484 B132:B147 B5:B42 B486:B527">
    <cfRule type="duplicateValues" dxfId="170" priority="1615"/>
  </conditionalFormatting>
  <conditionalFormatting sqref="B441:B442">
    <cfRule type="duplicateValues" dxfId="169" priority="133"/>
    <cfRule type="duplicateValues" dxfId="168" priority="134"/>
  </conditionalFormatting>
  <conditionalFormatting sqref="B444:B447">
    <cfRule type="duplicateValues" dxfId="167" priority="130"/>
    <cfRule type="duplicateValues" dxfId="166" priority="131"/>
  </conditionalFormatting>
  <conditionalFormatting sqref="B485">
    <cfRule type="duplicateValues" dxfId="165" priority="127"/>
    <cfRule type="duplicateValues" dxfId="164" priority="128"/>
  </conditionalFormatting>
  <conditionalFormatting sqref="B533">
    <cfRule type="duplicateValues" dxfId="163" priority="125"/>
  </conditionalFormatting>
  <conditionalFormatting sqref="B535">
    <cfRule type="duplicateValues" dxfId="162" priority="215"/>
    <cfRule type="duplicateValues" dxfId="161" priority="216"/>
  </conditionalFormatting>
  <conditionalFormatting sqref="B536 B398:B422 B360:B396 B251:B267 B149:B159 B171:B249 B269 B271:B358 B51:B72 B75:B86 B88 B90:B92 B94 B112 B115:B130 B436 B440 B443 B448:B484 B534 B132:B147 B1 B486:B532 B5:B42 B3">
    <cfRule type="duplicateValues" dxfId="160" priority="2295"/>
  </conditionalFormatting>
  <conditionalFormatting sqref="B597">
    <cfRule type="duplicateValues" dxfId="159" priority="120"/>
    <cfRule type="duplicateValues" dxfId="158" priority="118"/>
  </conditionalFormatting>
  <conditionalFormatting sqref="B598:B600 B540:B596">
    <cfRule type="duplicateValues" dxfId="157" priority="121"/>
  </conditionalFormatting>
  <conditionalFormatting sqref="B614:B633">
    <cfRule type="duplicateValues" dxfId="156" priority="40"/>
    <cfRule type="duplicateValues" dxfId="155" priority="39"/>
    <cfRule type="duplicateValues" dxfId="154" priority="41"/>
  </conditionalFormatting>
  <conditionalFormatting sqref="B617:B618">
    <cfRule type="duplicateValues" dxfId="153" priority="116"/>
  </conditionalFormatting>
  <conditionalFormatting sqref="B617:B620">
    <cfRule type="duplicateValues" dxfId="152" priority="115"/>
  </conditionalFormatting>
  <conditionalFormatting sqref="B625">
    <cfRule type="duplicateValues" dxfId="151" priority="65"/>
  </conditionalFormatting>
  <conditionalFormatting sqref="B625:B628">
    <cfRule type="duplicateValues" dxfId="150" priority="2333"/>
    <cfRule type="duplicateValues" dxfId="149" priority="2331"/>
    <cfRule type="duplicateValues" dxfId="148" priority="2332"/>
  </conditionalFormatting>
  <conditionalFormatting sqref="B625:B631">
    <cfRule type="duplicateValues" dxfId="147" priority="49"/>
  </conditionalFormatting>
  <conditionalFormatting sqref="B625:B633">
    <cfRule type="duplicateValues" dxfId="146" priority="38"/>
  </conditionalFormatting>
  <conditionalFormatting sqref="B626">
    <cfRule type="duplicateValues" dxfId="145" priority="64"/>
  </conditionalFormatting>
  <conditionalFormatting sqref="B627">
    <cfRule type="duplicateValues" dxfId="144" priority="63"/>
  </conditionalFormatting>
  <conditionalFormatting sqref="B628">
    <cfRule type="duplicateValues" dxfId="143" priority="62"/>
  </conditionalFormatting>
  <conditionalFormatting sqref="B629">
    <cfRule type="duplicateValues" dxfId="142" priority="60"/>
    <cfRule type="duplicateValues" dxfId="141" priority="87"/>
    <cfRule type="duplicateValues" dxfId="140" priority="88"/>
    <cfRule type="duplicateValues" dxfId="139" priority="59"/>
    <cfRule type="duplicateValues" dxfId="138" priority="61"/>
  </conditionalFormatting>
  <conditionalFormatting sqref="B629:B631">
    <cfRule type="duplicateValues" dxfId="137" priority="48"/>
    <cfRule type="duplicateValues" dxfId="136" priority="47"/>
  </conditionalFormatting>
  <conditionalFormatting sqref="B629:B633">
    <cfRule type="duplicateValues" dxfId="135" priority="37"/>
    <cfRule type="duplicateValues" dxfId="134" priority="36"/>
  </conditionalFormatting>
  <conditionalFormatting sqref="B630">
    <cfRule type="duplicateValues" dxfId="133" priority="84"/>
    <cfRule type="duplicateValues" dxfId="132" priority="85"/>
    <cfRule type="duplicateValues" dxfId="131" priority="58"/>
    <cfRule type="duplicateValues" dxfId="130" priority="57"/>
    <cfRule type="duplicateValues" dxfId="129" priority="56"/>
  </conditionalFormatting>
  <conditionalFormatting sqref="B631">
    <cfRule type="duplicateValues" dxfId="128" priority="55"/>
    <cfRule type="duplicateValues" dxfId="127" priority="54"/>
    <cfRule type="duplicateValues" dxfId="126" priority="53"/>
  </conditionalFormatting>
  <conditionalFormatting sqref="B631:B632">
    <cfRule type="duplicateValues" dxfId="125" priority="2269"/>
    <cfRule type="duplicateValues" dxfId="124" priority="2270"/>
  </conditionalFormatting>
  <conditionalFormatting sqref="B632">
    <cfRule type="duplicateValues" dxfId="123" priority="1"/>
    <cfRule type="duplicateValues" dxfId="122" priority="2"/>
    <cfRule type="duplicateValues" dxfId="121" priority="3"/>
    <cfRule type="duplicateValues" dxfId="120" priority="4"/>
    <cfRule type="duplicateValues" dxfId="119" priority="5"/>
  </conditionalFormatting>
  <conditionalFormatting sqref="B633">
    <cfRule type="duplicateValues" dxfId="118" priority="16"/>
    <cfRule type="duplicateValues" dxfId="117" priority="14"/>
    <cfRule type="duplicateValues" dxfId="116" priority="15"/>
    <cfRule type="duplicateValues" dxfId="115" priority="17"/>
    <cfRule type="duplicateValues" dxfId="114" priority="18"/>
    <cfRule type="duplicateValues" dxfId="113" priority="19"/>
    <cfRule type="duplicateValues" dxfId="112" priority="13"/>
    <cfRule type="duplicateValues" dxfId="111" priority="12"/>
  </conditionalFormatting>
  <conditionalFormatting sqref="B634">
    <cfRule type="duplicateValues" dxfId="110" priority="24"/>
    <cfRule type="duplicateValues" dxfId="109" priority="20"/>
    <cfRule type="duplicateValues" dxfId="108" priority="23"/>
    <cfRule type="duplicateValues" dxfId="107" priority="25"/>
    <cfRule type="duplicateValues" dxfId="106" priority="22"/>
  </conditionalFormatting>
  <conditionalFormatting sqref="B635">
    <cfRule type="duplicateValues" dxfId="105" priority="6"/>
    <cfRule type="duplicateValues" dxfId="104" priority="11"/>
    <cfRule type="duplicateValues" dxfId="103" priority="10"/>
    <cfRule type="duplicateValues" dxfId="102" priority="8"/>
    <cfRule type="duplicateValues" dxfId="101" priority="9"/>
  </conditionalFormatting>
  <conditionalFormatting sqref="C3">
    <cfRule type="duplicateValues" dxfId="100" priority="223"/>
  </conditionalFormatting>
  <conditionalFormatting sqref="C43:C50">
    <cfRule type="duplicateValues" dxfId="99" priority="162"/>
  </conditionalFormatting>
  <conditionalFormatting sqref="C73:C74">
    <cfRule type="duplicateValues" dxfId="98" priority="156"/>
  </conditionalFormatting>
  <conditionalFormatting sqref="C87">
    <cfRule type="duplicateValues" dxfId="97" priority="153"/>
  </conditionalFormatting>
  <conditionalFormatting sqref="C89">
    <cfRule type="duplicateValues" dxfId="96" priority="150"/>
  </conditionalFormatting>
  <conditionalFormatting sqref="C93">
    <cfRule type="duplicateValues" dxfId="95" priority="147"/>
  </conditionalFormatting>
  <conditionalFormatting sqref="C95:C111">
    <cfRule type="duplicateValues" dxfId="94" priority="1533"/>
  </conditionalFormatting>
  <conditionalFormatting sqref="C113:C114">
    <cfRule type="duplicateValues" dxfId="93" priority="141"/>
  </conditionalFormatting>
  <conditionalFormatting sqref="C131">
    <cfRule type="duplicateValues" dxfId="92" priority="213"/>
  </conditionalFormatting>
  <conditionalFormatting sqref="C148">
    <cfRule type="duplicateValues" dxfId="91" priority="210"/>
  </conditionalFormatting>
  <conditionalFormatting sqref="C160">
    <cfRule type="duplicateValues" dxfId="90" priority="204"/>
  </conditionalFormatting>
  <conditionalFormatting sqref="C161">
    <cfRule type="duplicateValues" dxfId="89" priority="201"/>
  </conditionalFormatting>
  <conditionalFormatting sqref="C162">
    <cfRule type="duplicateValues" dxfId="88" priority="198"/>
  </conditionalFormatting>
  <conditionalFormatting sqref="C163">
    <cfRule type="duplicateValues" dxfId="87" priority="195"/>
  </conditionalFormatting>
  <conditionalFormatting sqref="C164">
    <cfRule type="duplicateValues" dxfId="86" priority="192"/>
  </conditionalFormatting>
  <conditionalFormatting sqref="C165">
    <cfRule type="duplicateValues" dxfId="85" priority="189"/>
  </conditionalFormatting>
  <conditionalFormatting sqref="C166">
    <cfRule type="duplicateValues" dxfId="84" priority="207"/>
  </conditionalFormatting>
  <conditionalFormatting sqref="C167">
    <cfRule type="duplicateValues" dxfId="83" priority="177"/>
  </conditionalFormatting>
  <conditionalFormatting sqref="C168">
    <cfRule type="duplicateValues" dxfId="82" priority="180"/>
  </conditionalFormatting>
  <conditionalFormatting sqref="C169">
    <cfRule type="duplicateValues" dxfId="81" priority="186"/>
  </conditionalFormatting>
  <conditionalFormatting sqref="C170">
    <cfRule type="duplicateValues" dxfId="80" priority="183"/>
  </conditionalFormatting>
  <conditionalFormatting sqref="C250">
    <cfRule type="duplicateValues" dxfId="79" priority="219"/>
  </conditionalFormatting>
  <conditionalFormatting sqref="C268">
    <cfRule type="duplicateValues" dxfId="78" priority="168"/>
  </conditionalFormatting>
  <conditionalFormatting sqref="C270">
    <cfRule type="duplicateValues" dxfId="77" priority="166"/>
  </conditionalFormatting>
  <conditionalFormatting sqref="C286">
    <cfRule type="duplicateValues" dxfId="76" priority="69"/>
  </conditionalFormatting>
  <conditionalFormatting sqref="C290">
    <cfRule type="duplicateValues" dxfId="75" priority="222"/>
  </conditionalFormatting>
  <conditionalFormatting sqref="C300">
    <cfRule type="duplicateValues" dxfId="74" priority="70"/>
  </conditionalFormatting>
  <conditionalFormatting sqref="C301">
    <cfRule type="duplicateValues" dxfId="73" priority="68"/>
  </conditionalFormatting>
  <conditionalFormatting sqref="C359">
    <cfRule type="duplicateValues" dxfId="72" priority="174"/>
  </conditionalFormatting>
  <conditionalFormatting sqref="C397">
    <cfRule type="duplicateValues" dxfId="71" priority="171"/>
  </conditionalFormatting>
  <conditionalFormatting sqref="C423:C435">
    <cfRule type="duplicateValues" dxfId="70" priority="1182"/>
  </conditionalFormatting>
  <conditionalFormatting sqref="C437:C439">
    <cfRule type="duplicateValues" dxfId="69" priority="1236"/>
  </conditionalFormatting>
  <conditionalFormatting sqref="C441:C442">
    <cfRule type="duplicateValues" dxfId="68" priority="132"/>
  </conditionalFormatting>
  <conditionalFormatting sqref="C444:C447">
    <cfRule type="duplicateValues" dxfId="67" priority="129"/>
  </conditionalFormatting>
  <conditionalFormatting sqref="C485">
    <cfRule type="duplicateValues" dxfId="66" priority="126"/>
  </conditionalFormatting>
  <conditionalFormatting sqref="C533">
    <cfRule type="duplicateValues" dxfId="65" priority="124"/>
  </conditionalFormatting>
  <conditionalFormatting sqref="C534 C149:C159 C171:C249 C360:C396 C398:C422 C269 C271:C285 C536 C51:C72 C75:C86 C88 C90:C92 C94 C112 C115:C130 C436 C440 C443 C448:C484 C291:C295 C132:C147 C5:C42 C251:C267 C486:C532 C302:C358 C287:C289 C297:C299">
    <cfRule type="duplicateValues" dxfId="64" priority="2159"/>
  </conditionalFormatting>
  <conditionalFormatting sqref="C535">
    <cfRule type="duplicateValues" dxfId="63" priority="217"/>
  </conditionalFormatting>
  <conditionalFormatting sqref="C537:C539">
    <cfRule type="duplicateValues" dxfId="62" priority="123"/>
  </conditionalFormatting>
  <conditionalFormatting sqref="C548">
    <cfRule type="duplicateValues" dxfId="61" priority="72"/>
  </conditionalFormatting>
  <conditionalFormatting sqref="C597">
    <cfRule type="duplicateValues" dxfId="60" priority="119"/>
  </conditionalFormatting>
  <conditionalFormatting sqref="C598:C600 C540:C547 C549:C596">
    <cfRule type="duplicateValues" dxfId="59" priority="122"/>
  </conditionalFormatting>
  <conditionalFormatting sqref="C612">
    <cfRule type="duplicateValues" dxfId="58" priority="71"/>
  </conditionalFormatting>
  <conditionalFormatting sqref="C625">
    <cfRule type="duplicateValues" dxfId="57" priority="103"/>
  </conditionalFormatting>
  <conditionalFormatting sqref="C626">
    <cfRule type="duplicateValues" dxfId="56" priority="104"/>
  </conditionalFormatting>
  <conditionalFormatting sqref="C627">
    <cfRule type="duplicateValues" dxfId="55" priority="102"/>
  </conditionalFormatting>
  <conditionalFormatting sqref="C629:C630">
    <cfRule type="duplicateValues" dxfId="54" priority="86"/>
  </conditionalFormatting>
  <conditionalFormatting sqref="C632">
    <cfRule type="duplicateValues" dxfId="53" priority="77"/>
  </conditionalFormatting>
  <conditionalFormatting sqref="C633">
    <cfRule type="duplicateValues" dxfId="52" priority="45"/>
  </conditionalFormatting>
  <conditionalFormatting sqref="C634">
    <cfRule type="duplicateValues" dxfId="51" priority="21"/>
  </conditionalFormatting>
  <conditionalFormatting sqref="C635">
    <cfRule type="duplicateValues" dxfId="50" priority="7"/>
  </conditionalFormatting>
  <conditionalFormatting sqref="D289">
    <cfRule type="duplicateValues" dxfId="49" priority="42"/>
  </conditionalFormatting>
  <conditionalFormatting sqref="D301">
    <cfRule type="duplicateValues" dxfId="48" priority="67"/>
  </conditionalFormatting>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FD8F7-C689-46B4-B30C-578AC509DA03}">
  <sheetPr>
    <tabColor theme="2" tint="-9.9978637043366805E-2"/>
  </sheetPr>
  <dimension ref="A1:D98"/>
  <sheetViews>
    <sheetView workbookViewId="0">
      <pane ySplit="1" topLeftCell="A14" activePane="bottomLeft" state="frozen"/>
      <selection activeCell="C1" sqref="C1"/>
      <selection pane="bottomLeft" activeCell="C102" sqref="C102"/>
    </sheetView>
  </sheetViews>
  <sheetFormatPr baseColWidth="10" defaultColWidth="11.42578125" defaultRowHeight="15" x14ac:dyDescent="0.25"/>
  <cols>
    <col min="2" max="2" width="18.7109375" bestFit="1" customWidth="1"/>
    <col min="3" max="3" width="72" customWidth="1"/>
    <col min="4" max="4" width="55.140625" bestFit="1" customWidth="1"/>
  </cols>
  <sheetData>
    <row r="1" spans="1:4" s="139" customFormat="1" ht="48.75" customHeight="1" x14ac:dyDescent="0.25">
      <c r="A1" s="137" t="s">
        <v>20</v>
      </c>
      <c r="B1" s="138" t="s">
        <v>6967</v>
      </c>
      <c r="C1" s="137" t="s">
        <v>6968</v>
      </c>
      <c r="D1" s="140" t="s">
        <v>6969</v>
      </c>
    </row>
    <row r="2" spans="1:4" x14ac:dyDescent="0.25">
      <c r="A2" s="118">
        <v>1</v>
      </c>
      <c r="B2" s="119" t="s">
        <v>6970</v>
      </c>
      <c r="C2" s="120" t="s">
        <v>6971</v>
      </c>
      <c r="D2" s="120" t="s">
        <v>6972</v>
      </c>
    </row>
    <row r="3" spans="1:4" x14ac:dyDescent="0.25">
      <c r="A3" s="118">
        <v>2</v>
      </c>
      <c r="B3" s="119" t="s">
        <v>6973</v>
      </c>
      <c r="C3" s="120" t="s">
        <v>6974</v>
      </c>
      <c r="D3" s="120" t="s">
        <v>6972</v>
      </c>
    </row>
    <row r="4" spans="1:4" x14ac:dyDescent="0.25">
      <c r="A4" s="118">
        <v>3</v>
      </c>
      <c r="B4" s="119" t="s">
        <v>6975</v>
      </c>
      <c r="C4" s="120" t="s">
        <v>6976</v>
      </c>
      <c r="D4" s="120" t="s">
        <v>6972</v>
      </c>
    </row>
    <row r="5" spans="1:4" x14ac:dyDescent="0.25">
      <c r="A5" s="118">
        <v>4</v>
      </c>
      <c r="B5" s="119" t="s">
        <v>6977</v>
      </c>
      <c r="C5" s="120" t="s">
        <v>6978</v>
      </c>
      <c r="D5" s="120" t="s">
        <v>6972</v>
      </c>
    </row>
    <row r="6" spans="1:4" x14ac:dyDescent="0.25">
      <c r="A6" s="118">
        <v>5</v>
      </c>
      <c r="B6" s="119" t="s">
        <v>6979</v>
      </c>
      <c r="C6" s="120" t="s">
        <v>6980</v>
      </c>
      <c r="D6" s="120" t="s">
        <v>6972</v>
      </c>
    </row>
    <row r="7" spans="1:4" x14ac:dyDescent="0.25">
      <c r="A7" s="118">
        <v>6</v>
      </c>
      <c r="B7" s="119" t="s">
        <v>6981</v>
      </c>
      <c r="C7" s="120" t="s">
        <v>6982</v>
      </c>
      <c r="D7" s="120" t="s">
        <v>6972</v>
      </c>
    </row>
    <row r="8" spans="1:4" x14ac:dyDescent="0.25">
      <c r="A8" s="118">
        <v>7</v>
      </c>
      <c r="B8" s="119" t="s">
        <v>6983</v>
      </c>
      <c r="C8" s="120" t="s">
        <v>6984</v>
      </c>
      <c r="D8" s="120" t="s">
        <v>6972</v>
      </c>
    </row>
    <row r="9" spans="1:4" x14ac:dyDescent="0.25">
      <c r="A9" s="118">
        <v>8</v>
      </c>
      <c r="B9" s="119" t="s">
        <v>6985</v>
      </c>
      <c r="C9" s="120" t="s">
        <v>6986</v>
      </c>
      <c r="D9" s="120" t="s">
        <v>6972</v>
      </c>
    </row>
    <row r="10" spans="1:4" x14ac:dyDescent="0.25">
      <c r="A10" s="118">
        <v>9</v>
      </c>
      <c r="B10" s="119" t="s">
        <v>6987</v>
      </c>
      <c r="C10" s="120" t="s">
        <v>6988</v>
      </c>
      <c r="D10" s="120" t="s">
        <v>6972</v>
      </c>
    </row>
    <row r="11" spans="1:4" x14ac:dyDescent="0.25">
      <c r="A11" s="118">
        <v>10</v>
      </c>
      <c r="B11" s="119" t="s">
        <v>6989</v>
      </c>
      <c r="C11" s="120" t="s">
        <v>6990</v>
      </c>
      <c r="D11" s="120" t="s">
        <v>6972</v>
      </c>
    </row>
    <row r="12" spans="1:4" x14ac:dyDescent="0.25">
      <c r="A12" s="118">
        <v>11</v>
      </c>
      <c r="B12" s="119" t="s">
        <v>6991</v>
      </c>
      <c r="C12" s="120" t="s">
        <v>6992</v>
      </c>
      <c r="D12" s="120" t="s">
        <v>6972</v>
      </c>
    </row>
    <row r="13" spans="1:4" x14ac:dyDescent="0.25">
      <c r="A13" s="118">
        <v>12</v>
      </c>
      <c r="B13" s="119" t="s">
        <v>6993</v>
      </c>
      <c r="C13" s="120" t="s">
        <v>6994</v>
      </c>
      <c r="D13" s="120" t="s">
        <v>6972</v>
      </c>
    </row>
    <row r="14" spans="1:4" x14ac:dyDescent="0.25">
      <c r="A14" s="118">
        <v>13</v>
      </c>
      <c r="B14" s="119" t="s">
        <v>6995</v>
      </c>
      <c r="C14" s="120" t="s">
        <v>6996</v>
      </c>
      <c r="D14" s="120" t="s">
        <v>6972</v>
      </c>
    </row>
    <row r="15" spans="1:4" x14ac:dyDescent="0.25">
      <c r="A15" s="118">
        <v>14</v>
      </c>
      <c r="B15" s="119" t="s">
        <v>6997</v>
      </c>
      <c r="C15" s="120" t="s">
        <v>6998</v>
      </c>
      <c r="D15" s="120" t="s">
        <v>6972</v>
      </c>
    </row>
    <row r="16" spans="1:4" x14ac:dyDescent="0.25">
      <c r="A16" s="118">
        <v>15</v>
      </c>
      <c r="B16" s="119" t="s">
        <v>6999</v>
      </c>
      <c r="C16" s="120" t="s">
        <v>7000</v>
      </c>
      <c r="D16" s="120" t="s">
        <v>6972</v>
      </c>
    </row>
    <row r="17" spans="1:4" x14ac:dyDescent="0.25">
      <c r="A17" s="118">
        <v>16</v>
      </c>
      <c r="B17" s="119" t="s">
        <v>7001</v>
      </c>
      <c r="C17" s="120" t="s">
        <v>7002</v>
      </c>
      <c r="D17" s="120" t="s">
        <v>6972</v>
      </c>
    </row>
    <row r="18" spans="1:4" x14ac:dyDescent="0.25">
      <c r="A18" s="118">
        <v>17</v>
      </c>
      <c r="B18" s="119" t="s">
        <v>7003</v>
      </c>
      <c r="C18" s="120" t="s">
        <v>7004</v>
      </c>
      <c r="D18" s="120" t="s">
        <v>6972</v>
      </c>
    </row>
    <row r="19" spans="1:4" x14ac:dyDescent="0.25">
      <c r="A19" s="118">
        <v>18</v>
      </c>
      <c r="B19" s="119" t="s">
        <v>7005</v>
      </c>
      <c r="C19" s="120" t="s">
        <v>7006</v>
      </c>
      <c r="D19" s="120" t="s">
        <v>6972</v>
      </c>
    </row>
    <row r="20" spans="1:4" x14ac:dyDescent="0.25">
      <c r="A20" s="118">
        <v>19</v>
      </c>
      <c r="B20" s="119" t="s">
        <v>7007</v>
      </c>
      <c r="C20" s="120" t="s">
        <v>7008</v>
      </c>
      <c r="D20" s="120" t="s">
        <v>6972</v>
      </c>
    </row>
    <row r="21" spans="1:4" x14ac:dyDescent="0.25">
      <c r="A21" s="118">
        <v>20</v>
      </c>
      <c r="B21" s="119" t="s">
        <v>7009</v>
      </c>
      <c r="C21" s="120" t="s">
        <v>7010</v>
      </c>
      <c r="D21" s="120" t="s">
        <v>6972</v>
      </c>
    </row>
    <row r="22" spans="1:4" x14ac:dyDescent="0.25">
      <c r="A22" s="118">
        <v>21</v>
      </c>
      <c r="B22" s="119" t="s">
        <v>5316</v>
      </c>
      <c r="C22" s="120" t="s">
        <v>7011</v>
      </c>
      <c r="D22" s="120" t="s">
        <v>6972</v>
      </c>
    </row>
    <row r="23" spans="1:4" x14ac:dyDescent="0.25">
      <c r="A23" s="118">
        <v>22</v>
      </c>
      <c r="B23" s="119" t="s">
        <v>7012</v>
      </c>
      <c r="C23" s="120" t="s">
        <v>7013</v>
      </c>
      <c r="D23" s="120" t="s">
        <v>6972</v>
      </c>
    </row>
    <row r="24" spans="1:4" x14ac:dyDescent="0.25">
      <c r="A24" s="118">
        <v>23</v>
      </c>
      <c r="B24" s="119" t="s">
        <v>7014</v>
      </c>
      <c r="C24" s="120" t="s">
        <v>7015</v>
      </c>
      <c r="D24" s="120" t="s">
        <v>6972</v>
      </c>
    </row>
    <row r="25" spans="1:4" x14ac:dyDescent="0.25">
      <c r="A25" s="118">
        <v>24</v>
      </c>
      <c r="B25" s="119" t="s">
        <v>7016</v>
      </c>
      <c r="C25" s="120" t="s">
        <v>7017</v>
      </c>
      <c r="D25" s="120" t="s">
        <v>6972</v>
      </c>
    </row>
    <row r="26" spans="1:4" x14ac:dyDescent="0.25">
      <c r="A26" s="118">
        <v>25</v>
      </c>
      <c r="B26" s="119" t="s">
        <v>7018</v>
      </c>
      <c r="C26" s="120" t="s">
        <v>7019</v>
      </c>
      <c r="D26" s="120" t="s">
        <v>6972</v>
      </c>
    </row>
    <row r="27" spans="1:4" x14ac:dyDescent="0.25">
      <c r="A27" s="118">
        <v>26</v>
      </c>
      <c r="B27" s="119" t="s">
        <v>7020</v>
      </c>
      <c r="C27" s="120" t="s">
        <v>7021</v>
      </c>
      <c r="D27" s="120" t="s">
        <v>6972</v>
      </c>
    </row>
    <row r="28" spans="1:4" x14ac:dyDescent="0.25">
      <c r="A28" s="118">
        <v>27</v>
      </c>
      <c r="B28" s="119" t="s">
        <v>7022</v>
      </c>
      <c r="C28" s="120" t="s">
        <v>7023</v>
      </c>
      <c r="D28" s="120" t="s">
        <v>6972</v>
      </c>
    </row>
    <row r="29" spans="1:4" x14ac:dyDescent="0.25">
      <c r="A29" s="118">
        <v>28</v>
      </c>
      <c r="B29" s="119" t="s">
        <v>7024</v>
      </c>
      <c r="C29" s="120" t="s">
        <v>7025</v>
      </c>
      <c r="D29" s="120" t="s">
        <v>6972</v>
      </c>
    </row>
    <row r="30" spans="1:4" x14ac:dyDescent="0.25">
      <c r="A30" s="118">
        <v>29</v>
      </c>
      <c r="B30" s="119" t="s">
        <v>7026</v>
      </c>
      <c r="C30" s="120" t="s">
        <v>7027</v>
      </c>
      <c r="D30" s="120" t="s">
        <v>6972</v>
      </c>
    </row>
    <row r="31" spans="1:4" x14ac:dyDescent="0.25">
      <c r="A31" s="118">
        <v>30</v>
      </c>
      <c r="B31" s="119" t="s">
        <v>7028</v>
      </c>
      <c r="C31" s="120" t="s">
        <v>7029</v>
      </c>
      <c r="D31" s="120" t="s">
        <v>6972</v>
      </c>
    </row>
    <row r="32" spans="1:4" x14ac:dyDescent="0.25">
      <c r="A32" s="118">
        <v>31</v>
      </c>
      <c r="B32" s="119" t="s">
        <v>7030</v>
      </c>
      <c r="C32" s="120" t="s">
        <v>7031</v>
      </c>
      <c r="D32" s="120" t="s">
        <v>6972</v>
      </c>
    </row>
    <row r="33" spans="1:4" x14ac:dyDescent="0.25">
      <c r="A33" s="118">
        <v>32</v>
      </c>
      <c r="B33" s="119" t="s">
        <v>7032</v>
      </c>
      <c r="C33" s="120" t="s">
        <v>7033</v>
      </c>
      <c r="D33" s="120" t="s">
        <v>6972</v>
      </c>
    </row>
    <row r="34" spans="1:4" x14ac:dyDescent="0.25">
      <c r="A34" s="118">
        <v>33</v>
      </c>
      <c r="B34" s="119" t="s">
        <v>7034</v>
      </c>
      <c r="C34" s="120" t="s">
        <v>7035</v>
      </c>
      <c r="D34" s="120" t="s">
        <v>6972</v>
      </c>
    </row>
    <row r="35" spans="1:4" x14ac:dyDescent="0.25">
      <c r="A35" s="118">
        <v>34</v>
      </c>
      <c r="B35" s="119" t="s">
        <v>7036</v>
      </c>
      <c r="C35" s="120" t="s">
        <v>7037</v>
      </c>
      <c r="D35" s="120" t="s">
        <v>6972</v>
      </c>
    </row>
    <row r="36" spans="1:4" x14ac:dyDescent="0.25">
      <c r="A36" s="118">
        <v>35</v>
      </c>
      <c r="B36" s="119" t="s">
        <v>7038</v>
      </c>
      <c r="C36" s="120" t="s">
        <v>7039</v>
      </c>
      <c r="D36" s="120" t="s">
        <v>6972</v>
      </c>
    </row>
    <row r="37" spans="1:4" x14ac:dyDescent="0.25">
      <c r="A37" s="118">
        <v>36</v>
      </c>
      <c r="B37" s="119" t="s">
        <v>7040</v>
      </c>
      <c r="C37" s="120" t="s">
        <v>7041</v>
      </c>
      <c r="D37" s="120" t="s">
        <v>6972</v>
      </c>
    </row>
    <row r="38" spans="1:4" x14ac:dyDescent="0.25">
      <c r="A38" s="118">
        <v>37</v>
      </c>
      <c r="B38" s="119" t="s">
        <v>7042</v>
      </c>
      <c r="C38" s="120" t="s">
        <v>7043</v>
      </c>
      <c r="D38" s="120" t="s">
        <v>6972</v>
      </c>
    </row>
    <row r="39" spans="1:4" x14ac:dyDescent="0.25">
      <c r="A39" s="118">
        <v>38</v>
      </c>
      <c r="B39" s="119" t="s">
        <v>7044</v>
      </c>
      <c r="C39" s="120" t="s">
        <v>7045</v>
      </c>
      <c r="D39" s="120" t="s">
        <v>6972</v>
      </c>
    </row>
    <row r="40" spans="1:4" x14ac:dyDescent="0.25">
      <c r="A40" s="118">
        <v>39</v>
      </c>
      <c r="B40" s="119" t="s">
        <v>7046</v>
      </c>
      <c r="C40" s="120" t="s">
        <v>7047</v>
      </c>
      <c r="D40" s="120" t="s">
        <v>6972</v>
      </c>
    </row>
    <row r="41" spans="1:4" x14ac:dyDescent="0.25">
      <c r="A41" s="118">
        <v>40</v>
      </c>
      <c r="B41" s="119" t="s">
        <v>7048</v>
      </c>
      <c r="C41" s="120" t="s">
        <v>7049</v>
      </c>
      <c r="D41" s="120" t="s">
        <v>6972</v>
      </c>
    </row>
    <row r="42" spans="1:4" x14ac:dyDescent="0.25">
      <c r="A42" s="118">
        <v>41</v>
      </c>
      <c r="B42" s="119" t="s">
        <v>7050</v>
      </c>
      <c r="C42" s="120" t="s">
        <v>7051</v>
      </c>
      <c r="D42" s="120" t="s">
        <v>6972</v>
      </c>
    </row>
    <row r="43" spans="1:4" x14ac:dyDescent="0.25">
      <c r="A43" s="118">
        <v>42</v>
      </c>
      <c r="B43" s="119" t="s">
        <v>7052</v>
      </c>
      <c r="C43" s="120" t="s">
        <v>7053</v>
      </c>
      <c r="D43" s="120" t="s">
        <v>6972</v>
      </c>
    </row>
    <row r="44" spans="1:4" x14ac:dyDescent="0.25">
      <c r="A44" s="118">
        <v>43</v>
      </c>
      <c r="B44" s="119" t="s">
        <v>7054</v>
      </c>
      <c r="C44" s="120" t="s">
        <v>7055</v>
      </c>
      <c r="D44" s="120" t="s">
        <v>6972</v>
      </c>
    </row>
    <row r="45" spans="1:4" x14ac:dyDescent="0.25">
      <c r="A45" s="118">
        <v>44</v>
      </c>
      <c r="B45" s="119" t="s">
        <v>7056</v>
      </c>
      <c r="C45" s="120" t="s">
        <v>7057</v>
      </c>
      <c r="D45" s="120" t="s">
        <v>6972</v>
      </c>
    </row>
    <row r="46" spans="1:4" x14ac:dyDescent="0.25">
      <c r="A46" s="118">
        <v>45</v>
      </c>
      <c r="B46" s="119" t="s">
        <v>7058</v>
      </c>
      <c r="C46" s="120" t="s">
        <v>7059</v>
      </c>
      <c r="D46" s="120" t="s">
        <v>6972</v>
      </c>
    </row>
    <row r="47" spans="1:4" x14ac:dyDescent="0.25">
      <c r="A47" s="118">
        <v>46</v>
      </c>
      <c r="B47" s="119" t="s">
        <v>7060</v>
      </c>
      <c r="C47" s="120" t="s">
        <v>7061</v>
      </c>
      <c r="D47" s="120" t="s">
        <v>6972</v>
      </c>
    </row>
    <row r="48" spans="1:4" x14ac:dyDescent="0.25">
      <c r="A48" s="118">
        <v>47</v>
      </c>
      <c r="B48" s="119" t="s">
        <v>7062</v>
      </c>
      <c r="C48" s="120" t="s">
        <v>7063</v>
      </c>
      <c r="D48" s="120" t="s">
        <v>6972</v>
      </c>
    </row>
    <row r="49" spans="1:4" x14ac:dyDescent="0.25">
      <c r="A49" s="118">
        <v>48</v>
      </c>
      <c r="B49" s="119" t="s">
        <v>7064</v>
      </c>
      <c r="C49" s="120" t="s">
        <v>7065</v>
      </c>
      <c r="D49" s="120" t="s">
        <v>6972</v>
      </c>
    </row>
    <row r="50" spans="1:4" x14ac:dyDescent="0.25">
      <c r="A50" s="118">
        <v>49</v>
      </c>
      <c r="B50" s="119" t="s">
        <v>7066</v>
      </c>
      <c r="C50" s="120" t="s">
        <v>7067</v>
      </c>
      <c r="D50" s="120" t="s">
        <v>6972</v>
      </c>
    </row>
    <row r="51" spans="1:4" x14ac:dyDescent="0.25">
      <c r="A51" s="118">
        <v>50</v>
      </c>
      <c r="B51" s="119" t="s">
        <v>7068</v>
      </c>
      <c r="C51" s="120" t="s">
        <v>7069</v>
      </c>
      <c r="D51" s="120" t="s">
        <v>6972</v>
      </c>
    </row>
    <row r="52" spans="1:4" x14ac:dyDescent="0.25">
      <c r="A52" s="118">
        <v>51</v>
      </c>
      <c r="B52" s="119" t="s">
        <v>7070</v>
      </c>
      <c r="C52" s="120" t="s">
        <v>7071</v>
      </c>
      <c r="D52" s="120" t="s">
        <v>6972</v>
      </c>
    </row>
    <row r="53" spans="1:4" x14ac:dyDescent="0.25">
      <c r="A53" s="118">
        <v>52</v>
      </c>
      <c r="B53" s="119" t="s">
        <v>7072</v>
      </c>
      <c r="C53" s="120" t="s">
        <v>7073</v>
      </c>
      <c r="D53" s="120" t="s">
        <v>6972</v>
      </c>
    </row>
    <row r="54" spans="1:4" x14ac:dyDescent="0.25">
      <c r="A54" s="118">
        <v>53</v>
      </c>
      <c r="B54" s="119" t="s">
        <v>7074</v>
      </c>
      <c r="C54" s="120" t="s">
        <v>7075</v>
      </c>
      <c r="D54" s="120" t="s">
        <v>6972</v>
      </c>
    </row>
    <row r="55" spans="1:4" x14ac:dyDescent="0.25">
      <c r="A55" s="118">
        <v>54</v>
      </c>
      <c r="B55" s="119" t="s">
        <v>7076</v>
      </c>
      <c r="C55" s="120" t="s">
        <v>7077</v>
      </c>
      <c r="D55" s="120" t="s">
        <v>6972</v>
      </c>
    </row>
    <row r="56" spans="1:4" x14ac:dyDescent="0.25">
      <c r="A56" s="118">
        <v>55</v>
      </c>
      <c r="B56" s="119" t="s">
        <v>7078</v>
      </c>
      <c r="C56" s="120" t="s">
        <v>7079</v>
      </c>
      <c r="D56" s="120" t="s">
        <v>6972</v>
      </c>
    </row>
    <row r="57" spans="1:4" x14ac:dyDescent="0.25">
      <c r="A57" s="118">
        <v>56</v>
      </c>
      <c r="B57" s="119" t="s">
        <v>7080</v>
      </c>
      <c r="C57" s="120" t="s">
        <v>7081</v>
      </c>
      <c r="D57" s="120" t="s">
        <v>6972</v>
      </c>
    </row>
    <row r="58" spans="1:4" x14ac:dyDescent="0.25">
      <c r="A58" s="118">
        <v>57</v>
      </c>
      <c r="B58" s="119" t="s">
        <v>7082</v>
      </c>
      <c r="C58" s="120" t="s">
        <v>7083</v>
      </c>
      <c r="D58" s="120" t="s">
        <v>6972</v>
      </c>
    </row>
    <row r="59" spans="1:4" x14ac:dyDescent="0.25">
      <c r="A59" s="118">
        <v>58</v>
      </c>
      <c r="B59" s="119" t="s">
        <v>7084</v>
      </c>
      <c r="C59" s="120" t="s">
        <v>7085</v>
      </c>
      <c r="D59" s="120" t="s">
        <v>6972</v>
      </c>
    </row>
    <row r="60" spans="1:4" x14ac:dyDescent="0.25">
      <c r="A60" s="118">
        <v>59</v>
      </c>
      <c r="B60" s="119" t="s">
        <v>7086</v>
      </c>
      <c r="C60" s="120" t="s">
        <v>7087</v>
      </c>
      <c r="D60" s="120" t="s">
        <v>6972</v>
      </c>
    </row>
    <row r="61" spans="1:4" x14ac:dyDescent="0.25">
      <c r="A61" s="118">
        <v>60</v>
      </c>
      <c r="B61" s="119" t="s">
        <v>7088</v>
      </c>
      <c r="C61" s="120" t="s">
        <v>7089</v>
      </c>
      <c r="D61" s="120" t="s">
        <v>6972</v>
      </c>
    </row>
    <row r="62" spans="1:4" x14ac:dyDescent="0.25">
      <c r="A62" s="118">
        <v>61</v>
      </c>
      <c r="B62" s="119" t="s">
        <v>7090</v>
      </c>
      <c r="C62" s="120" t="s">
        <v>7091</v>
      </c>
      <c r="D62" s="120" t="s">
        <v>6972</v>
      </c>
    </row>
    <row r="63" spans="1:4" x14ac:dyDescent="0.25">
      <c r="A63" s="118">
        <v>62</v>
      </c>
      <c r="B63" s="119" t="s">
        <v>7092</v>
      </c>
      <c r="C63" s="120" t="s">
        <v>7093</v>
      </c>
      <c r="D63" s="120" t="s">
        <v>6972</v>
      </c>
    </row>
    <row r="64" spans="1:4" x14ac:dyDescent="0.25">
      <c r="A64" s="118">
        <v>63</v>
      </c>
      <c r="B64" s="119" t="s">
        <v>7094</v>
      </c>
      <c r="C64" s="120" t="s">
        <v>7095</v>
      </c>
      <c r="D64" s="120" t="s">
        <v>6972</v>
      </c>
    </row>
    <row r="65" spans="1:4" x14ac:dyDescent="0.25">
      <c r="A65" s="118">
        <v>64</v>
      </c>
      <c r="B65" s="119" t="s">
        <v>7096</v>
      </c>
      <c r="C65" s="120" t="s">
        <v>7097</v>
      </c>
      <c r="D65" s="120" t="s">
        <v>6972</v>
      </c>
    </row>
    <row r="66" spans="1:4" x14ac:dyDescent="0.25">
      <c r="A66" s="118">
        <v>65</v>
      </c>
      <c r="B66" s="119" t="s">
        <v>7098</v>
      </c>
      <c r="C66" s="120" t="s">
        <v>7099</v>
      </c>
      <c r="D66" s="120" t="s">
        <v>6972</v>
      </c>
    </row>
    <row r="67" spans="1:4" x14ac:dyDescent="0.25">
      <c r="A67" s="118">
        <v>66</v>
      </c>
      <c r="B67" s="119" t="s">
        <v>7100</v>
      </c>
      <c r="C67" s="120" t="s">
        <v>7101</v>
      </c>
      <c r="D67" s="120" t="s">
        <v>6972</v>
      </c>
    </row>
    <row r="68" spans="1:4" x14ac:dyDescent="0.25">
      <c r="A68" s="118">
        <v>67</v>
      </c>
      <c r="B68" s="119" t="s">
        <v>7102</v>
      </c>
      <c r="C68" s="120" t="s">
        <v>7103</v>
      </c>
      <c r="D68" s="120" t="s">
        <v>6972</v>
      </c>
    </row>
    <row r="69" spans="1:4" x14ac:dyDescent="0.25">
      <c r="A69" s="118">
        <v>68</v>
      </c>
      <c r="B69" s="119" t="s">
        <v>7104</v>
      </c>
      <c r="C69" s="120" t="s">
        <v>7105</v>
      </c>
      <c r="D69" s="120" t="s">
        <v>6972</v>
      </c>
    </row>
    <row r="70" spans="1:4" x14ac:dyDescent="0.25">
      <c r="A70" s="118">
        <v>69</v>
      </c>
      <c r="B70" s="119" t="s">
        <v>7106</v>
      </c>
      <c r="C70" s="120" t="s">
        <v>7107</v>
      </c>
      <c r="D70" s="120" t="s">
        <v>6972</v>
      </c>
    </row>
    <row r="71" spans="1:4" x14ac:dyDescent="0.25">
      <c r="A71" s="118">
        <v>70</v>
      </c>
      <c r="B71" s="119" t="s">
        <v>7108</v>
      </c>
      <c r="C71" s="120" t="s">
        <v>7109</v>
      </c>
      <c r="D71" s="120" t="s">
        <v>6972</v>
      </c>
    </row>
    <row r="72" spans="1:4" x14ac:dyDescent="0.25">
      <c r="A72" s="118">
        <v>71</v>
      </c>
      <c r="B72" s="119" t="s">
        <v>7110</v>
      </c>
      <c r="C72" s="120" t="s">
        <v>7111</v>
      </c>
      <c r="D72" s="120" t="s">
        <v>6972</v>
      </c>
    </row>
    <row r="73" spans="1:4" x14ac:dyDescent="0.25">
      <c r="A73" s="118">
        <v>72</v>
      </c>
      <c r="B73" s="119" t="s">
        <v>7112</v>
      </c>
      <c r="C73" s="120" t="s">
        <v>7113</v>
      </c>
      <c r="D73" s="120" t="s">
        <v>6972</v>
      </c>
    </row>
    <row r="74" spans="1:4" x14ac:dyDescent="0.25">
      <c r="A74" s="118">
        <v>73</v>
      </c>
      <c r="B74" s="119" t="s">
        <v>7114</v>
      </c>
      <c r="C74" s="120" t="s">
        <v>7115</v>
      </c>
      <c r="D74" s="120" t="s">
        <v>6972</v>
      </c>
    </row>
    <row r="75" spans="1:4" x14ac:dyDescent="0.25">
      <c r="A75" s="118">
        <v>74</v>
      </c>
      <c r="B75" s="119" t="s">
        <v>7116</v>
      </c>
      <c r="C75" s="120" t="s">
        <v>7117</v>
      </c>
      <c r="D75" s="120" t="s">
        <v>6972</v>
      </c>
    </row>
    <row r="76" spans="1:4" x14ac:dyDescent="0.25">
      <c r="A76" s="118">
        <v>75</v>
      </c>
      <c r="B76" s="119" t="s">
        <v>7118</v>
      </c>
      <c r="C76" s="120" t="s">
        <v>7119</v>
      </c>
      <c r="D76" s="120" t="s">
        <v>6972</v>
      </c>
    </row>
    <row r="77" spans="1:4" x14ac:dyDescent="0.25">
      <c r="A77" s="118">
        <v>76</v>
      </c>
      <c r="B77" s="119" t="s">
        <v>7120</v>
      </c>
      <c r="C77" s="120" t="s">
        <v>7121</v>
      </c>
      <c r="D77" s="120" t="s">
        <v>6972</v>
      </c>
    </row>
    <row r="78" spans="1:4" x14ac:dyDescent="0.25">
      <c r="A78" s="118">
        <v>77</v>
      </c>
      <c r="B78" s="119" t="s">
        <v>7122</v>
      </c>
      <c r="C78" s="120" t="s">
        <v>7123</v>
      </c>
      <c r="D78" s="120" t="s">
        <v>6972</v>
      </c>
    </row>
    <row r="79" spans="1:4" x14ac:dyDescent="0.25">
      <c r="A79" s="118">
        <v>78</v>
      </c>
      <c r="B79" s="119" t="s">
        <v>7124</v>
      </c>
      <c r="C79" s="120" t="s">
        <v>7125</v>
      </c>
      <c r="D79" s="120" t="s">
        <v>6972</v>
      </c>
    </row>
    <row r="80" spans="1:4" x14ac:dyDescent="0.25">
      <c r="A80" s="118">
        <v>79</v>
      </c>
      <c r="B80" s="119" t="s">
        <v>7126</v>
      </c>
      <c r="C80" s="120" t="s">
        <v>7127</v>
      </c>
      <c r="D80" s="120" t="s">
        <v>6972</v>
      </c>
    </row>
    <row r="81" spans="1:4" x14ac:dyDescent="0.25">
      <c r="A81" s="118">
        <v>80</v>
      </c>
      <c r="B81" s="119" t="s">
        <v>7128</v>
      </c>
      <c r="C81" s="120" t="s">
        <v>7129</v>
      </c>
      <c r="D81" s="120" t="s">
        <v>6972</v>
      </c>
    </row>
    <row r="82" spans="1:4" x14ac:dyDescent="0.25">
      <c r="A82" s="118">
        <v>81</v>
      </c>
      <c r="B82" s="119" t="s">
        <v>7130</v>
      </c>
      <c r="C82" s="120" t="s">
        <v>7131</v>
      </c>
      <c r="D82" s="120" t="s">
        <v>6972</v>
      </c>
    </row>
    <row r="83" spans="1:4" x14ac:dyDescent="0.25">
      <c r="A83" s="118">
        <v>82</v>
      </c>
      <c r="B83" s="119" t="s">
        <v>7132</v>
      </c>
      <c r="C83" s="120" t="s">
        <v>7133</v>
      </c>
      <c r="D83" s="120" t="s">
        <v>6972</v>
      </c>
    </row>
    <row r="84" spans="1:4" x14ac:dyDescent="0.25">
      <c r="A84" s="118">
        <v>83</v>
      </c>
      <c r="B84" s="119" t="s">
        <v>7134</v>
      </c>
      <c r="C84" s="120" t="s">
        <v>7135</v>
      </c>
      <c r="D84" s="120" t="s">
        <v>6972</v>
      </c>
    </row>
    <row r="85" spans="1:4" x14ac:dyDescent="0.25">
      <c r="A85" s="118">
        <v>84</v>
      </c>
      <c r="B85" s="119" t="s">
        <v>7136</v>
      </c>
      <c r="C85" s="120" t="s">
        <v>7137</v>
      </c>
      <c r="D85" s="120" t="s">
        <v>6972</v>
      </c>
    </row>
    <row r="86" spans="1:4" x14ac:dyDescent="0.25">
      <c r="A86" s="118">
        <v>85</v>
      </c>
      <c r="B86" s="119" t="s">
        <v>7138</v>
      </c>
      <c r="C86" s="120" t="s">
        <v>7139</v>
      </c>
      <c r="D86" s="120" t="s">
        <v>6972</v>
      </c>
    </row>
    <row r="87" spans="1:4" x14ac:dyDescent="0.25">
      <c r="A87" s="118">
        <v>86</v>
      </c>
      <c r="B87" s="119" t="s">
        <v>7140</v>
      </c>
      <c r="C87" s="120" t="s">
        <v>7141</v>
      </c>
      <c r="D87" s="120" t="s">
        <v>6972</v>
      </c>
    </row>
    <row r="88" spans="1:4" x14ac:dyDescent="0.25">
      <c r="A88" s="118">
        <v>87</v>
      </c>
      <c r="B88" s="119" t="s">
        <v>7142</v>
      </c>
      <c r="C88" s="120" t="s">
        <v>7143</v>
      </c>
      <c r="D88" s="120" t="s">
        <v>6972</v>
      </c>
    </row>
    <row r="89" spans="1:4" x14ac:dyDescent="0.25">
      <c r="A89" s="118">
        <v>88</v>
      </c>
      <c r="B89" s="119" t="s">
        <v>7144</v>
      </c>
      <c r="C89" s="120" t="s">
        <v>7145</v>
      </c>
      <c r="D89" s="120" t="s">
        <v>6972</v>
      </c>
    </row>
    <row r="90" spans="1:4" x14ac:dyDescent="0.25">
      <c r="A90" s="118">
        <v>89</v>
      </c>
      <c r="B90" s="119" t="s">
        <v>7146</v>
      </c>
      <c r="C90" s="120" t="s">
        <v>7147</v>
      </c>
      <c r="D90" s="120" t="s">
        <v>6972</v>
      </c>
    </row>
    <row r="91" spans="1:4" x14ac:dyDescent="0.25">
      <c r="A91" s="118">
        <v>90</v>
      </c>
      <c r="B91" s="119" t="s">
        <v>7148</v>
      </c>
      <c r="C91" s="120" t="s">
        <v>7149</v>
      </c>
      <c r="D91" s="120" t="s">
        <v>6972</v>
      </c>
    </row>
    <row r="92" spans="1:4" x14ac:dyDescent="0.25">
      <c r="A92" s="118">
        <v>91</v>
      </c>
      <c r="B92" s="119" t="s">
        <v>7150</v>
      </c>
      <c r="C92" s="120" t="s">
        <v>7151</v>
      </c>
      <c r="D92" s="120" t="s">
        <v>6972</v>
      </c>
    </row>
    <row r="93" spans="1:4" x14ac:dyDescent="0.25">
      <c r="A93" s="118">
        <v>92</v>
      </c>
      <c r="B93" s="119" t="s">
        <v>7152</v>
      </c>
      <c r="C93" s="120" t="s">
        <v>7153</v>
      </c>
      <c r="D93" s="120" t="s">
        <v>6972</v>
      </c>
    </row>
    <row r="94" spans="1:4" x14ac:dyDescent="0.25">
      <c r="A94" s="118">
        <v>93</v>
      </c>
      <c r="B94" s="119" t="s">
        <v>7154</v>
      </c>
      <c r="C94" s="120" t="s">
        <v>7155</v>
      </c>
      <c r="D94" s="120" t="s">
        <v>6972</v>
      </c>
    </row>
    <row r="95" spans="1:4" x14ac:dyDescent="0.25">
      <c r="A95" s="118">
        <v>94</v>
      </c>
      <c r="B95" s="119" t="s">
        <v>7156</v>
      </c>
      <c r="C95" s="120" t="s">
        <v>7157</v>
      </c>
      <c r="D95" s="120" t="s">
        <v>6972</v>
      </c>
    </row>
    <row r="96" spans="1:4" x14ac:dyDescent="0.25">
      <c r="A96" s="118">
        <v>95</v>
      </c>
      <c r="B96" s="119" t="s">
        <v>7158</v>
      </c>
      <c r="C96" s="120" t="s">
        <v>7159</v>
      </c>
      <c r="D96" s="120" t="s">
        <v>6972</v>
      </c>
    </row>
    <row r="97" spans="1:4" x14ac:dyDescent="0.25">
      <c r="A97" s="118">
        <v>96</v>
      </c>
      <c r="B97" s="119" t="s">
        <v>7160</v>
      </c>
      <c r="C97" s="120" t="s">
        <v>7161</v>
      </c>
      <c r="D97" s="120" t="s">
        <v>6972</v>
      </c>
    </row>
    <row r="98" spans="1:4" x14ac:dyDescent="0.25">
      <c r="A98" s="118">
        <v>97</v>
      </c>
      <c r="B98" s="119" t="s">
        <v>7162</v>
      </c>
      <c r="C98" s="120" t="s">
        <v>7163</v>
      </c>
      <c r="D98" s="120" t="s">
        <v>6972</v>
      </c>
    </row>
  </sheetData>
  <autoFilter ref="A1:C98" xr:uid="{00000000-0009-0000-0000-00000000000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84D4F-DC45-45F1-B198-B9CF8BB749F8}">
  <sheetPr>
    <tabColor theme="2" tint="-9.9978637043366805E-2"/>
  </sheetPr>
  <dimension ref="A1:N232"/>
  <sheetViews>
    <sheetView tabSelected="1" zoomScale="70" zoomScaleNormal="70" workbookViewId="0">
      <selection activeCell="J8" sqref="J8"/>
    </sheetView>
  </sheetViews>
  <sheetFormatPr baseColWidth="10" defaultColWidth="11.42578125" defaultRowHeight="15" x14ac:dyDescent="0.25"/>
  <cols>
    <col min="1" max="1" width="17" style="237" customWidth="1"/>
    <col min="2" max="2" width="37.5703125" style="238" customWidth="1"/>
    <col min="3" max="3" width="66.85546875" style="238" customWidth="1"/>
    <col min="4" max="4" width="14.140625" style="237" customWidth="1"/>
    <col min="5" max="5" width="14.140625" style="238" customWidth="1"/>
    <col min="6" max="6" width="14.5703125" style="238" customWidth="1"/>
    <col min="7" max="7" width="14.85546875" style="238" customWidth="1"/>
    <col min="8" max="8" width="15.85546875" style="238" customWidth="1"/>
    <col min="9" max="9" width="9.140625" style="237" customWidth="1"/>
    <col min="10" max="10" width="77.42578125" style="237" customWidth="1"/>
    <col min="11" max="11" width="27.42578125" style="237" customWidth="1"/>
    <col min="12" max="13" width="24.85546875" style="238" customWidth="1"/>
    <col min="14" max="14" width="11.42578125" style="238"/>
    <col min="15" max="16384" width="11.42578125" style="1"/>
  </cols>
  <sheetData>
    <row r="1" spans="1:14" s="16" customFormat="1" ht="20.25" customHeight="1" x14ac:dyDescent="0.25">
      <c r="A1" s="227"/>
      <c r="B1" s="227"/>
      <c r="C1" s="227"/>
      <c r="D1" s="227" t="s">
        <v>7</v>
      </c>
      <c r="E1" s="227" t="s">
        <v>7</v>
      </c>
      <c r="F1" s="227" t="s">
        <v>7</v>
      </c>
      <c r="G1" s="227" t="s">
        <v>7</v>
      </c>
      <c r="H1" s="227" t="s">
        <v>7</v>
      </c>
      <c r="I1" s="227" t="s">
        <v>7</v>
      </c>
      <c r="J1" s="228" t="s">
        <v>9</v>
      </c>
      <c r="K1" s="228" t="s">
        <v>9</v>
      </c>
      <c r="L1" s="228" t="s">
        <v>11</v>
      </c>
      <c r="M1" s="228" t="s">
        <v>11</v>
      </c>
      <c r="N1" s="58"/>
    </row>
    <row r="2" spans="1:14" s="17" customFormat="1" ht="66" customHeight="1" x14ac:dyDescent="0.25">
      <c r="A2" s="229" t="s">
        <v>21</v>
      </c>
      <c r="B2" s="229" t="s">
        <v>22</v>
      </c>
      <c r="C2" s="229" t="s">
        <v>23</v>
      </c>
      <c r="D2" s="230" t="s">
        <v>25</v>
      </c>
      <c r="E2" s="230" t="s">
        <v>27</v>
      </c>
      <c r="F2" s="230" t="s">
        <v>34</v>
      </c>
      <c r="G2" s="230" t="s">
        <v>35</v>
      </c>
      <c r="H2" s="230" t="s">
        <v>38</v>
      </c>
      <c r="I2" s="230" t="s">
        <v>46</v>
      </c>
      <c r="J2" s="229" t="s">
        <v>7584</v>
      </c>
      <c r="K2" s="229" t="s">
        <v>49</v>
      </c>
      <c r="L2" s="229" t="s">
        <v>48</v>
      </c>
      <c r="M2" s="229" t="s">
        <v>49</v>
      </c>
      <c r="N2" s="231"/>
    </row>
    <row r="3" spans="1:14" s="18" customFormat="1" ht="23.25" customHeight="1" x14ac:dyDescent="0.25">
      <c r="A3" s="223" t="s">
        <v>81</v>
      </c>
      <c r="B3" s="21" t="s">
        <v>82</v>
      </c>
      <c r="C3" s="21" t="s">
        <v>83</v>
      </c>
      <c r="D3" s="12" t="s">
        <v>85</v>
      </c>
      <c r="E3" s="21" t="s">
        <v>86</v>
      </c>
      <c r="F3" s="21" t="s">
        <v>87</v>
      </c>
      <c r="G3" s="21" t="s">
        <v>90</v>
      </c>
      <c r="H3" s="20" t="s">
        <v>7164</v>
      </c>
      <c r="I3" s="20" t="s">
        <v>98</v>
      </c>
      <c r="J3" s="21" t="s">
        <v>102</v>
      </c>
      <c r="K3" s="21" t="s">
        <v>102</v>
      </c>
      <c r="L3" s="21" t="s">
        <v>103</v>
      </c>
      <c r="M3" s="21" t="s">
        <v>103</v>
      </c>
    </row>
    <row r="4" spans="1:14" s="18" customFormat="1" ht="50.1" customHeight="1" x14ac:dyDescent="0.25">
      <c r="A4" s="223" t="s">
        <v>110</v>
      </c>
      <c r="B4" s="2" t="s">
        <v>7165</v>
      </c>
      <c r="C4" s="2" t="s">
        <v>7166</v>
      </c>
      <c r="D4" s="12" t="s">
        <v>81</v>
      </c>
      <c r="E4" s="21" t="s">
        <v>114</v>
      </c>
      <c r="F4" s="21" t="s">
        <v>116</v>
      </c>
      <c r="G4" s="21" t="s">
        <v>115</v>
      </c>
      <c r="H4" s="20" t="s">
        <v>7164</v>
      </c>
      <c r="I4" s="20" t="s">
        <v>98</v>
      </c>
      <c r="J4" s="2" t="s">
        <v>7585</v>
      </c>
      <c r="K4" s="21" t="s">
        <v>121</v>
      </c>
      <c r="L4" s="21" t="s">
        <v>124</v>
      </c>
      <c r="M4" s="2" t="s">
        <v>125</v>
      </c>
    </row>
    <row r="5" spans="1:14" s="18" customFormat="1" ht="50.1" customHeight="1" x14ac:dyDescent="0.25">
      <c r="A5" s="223" t="s">
        <v>133</v>
      </c>
      <c r="B5" s="2" t="s">
        <v>7167</v>
      </c>
      <c r="C5" s="2" t="s">
        <v>135</v>
      </c>
      <c r="D5" s="12" t="s">
        <v>81</v>
      </c>
      <c r="E5" s="21" t="s">
        <v>114</v>
      </c>
      <c r="F5" s="21" t="s">
        <v>116</v>
      </c>
      <c r="G5" s="21" t="s">
        <v>115</v>
      </c>
      <c r="H5" s="20" t="s">
        <v>7164</v>
      </c>
      <c r="I5" s="20" t="s">
        <v>98</v>
      </c>
      <c r="J5" s="2" t="s">
        <v>7585</v>
      </c>
      <c r="K5" s="21" t="s">
        <v>121</v>
      </c>
      <c r="L5" s="2" t="s">
        <v>139</v>
      </c>
      <c r="M5" s="2" t="s">
        <v>140</v>
      </c>
    </row>
    <row r="6" spans="1:14" s="18" customFormat="1" ht="50.1" customHeight="1" x14ac:dyDescent="0.25">
      <c r="A6" s="223" t="s">
        <v>147</v>
      </c>
      <c r="B6" s="2" t="s">
        <v>7168</v>
      </c>
      <c r="C6" s="2" t="s">
        <v>7169</v>
      </c>
      <c r="D6" s="12" t="s">
        <v>81</v>
      </c>
      <c r="E6" s="21" t="s">
        <v>114</v>
      </c>
      <c r="F6" s="21" t="s">
        <v>116</v>
      </c>
      <c r="G6" s="21" t="s">
        <v>115</v>
      </c>
      <c r="H6" s="20" t="s">
        <v>7164</v>
      </c>
      <c r="I6" s="20" t="s">
        <v>98</v>
      </c>
      <c r="J6" s="2" t="s">
        <v>7586</v>
      </c>
      <c r="K6" s="21" t="s">
        <v>121</v>
      </c>
      <c r="L6" s="21" t="s">
        <v>153</v>
      </c>
      <c r="M6" s="2" t="s">
        <v>154</v>
      </c>
    </row>
    <row r="7" spans="1:14" s="18" customFormat="1" ht="50.1" customHeight="1" x14ac:dyDescent="0.25">
      <c r="A7" s="223" t="s">
        <v>160</v>
      </c>
      <c r="B7" s="2" t="s">
        <v>7170</v>
      </c>
      <c r="C7" s="2" t="s">
        <v>162</v>
      </c>
      <c r="D7" s="12" t="s">
        <v>81</v>
      </c>
      <c r="E7" s="21" t="s">
        <v>114</v>
      </c>
      <c r="F7" s="21" t="s">
        <v>116</v>
      </c>
      <c r="G7" s="21" t="s">
        <v>115</v>
      </c>
      <c r="H7" s="20" t="s">
        <v>7164</v>
      </c>
      <c r="I7" s="20" t="s">
        <v>98</v>
      </c>
      <c r="J7" s="2" t="s">
        <v>7586</v>
      </c>
      <c r="K7" s="21" t="s">
        <v>121</v>
      </c>
      <c r="L7" s="21" t="s">
        <v>165</v>
      </c>
      <c r="M7" s="2" t="s">
        <v>166</v>
      </c>
    </row>
    <row r="8" spans="1:14" s="18" customFormat="1" ht="50.1" customHeight="1" x14ac:dyDescent="0.25">
      <c r="A8" s="223" t="s">
        <v>171</v>
      </c>
      <c r="B8" s="2" t="s">
        <v>172</v>
      </c>
      <c r="C8" s="2" t="s">
        <v>173</v>
      </c>
      <c r="D8" s="12" t="s">
        <v>81</v>
      </c>
      <c r="E8" s="21" t="s">
        <v>114</v>
      </c>
      <c r="F8" s="21" t="s">
        <v>116</v>
      </c>
      <c r="G8" s="21" t="s">
        <v>115</v>
      </c>
      <c r="H8" s="20" t="s">
        <v>7164</v>
      </c>
      <c r="I8" s="20" t="s">
        <v>98</v>
      </c>
      <c r="J8" s="2" t="s">
        <v>7587</v>
      </c>
      <c r="K8" s="2" t="s">
        <v>121</v>
      </c>
      <c r="L8" s="2" t="s">
        <v>179</v>
      </c>
      <c r="M8" s="2" t="s">
        <v>180</v>
      </c>
    </row>
    <row r="9" spans="1:14" s="18" customFormat="1" ht="50.1" customHeight="1" x14ac:dyDescent="0.25">
      <c r="A9" s="223" t="s">
        <v>189</v>
      </c>
      <c r="B9" s="21" t="s">
        <v>7171</v>
      </c>
      <c r="C9" s="21" t="s">
        <v>191</v>
      </c>
      <c r="D9" s="12" t="s">
        <v>81</v>
      </c>
      <c r="E9" s="21" t="s">
        <v>114</v>
      </c>
      <c r="F9" s="21" t="s">
        <v>116</v>
      </c>
      <c r="G9" s="21" t="s">
        <v>400</v>
      </c>
      <c r="H9" s="20" t="s">
        <v>7164</v>
      </c>
      <c r="I9" s="20" t="s">
        <v>98</v>
      </c>
      <c r="J9" s="2" t="s">
        <v>7588</v>
      </c>
      <c r="K9" s="21" t="s">
        <v>121</v>
      </c>
      <c r="L9" s="21" t="s">
        <v>195</v>
      </c>
      <c r="M9" s="2" t="s">
        <v>196</v>
      </c>
    </row>
    <row r="10" spans="1:14" s="18" customFormat="1" ht="50.1" customHeight="1" x14ac:dyDescent="0.25">
      <c r="A10" s="223" t="s">
        <v>200</v>
      </c>
      <c r="B10" s="21" t="s">
        <v>7172</v>
      </c>
      <c r="C10" s="21" t="s">
        <v>202</v>
      </c>
      <c r="D10" s="12" t="s">
        <v>81</v>
      </c>
      <c r="E10" s="21" t="s">
        <v>114</v>
      </c>
      <c r="F10" s="21" t="s">
        <v>116</v>
      </c>
      <c r="G10" s="21" t="s">
        <v>353</v>
      </c>
      <c r="H10" s="20" t="s">
        <v>7164</v>
      </c>
      <c r="I10" s="20" t="s">
        <v>98</v>
      </c>
      <c r="J10" s="2" t="s">
        <v>7589</v>
      </c>
      <c r="K10" s="21" t="s">
        <v>121</v>
      </c>
      <c r="L10" s="21" t="s">
        <v>206</v>
      </c>
      <c r="M10" s="2" t="s">
        <v>207</v>
      </c>
    </row>
    <row r="11" spans="1:14" s="18" customFormat="1" ht="50.1" customHeight="1" x14ac:dyDescent="0.25">
      <c r="A11" s="223" t="s">
        <v>255</v>
      </c>
      <c r="B11" s="2" t="s">
        <v>256</v>
      </c>
      <c r="C11" s="2" t="s">
        <v>257</v>
      </c>
      <c r="D11" s="12" t="s">
        <v>81</v>
      </c>
      <c r="E11" s="21" t="s">
        <v>114</v>
      </c>
      <c r="F11" s="21" t="s">
        <v>116</v>
      </c>
      <c r="G11" s="21" t="s">
        <v>258</v>
      </c>
      <c r="H11" s="20" t="s">
        <v>7164</v>
      </c>
      <c r="I11" s="20" t="s">
        <v>98</v>
      </c>
      <c r="J11" s="2" t="s">
        <v>7590</v>
      </c>
      <c r="K11" s="2" t="s">
        <v>262</v>
      </c>
      <c r="L11" s="2" t="s">
        <v>7662</v>
      </c>
      <c r="M11" s="2" t="s">
        <v>264</v>
      </c>
    </row>
    <row r="12" spans="1:14" s="18" customFormat="1" ht="50.1" customHeight="1" x14ac:dyDescent="0.25">
      <c r="A12" s="223" t="s">
        <v>270</v>
      </c>
      <c r="B12" s="21" t="s">
        <v>271</v>
      </c>
      <c r="C12" s="2" t="s">
        <v>272</v>
      </c>
      <c r="D12" s="12" t="s">
        <v>81</v>
      </c>
      <c r="E12" s="21" t="s">
        <v>114</v>
      </c>
      <c r="F12" s="21" t="s">
        <v>246</v>
      </c>
      <c r="G12" s="21" t="s">
        <v>258</v>
      </c>
      <c r="H12" s="20" t="s">
        <v>7164</v>
      </c>
      <c r="I12" s="20" t="s">
        <v>98</v>
      </c>
      <c r="J12" s="2" t="s">
        <v>7591</v>
      </c>
      <c r="K12" s="20" t="s">
        <v>276</v>
      </c>
      <c r="L12" s="21" t="s">
        <v>277</v>
      </c>
      <c r="M12" s="21" t="s">
        <v>220</v>
      </c>
    </row>
    <row r="13" spans="1:14" s="18" customFormat="1" ht="50.1" customHeight="1" x14ac:dyDescent="0.25">
      <c r="A13" s="223" t="s">
        <v>281</v>
      </c>
      <c r="B13" s="21" t="s">
        <v>282</v>
      </c>
      <c r="C13" s="2" t="s">
        <v>283</v>
      </c>
      <c r="D13" s="12" t="s">
        <v>81</v>
      </c>
      <c r="E13" s="21" t="s">
        <v>114</v>
      </c>
      <c r="F13" s="21" t="s">
        <v>246</v>
      </c>
      <c r="G13" s="21" t="s">
        <v>258</v>
      </c>
      <c r="H13" s="20" t="s">
        <v>7164</v>
      </c>
      <c r="I13" s="20" t="s">
        <v>98</v>
      </c>
      <c r="J13" s="2" t="s">
        <v>7591</v>
      </c>
      <c r="K13" s="20" t="s">
        <v>286</v>
      </c>
      <c r="L13" s="21" t="s">
        <v>277</v>
      </c>
      <c r="M13" s="21" t="s">
        <v>220</v>
      </c>
    </row>
    <row r="14" spans="1:14" s="18" customFormat="1" ht="50.1" customHeight="1" x14ac:dyDescent="0.25">
      <c r="A14" s="223" t="s">
        <v>289</v>
      </c>
      <c r="B14" s="21" t="s">
        <v>290</v>
      </c>
      <c r="C14" s="2" t="s">
        <v>291</v>
      </c>
      <c r="D14" s="12" t="s">
        <v>81</v>
      </c>
      <c r="E14" s="21" t="s">
        <v>114</v>
      </c>
      <c r="F14" s="21" t="s">
        <v>246</v>
      </c>
      <c r="G14" s="21" t="s">
        <v>258</v>
      </c>
      <c r="H14" s="20" t="s">
        <v>7164</v>
      </c>
      <c r="I14" s="20" t="s">
        <v>98</v>
      </c>
      <c r="J14" s="2" t="s">
        <v>7591</v>
      </c>
      <c r="K14" s="20" t="s">
        <v>294</v>
      </c>
      <c r="L14" s="21" t="s">
        <v>277</v>
      </c>
      <c r="M14" s="21" t="s">
        <v>220</v>
      </c>
    </row>
    <row r="15" spans="1:14" s="18" customFormat="1" ht="50.1" customHeight="1" x14ac:dyDescent="0.25">
      <c r="A15" s="223" t="s">
        <v>297</v>
      </c>
      <c r="B15" s="21" t="s">
        <v>298</v>
      </c>
      <c r="C15" s="2" t="s">
        <v>299</v>
      </c>
      <c r="D15" s="12" t="s">
        <v>81</v>
      </c>
      <c r="E15" s="21" t="s">
        <v>114</v>
      </c>
      <c r="F15" s="21" t="s">
        <v>246</v>
      </c>
      <c r="G15" s="21" t="s">
        <v>258</v>
      </c>
      <c r="H15" s="20" t="s">
        <v>7164</v>
      </c>
      <c r="I15" s="20" t="s">
        <v>98</v>
      </c>
      <c r="J15" s="2" t="s">
        <v>7591</v>
      </c>
      <c r="K15" s="20" t="s">
        <v>302</v>
      </c>
      <c r="L15" s="21" t="s">
        <v>277</v>
      </c>
      <c r="M15" s="21" t="s">
        <v>220</v>
      </c>
    </row>
    <row r="16" spans="1:14" s="18" customFormat="1" ht="50.1" customHeight="1" x14ac:dyDescent="0.25">
      <c r="A16" s="223" t="s">
        <v>306</v>
      </c>
      <c r="B16" s="2" t="s">
        <v>307</v>
      </c>
      <c r="C16" s="2" t="s">
        <v>308</v>
      </c>
      <c r="D16" s="12" t="s">
        <v>81</v>
      </c>
      <c r="E16" s="21" t="s">
        <v>309</v>
      </c>
      <c r="F16" s="21" t="s">
        <v>116</v>
      </c>
      <c r="G16" s="21" t="s">
        <v>115</v>
      </c>
      <c r="H16" s="20" t="s">
        <v>7164</v>
      </c>
      <c r="I16" s="20" t="s">
        <v>98</v>
      </c>
      <c r="J16" s="2" t="s">
        <v>7585</v>
      </c>
      <c r="K16" s="21" t="s">
        <v>121</v>
      </c>
      <c r="L16" s="21" t="s">
        <v>312</v>
      </c>
      <c r="M16" s="2" t="s">
        <v>313</v>
      </c>
    </row>
    <row r="17" spans="1:13" s="18" customFormat="1" ht="50.1" customHeight="1" x14ac:dyDescent="0.25">
      <c r="A17" s="223" t="s">
        <v>318</v>
      </c>
      <c r="B17" s="2" t="s">
        <v>319</v>
      </c>
      <c r="C17" s="2" t="s">
        <v>320</v>
      </c>
      <c r="D17" s="12" t="s">
        <v>81</v>
      </c>
      <c r="E17" s="21" t="s">
        <v>309</v>
      </c>
      <c r="F17" s="21" t="s">
        <v>116</v>
      </c>
      <c r="G17" s="21" t="s">
        <v>115</v>
      </c>
      <c r="H17" s="20" t="s">
        <v>7164</v>
      </c>
      <c r="I17" s="20" t="s">
        <v>98</v>
      </c>
      <c r="J17" s="2" t="s">
        <v>7592</v>
      </c>
      <c r="K17" s="21" t="s">
        <v>121</v>
      </c>
      <c r="L17" s="21" t="s">
        <v>324</v>
      </c>
      <c r="M17" s="2" t="s">
        <v>7173</v>
      </c>
    </row>
    <row r="18" spans="1:13" s="18" customFormat="1" ht="50.1" customHeight="1" x14ac:dyDescent="0.25">
      <c r="A18" s="223" t="s">
        <v>330</v>
      </c>
      <c r="B18" s="2" t="s">
        <v>331</v>
      </c>
      <c r="C18" s="2" t="s">
        <v>7174</v>
      </c>
      <c r="D18" s="12" t="s">
        <v>81</v>
      </c>
      <c r="E18" s="21" t="s">
        <v>309</v>
      </c>
      <c r="F18" s="21" t="s">
        <v>116</v>
      </c>
      <c r="G18" s="21" t="s">
        <v>115</v>
      </c>
      <c r="H18" s="20" t="s">
        <v>7164</v>
      </c>
      <c r="I18" s="20" t="s">
        <v>98</v>
      </c>
      <c r="J18" s="2" t="s">
        <v>7593</v>
      </c>
      <c r="K18" s="2" t="s">
        <v>121</v>
      </c>
      <c r="L18" s="2" t="s">
        <v>335</v>
      </c>
      <c r="M18" s="2" t="s">
        <v>336</v>
      </c>
    </row>
    <row r="19" spans="1:13" s="18" customFormat="1" ht="50.1" customHeight="1" x14ac:dyDescent="0.25">
      <c r="A19" s="223" t="s">
        <v>341</v>
      </c>
      <c r="B19" s="21" t="s">
        <v>342</v>
      </c>
      <c r="C19" s="2" t="s">
        <v>7175</v>
      </c>
      <c r="D19" s="12" t="s">
        <v>81</v>
      </c>
      <c r="E19" s="21" t="s">
        <v>309</v>
      </c>
      <c r="F19" s="21" t="s">
        <v>116</v>
      </c>
      <c r="G19" s="21" t="s">
        <v>400</v>
      </c>
      <c r="H19" s="20" t="s">
        <v>7164</v>
      </c>
      <c r="I19" s="20" t="s">
        <v>98</v>
      </c>
      <c r="J19" s="2" t="s">
        <v>7594</v>
      </c>
      <c r="K19" s="21" t="s">
        <v>121</v>
      </c>
      <c r="L19" s="21" t="s">
        <v>346</v>
      </c>
      <c r="M19" s="2" t="s">
        <v>347</v>
      </c>
    </row>
    <row r="20" spans="1:13" s="18" customFormat="1" ht="50.1" customHeight="1" x14ac:dyDescent="0.25">
      <c r="A20" s="223" t="s">
        <v>351</v>
      </c>
      <c r="B20" s="21" t="s">
        <v>352</v>
      </c>
      <c r="C20" s="2" t="s">
        <v>7176</v>
      </c>
      <c r="D20" s="12" t="s">
        <v>81</v>
      </c>
      <c r="E20" s="21" t="s">
        <v>309</v>
      </c>
      <c r="F20" s="21" t="s">
        <v>116</v>
      </c>
      <c r="G20" s="21" t="s">
        <v>353</v>
      </c>
      <c r="H20" s="20" t="s">
        <v>7164</v>
      </c>
      <c r="I20" s="20" t="s">
        <v>98</v>
      </c>
      <c r="J20" s="2" t="s">
        <v>7595</v>
      </c>
      <c r="K20" s="21" t="s">
        <v>121</v>
      </c>
      <c r="L20" s="21" t="s">
        <v>356</v>
      </c>
      <c r="M20" s="2" t="s">
        <v>357</v>
      </c>
    </row>
    <row r="21" spans="1:13" s="18" customFormat="1" ht="50.1" customHeight="1" x14ac:dyDescent="0.25">
      <c r="A21" s="223" t="s">
        <v>361</v>
      </c>
      <c r="B21" s="2" t="s">
        <v>362</v>
      </c>
      <c r="C21" s="2" t="s">
        <v>363</v>
      </c>
      <c r="D21" s="12" t="s">
        <v>81</v>
      </c>
      <c r="E21" s="21" t="s">
        <v>364</v>
      </c>
      <c r="F21" s="21" t="s">
        <v>116</v>
      </c>
      <c r="G21" s="21" t="s">
        <v>115</v>
      </c>
      <c r="H21" s="20" t="s">
        <v>7164</v>
      </c>
      <c r="I21" s="20" t="s">
        <v>98</v>
      </c>
      <c r="J21" s="2" t="s">
        <v>7596</v>
      </c>
      <c r="K21" s="21" t="s">
        <v>121</v>
      </c>
      <c r="L21" s="21" t="s">
        <v>368</v>
      </c>
      <c r="M21" s="21" t="s">
        <v>369</v>
      </c>
    </row>
    <row r="22" spans="1:13" s="18" customFormat="1" ht="50.1" customHeight="1" x14ac:dyDescent="0.25">
      <c r="A22" s="223" t="s">
        <v>374</v>
      </c>
      <c r="B22" s="21" t="s">
        <v>375</v>
      </c>
      <c r="C22" s="2" t="s">
        <v>376</v>
      </c>
      <c r="D22" s="12" t="s">
        <v>81</v>
      </c>
      <c r="E22" s="21" t="s">
        <v>364</v>
      </c>
      <c r="F22" s="21" t="s">
        <v>116</v>
      </c>
      <c r="G22" s="21" t="s">
        <v>115</v>
      </c>
      <c r="H22" s="20" t="s">
        <v>7164</v>
      </c>
      <c r="I22" s="20" t="s">
        <v>98</v>
      </c>
      <c r="J22" s="2" t="s">
        <v>7597</v>
      </c>
      <c r="K22" s="21" t="s">
        <v>121</v>
      </c>
      <c r="L22" s="21" t="s">
        <v>380</v>
      </c>
      <c r="M22" s="2" t="s">
        <v>381</v>
      </c>
    </row>
    <row r="23" spans="1:13" s="18" customFormat="1" ht="71.25" customHeight="1" x14ac:dyDescent="0.25">
      <c r="A23" s="223" t="s">
        <v>385</v>
      </c>
      <c r="B23" s="2" t="s">
        <v>386</v>
      </c>
      <c r="C23" s="2" t="s">
        <v>387</v>
      </c>
      <c r="D23" s="12" t="s">
        <v>81</v>
      </c>
      <c r="E23" s="21" t="s">
        <v>364</v>
      </c>
      <c r="F23" s="21" t="s">
        <v>116</v>
      </c>
      <c r="G23" s="21" t="s">
        <v>115</v>
      </c>
      <c r="H23" s="20" t="s">
        <v>7164</v>
      </c>
      <c r="I23" s="20" t="s">
        <v>98</v>
      </c>
      <c r="J23" s="2" t="s">
        <v>7598</v>
      </c>
      <c r="K23" s="2" t="s">
        <v>121</v>
      </c>
      <c r="L23" s="2" t="s">
        <v>390</v>
      </c>
      <c r="M23" s="2" t="s">
        <v>391</v>
      </c>
    </row>
    <row r="24" spans="1:13" s="18" customFormat="1" ht="50.1" customHeight="1" x14ac:dyDescent="0.25">
      <c r="A24" s="223" t="s">
        <v>397</v>
      </c>
      <c r="B24" s="2" t="s">
        <v>398</v>
      </c>
      <c r="C24" s="2" t="s">
        <v>399</v>
      </c>
      <c r="D24" s="12" t="s">
        <v>81</v>
      </c>
      <c r="E24" s="21" t="s">
        <v>364</v>
      </c>
      <c r="F24" s="21" t="s">
        <v>116</v>
      </c>
      <c r="G24" s="21" t="s">
        <v>400</v>
      </c>
      <c r="H24" s="20" t="s">
        <v>7164</v>
      </c>
      <c r="I24" s="20" t="s">
        <v>98</v>
      </c>
      <c r="J24" s="2" t="s">
        <v>7599</v>
      </c>
      <c r="K24" s="21" t="s">
        <v>121</v>
      </c>
      <c r="L24" s="21" t="s">
        <v>403</v>
      </c>
      <c r="M24" s="2" t="s">
        <v>404</v>
      </c>
    </row>
    <row r="25" spans="1:13" s="18" customFormat="1" ht="50.1" customHeight="1" x14ac:dyDescent="0.25">
      <c r="A25" s="223" t="s">
        <v>409</v>
      </c>
      <c r="B25" s="2" t="s">
        <v>410</v>
      </c>
      <c r="C25" s="2" t="s">
        <v>411</v>
      </c>
      <c r="D25" s="12" t="s">
        <v>81</v>
      </c>
      <c r="E25" s="21" t="s">
        <v>364</v>
      </c>
      <c r="F25" s="21" t="s">
        <v>116</v>
      </c>
      <c r="G25" s="21" t="s">
        <v>353</v>
      </c>
      <c r="H25" s="20" t="s">
        <v>7164</v>
      </c>
      <c r="I25" s="20" t="s">
        <v>98</v>
      </c>
      <c r="J25" s="2" t="s">
        <v>7600</v>
      </c>
      <c r="K25" s="21" t="s">
        <v>121</v>
      </c>
      <c r="L25" s="21" t="s">
        <v>414</v>
      </c>
      <c r="M25" s="2" t="s">
        <v>415</v>
      </c>
    </row>
    <row r="26" spans="1:13" s="18" customFormat="1" ht="131.25" customHeight="1" x14ac:dyDescent="0.25">
      <c r="A26" s="223" t="s">
        <v>420</v>
      </c>
      <c r="B26" s="2" t="s">
        <v>421</v>
      </c>
      <c r="C26" s="2" t="s">
        <v>422</v>
      </c>
      <c r="D26" s="12" t="s">
        <v>81</v>
      </c>
      <c r="E26" s="21" t="s">
        <v>423</v>
      </c>
      <c r="F26" s="21" t="s">
        <v>116</v>
      </c>
      <c r="G26" s="21" t="s">
        <v>115</v>
      </c>
      <c r="H26" s="20" t="s">
        <v>7164</v>
      </c>
      <c r="I26" s="20" t="s">
        <v>98</v>
      </c>
      <c r="J26" s="2" t="s">
        <v>7659</v>
      </c>
      <c r="K26" s="2" t="s">
        <v>121</v>
      </c>
      <c r="L26" s="2" t="s">
        <v>426</v>
      </c>
      <c r="M26" s="2" t="s">
        <v>427</v>
      </c>
    </row>
    <row r="27" spans="1:13" s="18" customFormat="1" ht="125.25" customHeight="1" x14ac:dyDescent="0.25">
      <c r="A27" s="223" t="s">
        <v>433</v>
      </c>
      <c r="B27" s="2" t="s">
        <v>434</v>
      </c>
      <c r="C27" s="2" t="s">
        <v>435</v>
      </c>
      <c r="D27" s="12" t="s">
        <v>81</v>
      </c>
      <c r="E27" s="21" t="s">
        <v>436</v>
      </c>
      <c r="F27" s="21" t="s">
        <v>116</v>
      </c>
      <c r="G27" s="21" t="s">
        <v>115</v>
      </c>
      <c r="H27" s="20" t="s">
        <v>7164</v>
      </c>
      <c r="I27" s="20" t="s">
        <v>98</v>
      </c>
      <c r="J27" s="2" t="s">
        <v>7601</v>
      </c>
      <c r="K27" s="2" t="s">
        <v>121</v>
      </c>
      <c r="L27" s="2" t="s">
        <v>7663</v>
      </c>
      <c r="M27" s="2" t="s">
        <v>441</v>
      </c>
    </row>
    <row r="28" spans="1:13" s="18" customFormat="1" ht="69.75" customHeight="1" x14ac:dyDescent="0.25">
      <c r="A28" s="223" t="s">
        <v>449</v>
      </c>
      <c r="B28" s="2" t="s">
        <v>450</v>
      </c>
      <c r="C28" s="2" t="s">
        <v>451</v>
      </c>
      <c r="D28" s="12" t="s">
        <v>81</v>
      </c>
      <c r="E28" s="21" t="s">
        <v>436</v>
      </c>
      <c r="F28" s="21" t="s">
        <v>116</v>
      </c>
      <c r="G28" s="21" t="s">
        <v>115</v>
      </c>
      <c r="H28" s="20" t="s">
        <v>7164</v>
      </c>
      <c r="I28" s="20" t="s">
        <v>98</v>
      </c>
      <c r="J28" s="2" t="s">
        <v>7602</v>
      </c>
      <c r="K28" s="2" t="s">
        <v>121</v>
      </c>
      <c r="L28" s="2" t="s">
        <v>390</v>
      </c>
      <c r="M28" s="2" t="s">
        <v>455</v>
      </c>
    </row>
    <row r="29" spans="1:13" s="18" customFormat="1" ht="50.1" customHeight="1" x14ac:dyDescent="0.25">
      <c r="A29" s="223" t="s">
        <v>460</v>
      </c>
      <c r="B29" s="2" t="s">
        <v>461</v>
      </c>
      <c r="C29" s="2" t="s">
        <v>462</v>
      </c>
      <c r="D29" s="12" t="s">
        <v>81</v>
      </c>
      <c r="E29" s="21" t="s">
        <v>463</v>
      </c>
      <c r="F29" s="21" t="s">
        <v>116</v>
      </c>
      <c r="G29" s="21" t="s">
        <v>115</v>
      </c>
      <c r="H29" s="20" t="s">
        <v>7164</v>
      </c>
      <c r="I29" s="20" t="s">
        <v>98</v>
      </c>
      <c r="J29" s="2" t="s">
        <v>7603</v>
      </c>
      <c r="K29" s="2" t="s">
        <v>121</v>
      </c>
      <c r="L29" s="2" t="s">
        <v>7664</v>
      </c>
      <c r="M29" s="2" t="s">
        <v>468</v>
      </c>
    </row>
    <row r="30" spans="1:13" s="18" customFormat="1" ht="50.1" customHeight="1" x14ac:dyDescent="0.25">
      <c r="A30" s="223" t="s">
        <v>475</v>
      </c>
      <c r="B30" s="2" t="s">
        <v>476</v>
      </c>
      <c r="C30" s="2" t="s">
        <v>477</v>
      </c>
      <c r="D30" s="12" t="s">
        <v>81</v>
      </c>
      <c r="E30" s="21" t="s">
        <v>463</v>
      </c>
      <c r="F30" s="21" t="s">
        <v>116</v>
      </c>
      <c r="G30" s="21" t="s">
        <v>115</v>
      </c>
      <c r="H30" s="20" t="s">
        <v>7164</v>
      </c>
      <c r="I30" s="20" t="s">
        <v>98</v>
      </c>
      <c r="J30" s="2" t="s">
        <v>7604</v>
      </c>
      <c r="K30" s="2" t="s">
        <v>121</v>
      </c>
      <c r="L30" s="2" t="s">
        <v>480</v>
      </c>
      <c r="M30" s="2" t="s">
        <v>481</v>
      </c>
    </row>
    <row r="31" spans="1:13" s="18" customFormat="1" ht="54" customHeight="1" x14ac:dyDescent="0.25">
      <c r="A31" s="223" t="s">
        <v>575</v>
      </c>
      <c r="B31" s="2" t="s">
        <v>576</v>
      </c>
      <c r="C31" s="2" t="s">
        <v>577</v>
      </c>
      <c r="D31" s="12" t="s">
        <v>81</v>
      </c>
      <c r="E31" s="21" t="s">
        <v>114</v>
      </c>
      <c r="F31" s="21" t="s">
        <v>579</v>
      </c>
      <c r="G31" s="21" t="s">
        <v>580</v>
      </c>
      <c r="H31" s="20" t="s">
        <v>7164</v>
      </c>
      <c r="I31" s="20" t="s">
        <v>98</v>
      </c>
      <c r="J31" s="2" t="s">
        <v>583</v>
      </c>
      <c r="K31" s="2" t="s">
        <v>121</v>
      </c>
      <c r="L31" s="2" t="s">
        <v>584</v>
      </c>
      <c r="M31" s="2" t="s">
        <v>585</v>
      </c>
    </row>
    <row r="32" spans="1:13" s="18" customFormat="1" ht="54" customHeight="1" x14ac:dyDescent="0.25">
      <c r="A32" s="223" t="s">
        <v>593</v>
      </c>
      <c r="B32" s="2" t="s">
        <v>594</v>
      </c>
      <c r="C32" s="2" t="s">
        <v>595</v>
      </c>
      <c r="D32" s="12" t="s">
        <v>81</v>
      </c>
      <c r="E32" s="21" t="s">
        <v>114</v>
      </c>
      <c r="F32" s="21" t="s">
        <v>579</v>
      </c>
      <c r="G32" s="21" t="s">
        <v>580</v>
      </c>
      <c r="H32" s="20" t="s">
        <v>7164</v>
      </c>
      <c r="I32" s="20" t="s">
        <v>98</v>
      </c>
      <c r="J32" s="2" t="s">
        <v>583</v>
      </c>
      <c r="K32" s="2" t="s">
        <v>121</v>
      </c>
      <c r="L32" s="2" t="s">
        <v>584</v>
      </c>
      <c r="M32" s="2" t="s">
        <v>597</v>
      </c>
    </row>
    <row r="33" spans="1:13" s="18" customFormat="1" ht="54" customHeight="1" x14ac:dyDescent="0.25">
      <c r="A33" s="223" t="s">
        <v>603</v>
      </c>
      <c r="B33" s="2" t="s">
        <v>604</v>
      </c>
      <c r="C33" s="2" t="s">
        <v>605</v>
      </c>
      <c r="D33" s="12" t="s">
        <v>81</v>
      </c>
      <c r="E33" s="21" t="s">
        <v>114</v>
      </c>
      <c r="F33" s="21" t="s">
        <v>579</v>
      </c>
      <c r="G33" s="21" t="s">
        <v>580</v>
      </c>
      <c r="H33" s="20" t="s">
        <v>7164</v>
      </c>
      <c r="I33" s="20" t="s">
        <v>98</v>
      </c>
      <c r="J33" s="2" t="s">
        <v>583</v>
      </c>
      <c r="K33" s="2" t="s">
        <v>121</v>
      </c>
      <c r="L33" s="2" t="s">
        <v>584</v>
      </c>
      <c r="M33" s="2" t="s">
        <v>607</v>
      </c>
    </row>
    <row r="34" spans="1:13" s="18" customFormat="1" ht="54" customHeight="1" x14ac:dyDescent="0.25">
      <c r="A34" s="223" t="s">
        <v>613</v>
      </c>
      <c r="B34" s="2" t="s">
        <v>614</v>
      </c>
      <c r="C34" s="2" t="s">
        <v>615</v>
      </c>
      <c r="D34" s="12" t="s">
        <v>81</v>
      </c>
      <c r="E34" s="21" t="s">
        <v>114</v>
      </c>
      <c r="F34" s="21" t="s">
        <v>579</v>
      </c>
      <c r="G34" s="21" t="s">
        <v>580</v>
      </c>
      <c r="H34" s="20" t="s">
        <v>7164</v>
      </c>
      <c r="I34" s="20" t="s">
        <v>98</v>
      </c>
      <c r="J34" s="2" t="s">
        <v>583</v>
      </c>
      <c r="K34" s="2" t="s">
        <v>121</v>
      </c>
      <c r="L34" s="2" t="s">
        <v>584</v>
      </c>
      <c r="M34" s="2" t="s">
        <v>617</v>
      </c>
    </row>
    <row r="35" spans="1:13" s="18" customFormat="1" ht="50.1" customHeight="1" x14ac:dyDescent="0.25">
      <c r="A35" s="223" t="s">
        <v>661</v>
      </c>
      <c r="B35" s="21" t="s">
        <v>662</v>
      </c>
      <c r="C35" s="2" t="s">
        <v>663</v>
      </c>
      <c r="D35" s="12" t="s">
        <v>81</v>
      </c>
      <c r="E35" s="21" t="s">
        <v>114</v>
      </c>
      <c r="F35" s="21" t="s">
        <v>579</v>
      </c>
      <c r="G35" s="21" t="s">
        <v>580</v>
      </c>
      <c r="H35" s="20" t="s">
        <v>7164</v>
      </c>
      <c r="I35" s="20" t="s">
        <v>98</v>
      </c>
      <c r="J35" s="21" t="s">
        <v>666</v>
      </c>
      <c r="K35" s="21" t="s">
        <v>121</v>
      </c>
      <c r="L35" s="2" t="s">
        <v>668</v>
      </c>
      <c r="M35" s="2" t="s">
        <v>640</v>
      </c>
    </row>
    <row r="36" spans="1:13" s="18" customFormat="1" ht="50.1" customHeight="1" x14ac:dyDescent="0.25">
      <c r="A36" s="223" t="s">
        <v>671</v>
      </c>
      <c r="B36" s="21" t="s">
        <v>672</v>
      </c>
      <c r="C36" s="2" t="s">
        <v>673</v>
      </c>
      <c r="D36" s="12" t="s">
        <v>81</v>
      </c>
      <c r="E36" s="21" t="s">
        <v>114</v>
      </c>
      <c r="F36" s="21" t="s">
        <v>579</v>
      </c>
      <c r="G36" s="21" t="s">
        <v>580</v>
      </c>
      <c r="H36" s="20" t="s">
        <v>7164</v>
      </c>
      <c r="I36" s="20" t="s">
        <v>98</v>
      </c>
      <c r="J36" s="21" t="s">
        <v>675</v>
      </c>
      <c r="K36" s="21" t="s">
        <v>121</v>
      </c>
      <c r="L36" s="2" t="s">
        <v>668</v>
      </c>
      <c r="M36" s="2" t="s">
        <v>640</v>
      </c>
    </row>
    <row r="37" spans="1:13" s="18" customFormat="1" ht="50.1" customHeight="1" x14ac:dyDescent="0.25">
      <c r="A37" s="223" t="s">
        <v>753</v>
      </c>
      <c r="B37" s="21" t="s">
        <v>754</v>
      </c>
      <c r="C37" s="2" t="s">
        <v>755</v>
      </c>
      <c r="D37" s="12" t="s">
        <v>81</v>
      </c>
      <c r="E37" s="21" t="s">
        <v>114</v>
      </c>
      <c r="F37" s="21" t="s">
        <v>579</v>
      </c>
      <c r="G37" s="21" t="s">
        <v>580</v>
      </c>
      <c r="H37" s="20" t="s">
        <v>7164</v>
      </c>
      <c r="I37" s="20" t="s">
        <v>98</v>
      </c>
      <c r="J37" s="21" t="s">
        <v>757</v>
      </c>
      <c r="K37" s="21" t="s">
        <v>121</v>
      </c>
      <c r="L37" s="2" t="s">
        <v>749</v>
      </c>
      <c r="M37" s="2" t="s">
        <v>750</v>
      </c>
    </row>
    <row r="38" spans="1:13" s="18" customFormat="1" ht="50.1" customHeight="1" x14ac:dyDescent="0.25">
      <c r="A38" s="223" t="s">
        <v>772</v>
      </c>
      <c r="B38" s="21" t="s">
        <v>773</v>
      </c>
      <c r="C38" s="2" t="s">
        <v>7177</v>
      </c>
      <c r="D38" s="12" t="s">
        <v>81</v>
      </c>
      <c r="E38" s="21" t="s">
        <v>114</v>
      </c>
      <c r="F38" s="21" t="s">
        <v>579</v>
      </c>
      <c r="G38" s="21" t="s">
        <v>580</v>
      </c>
      <c r="H38" s="20" t="s">
        <v>7164</v>
      </c>
      <c r="I38" s="20" t="s">
        <v>98</v>
      </c>
      <c r="J38" s="21" t="s">
        <v>778</v>
      </c>
      <c r="K38" s="21" t="s">
        <v>121</v>
      </c>
      <c r="L38" s="2" t="s">
        <v>749</v>
      </c>
      <c r="M38" s="2" t="s">
        <v>750</v>
      </c>
    </row>
    <row r="39" spans="1:13" s="18" customFormat="1" ht="50.1" customHeight="1" x14ac:dyDescent="0.25">
      <c r="A39" s="223" t="s">
        <v>786</v>
      </c>
      <c r="B39" s="21" t="s">
        <v>787</v>
      </c>
      <c r="C39" s="2" t="s">
        <v>788</v>
      </c>
      <c r="D39" s="12" t="s">
        <v>81</v>
      </c>
      <c r="E39" s="21" t="s">
        <v>114</v>
      </c>
      <c r="F39" s="21" t="s">
        <v>579</v>
      </c>
      <c r="G39" s="21" t="s">
        <v>580</v>
      </c>
      <c r="H39" s="20" t="s">
        <v>7164</v>
      </c>
      <c r="I39" s="20" t="s">
        <v>98</v>
      </c>
      <c r="J39" s="21" t="s">
        <v>675</v>
      </c>
      <c r="K39" s="21" t="s">
        <v>121</v>
      </c>
      <c r="L39" s="2" t="s">
        <v>749</v>
      </c>
      <c r="M39" s="2" t="s">
        <v>750</v>
      </c>
    </row>
    <row r="40" spans="1:13" s="18" customFormat="1" ht="50.1" customHeight="1" x14ac:dyDescent="0.25">
      <c r="A40" s="223" t="s">
        <v>817</v>
      </c>
      <c r="B40" s="21" t="s">
        <v>818</v>
      </c>
      <c r="C40" s="2" t="s">
        <v>819</v>
      </c>
      <c r="D40" s="12" t="s">
        <v>81</v>
      </c>
      <c r="E40" s="21" t="s">
        <v>114</v>
      </c>
      <c r="F40" s="21" t="s">
        <v>579</v>
      </c>
      <c r="G40" s="21" t="s">
        <v>580</v>
      </c>
      <c r="H40" s="20" t="s">
        <v>7164</v>
      </c>
      <c r="I40" s="20" t="s">
        <v>98</v>
      </c>
      <c r="J40" s="21" t="s">
        <v>675</v>
      </c>
      <c r="K40" s="21" t="s">
        <v>121</v>
      </c>
      <c r="L40" s="2" t="s">
        <v>811</v>
      </c>
      <c r="M40" s="2" t="s">
        <v>812</v>
      </c>
    </row>
    <row r="41" spans="1:13" s="18" customFormat="1" ht="54" customHeight="1" x14ac:dyDescent="0.25">
      <c r="A41" s="223" t="s">
        <v>835</v>
      </c>
      <c r="B41" s="21" t="s">
        <v>836</v>
      </c>
      <c r="C41" s="2" t="s">
        <v>837</v>
      </c>
      <c r="D41" s="12" t="s">
        <v>81</v>
      </c>
      <c r="E41" s="21" t="s">
        <v>775</v>
      </c>
      <c r="F41" s="21" t="s">
        <v>579</v>
      </c>
      <c r="G41" s="21" t="s">
        <v>580</v>
      </c>
      <c r="H41" s="20" t="s">
        <v>7164</v>
      </c>
      <c r="I41" s="20" t="s">
        <v>98</v>
      </c>
      <c r="J41" s="21" t="s">
        <v>840</v>
      </c>
      <c r="K41" s="21" t="s">
        <v>121</v>
      </c>
      <c r="L41" s="2" t="s">
        <v>841</v>
      </c>
      <c r="M41" s="2" t="s">
        <v>842</v>
      </c>
    </row>
    <row r="42" spans="1:13" s="18" customFormat="1" ht="54" customHeight="1" x14ac:dyDescent="0.25">
      <c r="A42" s="223" t="s">
        <v>846</v>
      </c>
      <c r="B42" s="21" t="s">
        <v>847</v>
      </c>
      <c r="C42" s="2" t="s">
        <v>848</v>
      </c>
      <c r="D42" s="12" t="s">
        <v>81</v>
      </c>
      <c r="E42" s="21" t="s">
        <v>114</v>
      </c>
      <c r="F42" s="21" t="s">
        <v>579</v>
      </c>
      <c r="G42" s="21" t="s">
        <v>580</v>
      </c>
      <c r="H42" s="20" t="s">
        <v>7164</v>
      </c>
      <c r="I42" s="20" t="s">
        <v>98</v>
      </c>
      <c r="J42" s="21" t="s">
        <v>851</v>
      </c>
      <c r="K42" s="21" t="s">
        <v>121</v>
      </c>
      <c r="L42" s="2" t="s">
        <v>853</v>
      </c>
      <c r="M42" s="2" t="s">
        <v>854</v>
      </c>
    </row>
    <row r="43" spans="1:13" s="18" customFormat="1" ht="50.1" customHeight="1" x14ac:dyDescent="0.25">
      <c r="A43" s="223" t="s">
        <v>896</v>
      </c>
      <c r="B43" s="21" t="s">
        <v>897</v>
      </c>
      <c r="C43" s="2" t="s">
        <v>898</v>
      </c>
      <c r="D43" s="12" t="s">
        <v>81</v>
      </c>
      <c r="E43" s="21" t="s">
        <v>114</v>
      </c>
      <c r="F43" s="21" t="s">
        <v>579</v>
      </c>
      <c r="G43" s="21" t="s">
        <v>580</v>
      </c>
      <c r="H43" s="20" t="s">
        <v>7164</v>
      </c>
      <c r="I43" s="20" t="s">
        <v>98</v>
      </c>
      <c r="J43" s="21" t="s">
        <v>901</v>
      </c>
      <c r="K43" s="21" t="s">
        <v>121</v>
      </c>
      <c r="L43" s="2" t="s">
        <v>902</v>
      </c>
      <c r="M43" s="2" t="s">
        <v>903</v>
      </c>
    </row>
    <row r="44" spans="1:13" s="18" customFormat="1" ht="54" customHeight="1" x14ac:dyDescent="0.25">
      <c r="A44" s="223" t="s">
        <v>954</v>
      </c>
      <c r="B44" s="21" t="s">
        <v>955</v>
      </c>
      <c r="C44" s="2" t="s">
        <v>956</v>
      </c>
      <c r="D44" s="12" t="s">
        <v>81</v>
      </c>
      <c r="E44" s="21" t="s">
        <v>114</v>
      </c>
      <c r="F44" s="21" t="s">
        <v>579</v>
      </c>
      <c r="G44" s="21" t="s">
        <v>580</v>
      </c>
      <c r="H44" s="20" t="s">
        <v>7164</v>
      </c>
      <c r="I44" s="20" t="s">
        <v>98</v>
      </c>
      <c r="J44" s="21" t="s">
        <v>675</v>
      </c>
      <c r="K44" s="21" t="s">
        <v>121</v>
      </c>
      <c r="L44" s="2" t="s">
        <v>959</v>
      </c>
      <c r="M44" s="2" t="s">
        <v>960</v>
      </c>
    </row>
    <row r="45" spans="1:13" s="18" customFormat="1" ht="50.1" customHeight="1" x14ac:dyDescent="0.25">
      <c r="A45" s="223" t="s">
        <v>963</v>
      </c>
      <c r="B45" s="21" t="s">
        <v>964</v>
      </c>
      <c r="C45" s="2" t="s">
        <v>965</v>
      </c>
      <c r="D45" s="12" t="s">
        <v>81</v>
      </c>
      <c r="E45" s="21" t="s">
        <v>114</v>
      </c>
      <c r="F45" s="21" t="s">
        <v>579</v>
      </c>
      <c r="G45" s="21" t="s">
        <v>580</v>
      </c>
      <c r="H45" s="20" t="s">
        <v>7164</v>
      </c>
      <c r="I45" s="20" t="s">
        <v>98</v>
      </c>
      <c r="J45" s="21" t="s">
        <v>675</v>
      </c>
      <c r="K45" s="21" t="s">
        <v>121</v>
      </c>
      <c r="L45" s="2" t="s">
        <v>959</v>
      </c>
      <c r="M45" s="2" t="s">
        <v>960</v>
      </c>
    </row>
    <row r="46" spans="1:13" s="18" customFormat="1" ht="54" customHeight="1" x14ac:dyDescent="0.25">
      <c r="A46" s="223" t="s">
        <v>970</v>
      </c>
      <c r="B46" s="2" t="s">
        <v>971</v>
      </c>
      <c r="C46" s="2" t="s">
        <v>972</v>
      </c>
      <c r="D46" s="12" t="s">
        <v>81</v>
      </c>
      <c r="E46" s="21" t="s">
        <v>775</v>
      </c>
      <c r="F46" s="21" t="s">
        <v>579</v>
      </c>
      <c r="G46" s="21" t="s">
        <v>580</v>
      </c>
      <c r="H46" s="20" t="s">
        <v>7164</v>
      </c>
      <c r="I46" s="20" t="s">
        <v>973</v>
      </c>
      <c r="J46" s="2" t="s">
        <v>976</v>
      </c>
      <c r="K46" s="2" t="s">
        <v>121</v>
      </c>
      <c r="L46" s="2" t="s">
        <v>977</v>
      </c>
      <c r="M46" s="2" t="s">
        <v>978</v>
      </c>
    </row>
    <row r="47" spans="1:13" s="18" customFormat="1" ht="50.1" customHeight="1" x14ac:dyDescent="0.25">
      <c r="A47" s="223" t="s">
        <v>986</v>
      </c>
      <c r="B47" s="21" t="s">
        <v>987</v>
      </c>
      <c r="C47" s="2" t="s">
        <v>988</v>
      </c>
      <c r="D47" s="12" t="s">
        <v>81</v>
      </c>
      <c r="E47" s="21" t="s">
        <v>775</v>
      </c>
      <c r="F47" s="21" t="s">
        <v>579</v>
      </c>
      <c r="G47" s="21" t="s">
        <v>580</v>
      </c>
      <c r="H47" s="20" t="s">
        <v>7164</v>
      </c>
      <c r="I47" s="20" t="s">
        <v>973</v>
      </c>
      <c r="J47" s="21" t="s">
        <v>976</v>
      </c>
      <c r="K47" s="21" t="s">
        <v>121</v>
      </c>
      <c r="L47" s="2" t="s">
        <v>992</v>
      </c>
      <c r="M47" s="2" t="s">
        <v>993</v>
      </c>
    </row>
    <row r="48" spans="1:13" s="18" customFormat="1" ht="50.1" customHeight="1" x14ac:dyDescent="0.25">
      <c r="A48" s="224" t="s">
        <v>1008</v>
      </c>
      <c r="B48" s="21" t="s">
        <v>1009</v>
      </c>
      <c r="C48" s="2" t="s">
        <v>1010</v>
      </c>
      <c r="D48" s="12" t="s">
        <v>81</v>
      </c>
      <c r="E48" s="21" t="s">
        <v>309</v>
      </c>
      <c r="F48" s="21" t="s">
        <v>579</v>
      </c>
      <c r="G48" s="21" t="s">
        <v>580</v>
      </c>
      <c r="H48" s="20" t="s">
        <v>7164</v>
      </c>
      <c r="I48" s="20" t="s">
        <v>1011</v>
      </c>
      <c r="J48" s="21" t="s">
        <v>1014</v>
      </c>
      <c r="K48" s="21" t="s">
        <v>121</v>
      </c>
      <c r="L48" s="2" t="s">
        <v>1015</v>
      </c>
      <c r="M48" s="2" t="s">
        <v>1016</v>
      </c>
    </row>
    <row r="49" spans="1:13" s="18" customFormat="1" ht="54" customHeight="1" x14ac:dyDescent="0.25">
      <c r="A49" s="223" t="s">
        <v>1020</v>
      </c>
      <c r="B49" s="2" t="s">
        <v>1021</v>
      </c>
      <c r="C49" s="2" t="s">
        <v>1022</v>
      </c>
      <c r="D49" s="12" t="s">
        <v>81</v>
      </c>
      <c r="E49" s="21" t="s">
        <v>775</v>
      </c>
      <c r="F49" s="21" t="s">
        <v>579</v>
      </c>
      <c r="G49" s="21" t="s">
        <v>580</v>
      </c>
      <c r="H49" s="20" t="s">
        <v>7164</v>
      </c>
      <c r="I49" s="20" t="s">
        <v>973</v>
      </c>
      <c r="J49" s="2" t="s">
        <v>1025</v>
      </c>
      <c r="K49" s="2" t="s">
        <v>121</v>
      </c>
      <c r="L49" s="2" t="s">
        <v>1026</v>
      </c>
      <c r="M49" s="2" t="s">
        <v>1027</v>
      </c>
    </row>
    <row r="50" spans="1:13" s="18" customFormat="1" ht="54" customHeight="1" x14ac:dyDescent="0.25">
      <c r="A50" s="223" t="s">
        <v>1049</v>
      </c>
      <c r="B50" s="21" t="s">
        <v>1050</v>
      </c>
      <c r="C50" s="2" t="s">
        <v>1051</v>
      </c>
      <c r="D50" s="12" t="s">
        <v>81</v>
      </c>
      <c r="E50" s="21" t="s">
        <v>775</v>
      </c>
      <c r="F50" s="21" t="s">
        <v>579</v>
      </c>
      <c r="G50" s="21" t="s">
        <v>580</v>
      </c>
      <c r="H50" s="20" t="s">
        <v>7164</v>
      </c>
      <c r="I50" s="20" t="s">
        <v>973</v>
      </c>
      <c r="J50" s="21" t="s">
        <v>1054</v>
      </c>
      <c r="K50" s="21" t="s">
        <v>1041</v>
      </c>
      <c r="L50" s="2" t="s">
        <v>1057</v>
      </c>
      <c r="M50" s="2" t="s">
        <v>1058</v>
      </c>
    </row>
    <row r="51" spans="1:13" s="18" customFormat="1" ht="54" customHeight="1" x14ac:dyDescent="0.25">
      <c r="A51" s="223" t="s">
        <v>1088</v>
      </c>
      <c r="B51" s="2" t="s">
        <v>1089</v>
      </c>
      <c r="C51" s="2" t="s">
        <v>1090</v>
      </c>
      <c r="D51" s="12" t="s">
        <v>81</v>
      </c>
      <c r="E51" s="21" t="s">
        <v>463</v>
      </c>
      <c r="F51" s="21" t="s">
        <v>579</v>
      </c>
      <c r="G51" s="21" t="s">
        <v>580</v>
      </c>
      <c r="H51" s="20" t="s">
        <v>7164</v>
      </c>
      <c r="I51" s="20" t="s">
        <v>98</v>
      </c>
      <c r="J51" s="2" t="s">
        <v>1092</v>
      </c>
      <c r="K51" s="2" t="s">
        <v>121</v>
      </c>
      <c r="L51" s="2" t="s">
        <v>1093</v>
      </c>
      <c r="M51" s="2" t="s">
        <v>1094</v>
      </c>
    </row>
    <row r="52" spans="1:13" s="18" customFormat="1" ht="54" customHeight="1" x14ac:dyDescent="0.25">
      <c r="A52" s="223" t="s">
        <v>1102</v>
      </c>
      <c r="B52" s="21" t="s">
        <v>1103</v>
      </c>
      <c r="C52" s="2" t="s">
        <v>1104</v>
      </c>
      <c r="D52" s="12" t="s">
        <v>81</v>
      </c>
      <c r="E52" s="21" t="s">
        <v>775</v>
      </c>
      <c r="F52" s="21" t="s">
        <v>579</v>
      </c>
      <c r="G52" s="21" t="s">
        <v>580</v>
      </c>
      <c r="H52" s="20" t="s">
        <v>7164</v>
      </c>
      <c r="I52" s="20" t="s">
        <v>98</v>
      </c>
      <c r="J52" s="21" t="s">
        <v>1054</v>
      </c>
      <c r="K52" s="21" t="s">
        <v>1107</v>
      </c>
      <c r="L52" s="2" t="s">
        <v>1108</v>
      </c>
      <c r="M52" s="2" t="s">
        <v>1109</v>
      </c>
    </row>
    <row r="53" spans="1:13" s="18" customFormat="1" ht="54" customHeight="1" x14ac:dyDescent="0.25">
      <c r="A53" s="223" t="s">
        <v>1114</v>
      </c>
      <c r="B53" s="21" t="s">
        <v>1115</v>
      </c>
      <c r="C53" s="2" t="s">
        <v>1116</v>
      </c>
      <c r="D53" s="12" t="s">
        <v>81</v>
      </c>
      <c r="E53" s="21" t="s">
        <v>775</v>
      </c>
      <c r="F53" s="21" t="s">
        <v>579</v>
      </c>
      <c r="G53" s="21" t="s">
        <v>580</v>
      </c>
      <c r="H53" s="20" t="s">
        <v>7164</v>
      </c>
      <c r="I53" s="20" t="s">
        <v>98</v>
      </c>
      <c r="J53" s="21" t="s">
        <v>1054</v>
      </c>
      <c r="K53" s="21" t="s">
        <v>1107</v>
      </c>
      <c r="L53" s="2" t="s">
        <v>1108</v>
      </c>
      <c r="M53" s="2" t="s">
        <v>1119</v>
      </c>
    </row>
    <row r="54" spans="1:13" s="18" customFormat="1" ht="54" customHeight="1" x14ac:dyDescent="0.25">
      <c r="A54" s="223" t="s">
        <v>1122</v>
      </c>
      <c r="B54" s="21" t="s">
        <v>1123</v>
      </c>
      <c r="C54" s="2" t="s">
        <v>1124</v>
      </c>
      <c r="D54" s="12" t="s">
        <v>81</v>
      </c>
      <c r="E54" s="21" t="s">
        <v>775</v>
      </c>
      <c r="F54" s="21" t="s">
        <v>579</v>
      </c>
      <c r="G54" s="21" t="s">
        <v>580</v>
      </c>
      <c r="H54" s="20" t="s">
        <v>7164</v>
      </c>
      <c r="I54" s="20" t="s">
        <v>98</v>
      </c>
      <c r="J54" s="21" t="s">
        <v>1054</v>
      </c>
      <c r="K54" s="21" t="s">
        <v>1107</v>
      </c>
      <c r="L54" s="2" t="s">
        <v>1108</v>
      </c>
      <c r="M54" s="2" t="s">
        <v>1127</v>
      </c>
    </row>
    <row r="55" spans="1:13" s="18" customFormat="1" ht="54" customHeight="1" x14ac:dyDescent="0.25">
      <c r="A55" s="223" t="s">
        <v>1130</v>
      </c>
      <c r="B55" s="21" t="s">
        <v>1131</v>
      </c>
      <c r="C55" s="2" t="s">
        <v>1132</v>
      </c>
      <c r="D55" s="12" t="s">
        <v>81</v>
      </c>
      <c r="E55" s="21" t="s">
        <v>775</v>
      </c>
      <c r="F55" s="21" t="s">
        <v>579</v>
      </c>
      <c r="G55" s="21" t="s">
        <v>580</v>
      </c>
      <c r="H55" s="20" t="s">
        <v>7164</v>
      </c>
      <c r="I55" s="20" t="s">
        <v>98</v>
      </c>
      <c r="J55" s="21" t="s">
        <v>1054</v>
      </c>
      <c r="K55" s="21" t="s">
        <v>1107</v>
      </c>
      <c r="L55" s="2" t="s">
        <v>1108</v>
      </c>
      <c r="M55" s="2" t="s">
        <v>1135</v>
      </c>
    </row>
    <row r="56" spans="1:13" s="18" customFormat="1" ht="54" customHeight="1" x14ac:dyDescent="0.25">
      <c r="A56" s="223" t="s">
        <v>1138</v>
      </c>
      <c r="B56" s="21" t="s">
        <v>1139</v>
      </c>
      <c r="C56" s="2" t="s">
        <v>1140</v>
      </c>
      <c r="D56" s="12" t="s">
        <v>81</v>
      </c>
      <c r="E56" s="21" t="s">
        <v>775</v>
      </c>
      <c r="F56" s="21" t="s">
        <v>579</v>
      </c>
      <c r="G56" s="21" t="s">
        <v>580</v>
      </c>
      <c r="H56" s="20" t="s">
        <v>7164</v>
      </c>
      <c r="I56" s="20" t="s">
        <v>98</v>
      </c>
      <c r="J56" s="21" t="s">
        <v>1054</v>
      </c>
      <c r="K56" s="21" t="s">
        <v>1107</v>
      </c>
      <c r="L56" s="2" t="s">
        <v>1108</v>
      </c>
      <c r="M56" s="2" t="s">
        <v>1143</v>
      </c>
    </row>
    <row r="57" spans="1:13" s="18" customFormat="1" ht="54" customHeight="1" x14ac:dyDescent="0.25">
      <c r="A57" s="223" t="s">
        <v>1146</v>
      </c>
      <c r="B57" s="21" t="s">
        <v>1147</v>
      </c>
      <c r="C57" s="2" t="s">
        <v>1148</v>
      </c>
      <c r="D57" s="12" t="s">
        <v>81</v>
      </c>
      <c r="E57" s="21" t="s">
        <v>775</v>
      </c>
      <c r="F57" s="21" t="s">
        <v>579</v>
      </c>
      <c r="G57" s="21" t="s">
        <v>580</v>
      </c>
      <c r="H57" s="20" t="s">
        <v>7164</v>
      </c>
      <c r="I57" s="20" t="s">
        <v>98</v>
      </c>
      <c r="J57" s="21" t="s">
        <v>1054</v>
      </c>
      <c r="K57" s="21" t="s">
        <v>1107</v>
      </c>
      <c r="L57" s="2" t="s">
        <v>1108</v>
      </c>
      <c r="M57" s="2" t="s">
        <v>1151</v>
      </c>
    </row>
    <row r="58" spans="1:13" s="18" customFormat="1" ht="54" customHeight="1" x14ac:dyDescent="0.25">
      <c r="A58" s="223" t="s">
        <v>1154</v>
      </c>
      <c r="B58" s="21" t="s">
        <v>1155</v>
      </c>
      <c r="C58" s="2" t="s">
        <v>1156</v>
      </c>
      <c r="D58" s="12" t="s">
        <v>81</v>
      </c>
      <c r="E58" s="21" t="s">
        <v>775</v>
      </c>
      <c r="F58" s="21" t="s">
        <v>579</v>
      </c>
      <c r="G58" s="21" t="s">
        <v>580</v>
      </c>
      <c r="H58" s="20" t="s">
        <v>7164</v>
      </c>
      <c r="I58" s="20" t="s">
        <v>98</v>
      </c>
      <c r="J58" s="21" t="s">
        <v>1054</v>
      </c>
      <c r="K58" s="21" t="s">
        <v>1107</v>
      </c>
      <c r="L58" s="2" t="s">
        <v>1108</v>
      </c>
      <c r="M58" s="2" t="s">
        <v>1159</v>
      </c>
    </row>
    <row r="59" spans="1:13" s="18" customFormat="1" ht="54" customHeight="1" x14ac:dyDescent="0.25">
      <c r="A59" s="223" t="s">
        <v>1162</v>
      </c>
      <c r="B59" s="21" t="s">
        <v>1163</v>
      </c>
      <c r="C59" s="2" t="s">
        <v>1164</v>
      </c>
      <c r="D59" s="12" t="s">
        <v>81</v>
      </c>
      <c r="E59" s="21" t="s">
        <v>775</v>
      </c>
      <c r="F59" s="21" t="s">
        <v>579</v>
      </c>
      <c r="G59" s="21" t="s">
        <v>580</v>
      </c>
      <c r="H59" s="20" t="s">
        <v>7164</v>
      </c>
      <c r="I59" s="20" t="s">
        <v>98</v>
      </c>
      <c r="J59" s="21" t="s">
        <v>1054</v>
      </c>
      <c r="K59" s="21" t="s">
        <v>1107</v>
      </c>
      <c r="L59" s="2" t="s">
        <v>1108</v>
      </c>
      <c r="M59" s="2" t="s">
        <v>1167</v>
      </c>
    </row>
    <row r="60" spans="1:13" s="18" customFormat="1" ht="54" customHeight="1" x14ac:dyDescent="0.25">
      <c r="A60" s="223" t="s">
        <v>1170</v>
      </c>
      <c r="B60" s="21" t="s">
        <v>1171</v>
      </c>
      <c r="C60" s="2" t="s">
        <v>1172</v>
      </c>
      <c r="D60" s="12" t="s">
        <v>81</v>
      </c>
      <c r="E60" s="21" t="s">
        <v>775</v>
      </c>
      <c r="F60" s="21" t="s">
        <v>579</v>
      </c>
      <c r="G60" s="21" t="s">
        <v>580</v>
      </c>
      <c r="H60" s="20" t="s">
        <v>7164</v>
      </c>
      <c r="I60" s="20" t="s">
        <v>98</v>
      </c>
      <c r="J60" s="21" t="s">
        <v>1054</v>
      </c>
      <c r="K60" s="21" t="s">
        <v>1107</v>
      </c>
      <c r="L60" s="2" t="s">
        <v>1108</v>
      </c>
      <c r="M60" s="2" t="s">
        <v>1175</v>
      </c>
    </row>
    <row r="61" spans="1:13" s="18" customFormat="1" ht="54" customHeight="1" x14ac:dyDescent="0.25">
      <c r="A61" s="223" t="s">
        <v>1177</v>
      </c>
      <c r="B61" s="21" t="s">
        <v>1178</v>
      </c>
      <c r="C61" s="2" t="s">
        <v>1179</v>
      </c>
      <c r="D61" s="12" t="s">
        <v>81</v>
      </c>
      <c r="E61" s="21" t="s">
        <v>775</v>
      </c>
      <c r="F61" s="21" t="s">
        <v>579</v>
      </c>
      <c r="G61" s="21" t="s">
        <v>580</v>
      </c>
      <c r="H61" s="20" t="s">
        <v>7164</v>
      </c>
      <c r="I61" s="20" t="s">
        <v>98</v>
      </c>
      <c r="J61" s="21" t="s">
        <v>1054</v>
      </c>
      <c r="K61" s="21" t="s">
        <v>1107</v>
      </c>
      <c r="L61" s="2" t="s">
        <v>1108</v>
      </c>
      <c r="M61" s="2" t="s">
        <v>1182</v>
      </c>
    </row>
    <row r="62" spans="1:13" s="18" customFormat="1" ht="54" customHeight="1" x14ac:dyDescent="0.25">
      <c r="A62" s="223" t="s">
        <v>1240</v>
      </c>
      <c r="B62" s="21" t="s">
        <v>1241</v>
      </c>
      <c r="C62" s="2" t="s">
        <v>1242</v>
      </c>
      <c r="D62" s="12" t="s">
        <v>81</v>
      </c>
      <c r="E62" s="21" t="s">
        <v>775</v>
      </c>
      <c r="F62" s="21" t="s">
        <v>579</v>
      </c>
      <c r="G62" s="21" t="s">
        <v>580</v>
      </c>
      <c r="H62" s="20" t="s">
        <v>7164</v>
      </c>
      <c r="I62" s="20" t="s">
        <v>98</v>
      </c>
      <c r="J62" s="21" t="s">
        <v>1245</v>
      </c>
      <c r="K62" s="21" t="s">
        <v>1246</v>
      </c>
      <c r="L62" s="2" t="s">
        <v>1247</v>
      </c>
      <c r="M62" s="2" t="s">
        <v>1248</v>
      </c>
    </row>
    <row r="63" spans="1:13" s="18" customFormat="1" ht="54" customHeight="1" x14ac:dyDescent="0.25">
      <c r="A63" s="223" t="s">
        <v>1252</v>
      </c>
      <c r="B63" s="21" t="s">
        <v>1253</v>
      </c>
      <c r="C63" s="2" t="s">
        <v>1254</v>
      </c>
      <c r="D63" s="12" t="s">
        <v>81</v>
      </c>
      <c r="E63" s="21" t="s">
        <v>775</v>
      </c>
      <c r="F63" s="21" t="s">
        <v>579</v>
      </c>
      <c r="G63" s="21" t="s">
        <v>580</v>
      </c>
      <c r="H63" s="20" t="s">
        <v>7164</v>
      </c>
      <c r="I63" s="20" t="s">
        <v>98</v>
      </c>
      <c r="J63" s="21" t="s">
        <v>1256</v>
      </c>
      <c r="K63" s="21" t="s">
        <v>1246</v>
      </c>
      <c r="L63" s="2" t="s">
        <v>1257</v>
      </c>
      <c r="M63" s="2" t="s">
        <v>1248</v>
      </c>
    </row>
    <row r="64" spans="1:13" s="18" customFormat="1" ht="50.1" customHeight="1" x14ac:dyDescent="0.25">
      <c r="A64" s="223" t="s">
        <v>1260</v>
      </c>
      <c r="B64" s="21" t="s">
        <v>1261</v>
      </c>
      <c r="C64" s="2" t="s">
        <v>1262</v>
      </c>
      <c r="D64" s="12" t="s">
        <v>81</v>
      </c>
      <c r="E64" s="21" t="s">
        <v>775</v>
      </c>
      <c r="F64" s="21" t="s">
        <v>579</v>
      </c>
      <c r="G64" s="21" t="s">
        <v>580</v>
      </c>
      <c r="H64" s="20" t="s">
        <v>7164</v>
      </c>
      <c r="I64" s="20" t="s">
        <v>98</v>
      </c>
      <c r="J64" s="21" t="s">
        <v>1265</v>
      </c>
      <c r="K64" s="21" t="s">
        <v>1246</v>
      </c>
      <c r="L64" s="2" t="s">
        <v>1257</v>
      </c>
      <c r="M64" s="2" t="s">
        <v>1248</v>
      </c>
    </row>
    <row r="65" spans="1:13" s="18" customFormat="1" ht="50.1" customHeight="1" x14ac:dyDescent="0.25">
      <c r="A65" s="223" t="s">
        <v>1267</v>
      </c>
      <c r="B65" s="21" t="s">
        <v>1268</v>
      </c>
      <c r="C65" s="2" t="s">
        <v>1269</v>
      </c>
      <c r="D65" s="12" t="s">
        <v>81</v>
      </c>
      <c r="E65" s="21" t="s">
        <v>775</v>
      </c>
      <c r="F65" s="21" t="s">
        <v>579</v>
      </c>
      <c r="G65" s="21" t="s">
        <v>580</v>
      </c>
      <c r="H65" s="20" t="s">
        <v>7164</v>
      </c>
      <c r="I65" s="20" t="s">
        <v>98</v>
      </c>
      <c r="J65" s="21" t="s">
        <v>1272</v>
      </c>
      <c r="K65" s="21" t="s">
        <v>1246</v>
      </c>
      <c r="L65" s="2" t="s">
        <v>1257</v>
      </c>
      <c r="M65" s="2" t="s">
        <v>1248</v>
      </c>
    </row>
    <row r="66" spans="1:13" s="18" customFormat="1" ht="50.1" customHeight="1" x14ac:dyDescent="0.25">
      <c r="A66" s="223" t="s">
        <v>1276</v>
      </c>
      <c r="B66" s="21" t="s">
        <v>1277</v>
      </c>
      <c r="C66" s="2" t="s">
        <v>1278</v>
      </c>
      <c r="D66" s="12" t="s">
        <v>81</v>
      </c>
      <c r="E66" s="21" t="s">
        <v>775</v>
      </c>
      <c r="F66" s="21" t="s">
        <v>579</v>
      </c>
      <c r="G66" s="21" t="s">
        <v>580</v>
      </c>
      <c r="H66" s="20" t="s">
        <v>7164</v>
      </c>
      <c r="I66" s="20" t="s">
        <v>98</v>
      </c>
      <c r="J66" s="21" t="s">
        <v>1281</v>
      </c>
      <c r="K66" s="21" t="s">
        <v>1246</v>
      </c>
      <c r="L66" s="2" t="s">
        <v>1257</v>
      </c>
      <c r="M66" s="2" t="s">
        <v>1248</v>
      </c>
    </row>
    <row r="67" spans="1:13" s="18" customFormat="1" ht="50.1" customHeight="1" x14ac:dyDescent="0.25">
      <c r="A67" s="223" t="s">
        <v>1284</v>
      </c>
      <c r="B67" s="21" t="s">
        <v>1285</v>
      </c>
      <c r="C67" s="2" t="s">
        <v>1286</v>
      </c>
      <c r="D67" s="12" t="s">
        <v>81</v>
      </c>
      <c r="E67" s="21" t="s">
        <v>775</v>
      </c>
      <c r="F67" s="21" t="s">
        <v>579</v>
      </c>
      <c r="G67" s="21" t="s">
        <v>580</v>
      </c>
      <c r="H67" s="20" t="s">
        <v>7164</v>
      </c>
      <c r="I67" s="20" t="s">
        <v>98</v>
      </c>
      <c r="J67" s="21" t="s">
        <v>1289</v>
      </c>
      <c r="K67" s="21" t="s">
        <v>1246</v>
      </c>
      <c r="L67" s="2" t="s">
        <v>1257</v>
      </c>
      <c r="M67" s="2" t="s">
        <v>1248</v>
      </c>
    </row>
    <row r="68" spans="1:13" s="18" customFormat="1" ht="147" customHeight="1" x14ac:dyDescent="0.25">
      <c r="A68" s="223" t="s">
        <v>1441</v>
      </c>
      <c r="B68" s="2" t="s">
        <v>1442</v>
      </c>
      <c r="C68" s="2" t="s">
        <v>1443</v>
      </c>
      <c r="D68" s="12" t="s">
        <v>81</v>
      </c>
      <c r="E68" s="21" t="s">
        <v>114</v>
      </c>
      <c r="F68" s="21" t="s">
        <v>1444</v>
      </c>
      <c r="G68" s="21" t="s">
        <v>1445</v>
      </c>
      <c r="H68" s="20" t="s">
        <v>7164</v>
      </c>
      <c r="I68" s="20" t="s">
        <v>98</v>
      </c>
      <c r="J68" s="2" t="s">
        <v>7605</v>
      </c>
      <c r="K68" s="21" t="s">
        <v>121</v>
      </c>
      <c r="L68" s="2" t="s">
        <v>1450</v>
      </c>
      <c r="M68" s="2" t="s">
        <v>1447</v>
      </c>
    </row>
    <row r="69" spans="1:13" s="18" customFormat="1" ht="175.5" customHeight="1" x14ac:dyDescent="0.25">
      <c r="A69" s="223" t="s">
        <v>1457</v>
      </c>
      <c r="B69" s="2" t="s">
        <v>1458</v>
      </c>
      <c r="C69" s="2" t="s">
        <v>1459</v>
      </c>
      <c r="D69" s="12" t="s">
        <v>81</v>
      </c>
      <c r="E69" s="21" t="s">
        <v>114</v>
      </c>
      <c r="F69" s="21" t="s">
        <v>1444</v>
      </c>
      <c r="G69" s="21" t="s">
        <v>1445</v>
      </c>
      <c r="H69" s="20" t="s">
        <v>7164</v>
      </c>
      <c r="I69" s="20" t="s">
        <v>98</v>
      </c>
      <c r="J69" s="2" t="s">
        <v>7606</v>
      </c>
      <c r="K69" s="21" t="s">
        <v>121</v>
      </c>
      <c r="L69" s="2" t="s">
        <v>1463</v>
      </c>
      <c r="M69" s="2" t="s">
        <v>1464</v>
      </c>
    </row>
    <row r="70" spans="1:13" s="18" customFormat="1" ht="50.1" customHeight="1" x14ac:dyDescent="0.25">
      <c r="A70" s="223" t="s">
        <v>1471</v>
      </c>
      <c r="B70" s="2" t="s">
        <v>1472</v>
      </c>
      <c r="C70" s="2" t="s">
        <v>1473</v>
      </c>
      <c r="D70" s="12" t="s">
        <v>81</v>
      </c>
      <c r="E70" s="21" t="s">
        <v>114</v>
      </c>
      <c r="F70" s="21" t="s">
        <v>1444</v>
      </c>
      <c r="G70" s="21" t="s">
        <v>1445</v>
      </c>
      <c r="H70" s="20" t="s">
        <v>7164</v>
      </c>
      <c r="I70" s="20" t="s">
        <v>98</v>
      </c>
      <c r="J70" s="2" t="s">
        <v>7607</v>
      </c>
      <c r="K70" s="21" t="s">
        <v>121</v>
      </c>
      <c r="L70" s="2" t="s">
        <v>1476</v>
      </c>
      <c r="M70" s="2" t="s">
        <v>1477</v>
      </c>
    </row>
    <row r="71" spans="1:13" s="18" customFormat="1" ht="111.75" customHeight="1" x14ac:dyDescent="0.25">
      <c r="A71" s="223" t="s">
        <v>1482</v>
      </c>
      <c r="B71" s="2" t="s">
        <v>7178</v>
      </c>
      <c r="C71" s="2" t="s">
        <v>7179</v>
      </c>
      <c r="D71" s="12" t="s">
        <v>81</v>
      </c>
      <c r="E71" s="21" t="s">
        <v>114</v>
      </c>
      <c r="F71" s="21" t="s">
        <v>1444</v>
      </c>
      <c r="G71" s="21" t="s">
        <v>1485</v>
      </c>
      <c r="H71" s="20" t="s">
        <v>7164</v>
      </c>
      <c r="I71" s="20" t="s">
        <v>98</v>
      </c>
      <c r="J71" s="2" t="s">
        <v>7608</v>
      </c>
      <c r="K71" s="21" t="s">
        <v>121</v>
      </c>
      <c r="L71" s="2" t="s">
        <v>1490</v>
      </c>
      <c r="M71" s="2" t="s">
        <v>1487</v>
      </c>
    </row>
    <row r="72" spans="1:13" s="18" customFormat="1" ht="50.1" customHeight="1" x14ac:dyDescent="0.25">
      <c r="A72" s="223" t="s">
        <v>1503</v>
      </c>
      <c r="B72" s="21" t="s">
        <v>7180</v>
      </c>
      <c r="C72" s="2" t="s">
        <v>1505</v>
      </c>
      <c r="D72" s="12" t="s">
        <v>81</v>
      </c>
      <c r="E72" s="21" t="s">
        <v>775</v>
      </c>
      <c r="F72" s="21" t="s">
        <v>1444</v>
      </c>
      <c r="G72" s="21" t="s">
        <v>1485</v>
      </c>
      <c r="H72" s="20" t="s">
        <v>7164</v>
      </c>
      <c r="I72" s="20" t="s">
        <v>98</v>
      </c>
      <c r="J72" s="2" t="s">
        <v>7608</v>
      </c>
      <c r="K72" s="21" t="s">
        <v>121</v>
      </c>
      <c r="L72" s="2" t="s">
        <v>7181</v>
      </c>
      <c r="M72" s="2" t="s">
        <v>1509</v>
      </c>
    </row>
    <row r="73" spans="1:13" s="18" customFormat="1" ht="124.5" customHeight="1" x14ac:dyDescent="0.25">
      <c r="A73" s="223" t="s">
        <v>1651</v>
      </c>
      <c r="B73" s="21" t="s">
        <v>1652</v>
      </c>
      <c r="C73" s="2" t="s">
        <v>1653</v>
      </c>
      <c r="D73" s="12" t="s">
        <v>81</v>
      </c>
      <c r="E73" s="21" t="s">
        <v>775</v>
      </c>
      <c r="F73" s="21" t="s">
        <v>116</v>
      </c>
      <c r="G73" s="21" t="s">
        <v>1654</v>
      </c>
      <c r="H73" s="20" t="s">
        <v>7164</v>
      </c>
      <c r="I73" s="20" t="s">
        <v>98</v>
      </c>
      <c r="J73" s="2" t="s">
        <v>1657</v>
      </c>
      <c r="K73" s="21" t="s">
        <v>1658</v>
      </c>
      <c r="L73" s="2" t="s">
        <v>1660</v>
      </c>
      <c r="M73" s="2" t="s">
        <v>1661</v>
      </c>
    </row>
    <row r="74" spans="1:13" s="18" customFormat="1" ht="50.1" customHeight="1" x14ac:dyDescent="0.25">
      <c r="A74" s="223" t="s">
        <v>1667</v>
      </c>
      <c r="B74" s="21" t="s">
        <v>1668</v>
      </c>
      <c r="C74" s="2" t="s">
        <v>1669</v>
      </c>
      <c r="D74" s="12" t="s">
        <v>81</v>
      </c>
      <c r="E74" s="21" t="s">
        <v>114</v>
      </c>
      <c r="F74" s="21" t="s">
        <v>246</v>
      </c>
      <c r="G74" s="21" t="s">
        <v>1670</v>
      </c>
      <c r="H74" s="20" t="s">
        <v>7164</v>
      </c>
      <c r="I74" s="20" t="s">
        <v>98</v>
      </c>
      <c r="J74" s="21" t="s">
        <v>1673</v>
      </c>
      <c r="K74" s="21" t="s">
        <v>1674</v>
      </c>
      <c r="L74" s="2" t="s">
        <v>1675</v>
      </c>
      <c r="M74" s="2" t="s">
        <v>1676</v>
      </c>
    </row>
    <row r="75" spans="1:13" s="18" customFormat="1" ht="50.1" customHeight="1" x14ac:dyDescent="0.25">
      <c r="A75" s="223" t="s">
        <v>1697</v>
      </c>
      <c r="B75" s="2" t="s">
        <v>1698</v>
      </c>
      <c r="C75" s="2" t="s">
        <v>1699</v>
      </c>
      <c r="D75" s="12" t="s">
        <v>81</v>
      </c>
      <c r="E75" s="21" t="s">
        <v>775</v>
      </c>
      <c r="F75" s="21" t="s">
        <v>1520</v>
      </c>
      <c r="G75" s="21" t="s">
        <v>1701</v>
      </c>
      <c r="H75" s="20" t="s">
        <v>7164</v>
      </c>
      <c r="I75" s="20" t="s">
        <v>98</v>
      </c>
      <c r="J75" s="2" t="s">
        <v>7609</v>
      </c>
      <c r="K75" s="21" t="s">
        <v>121</v>
      </c>
      <c r="L75" s="2" t="s">
        <v>1706</v>
      </c>
      <c r="M75" s="2" t="s">
        <v>7182</v>
      </c>
    </row>
    <row r="76" spans="1:13" s="18" customFormat="1" ht="50.1" customHeight="1" x14ac:dyDescent="0.25">
      <c r="A76" s="223" t="s">
        <v>1714</v>
      </c>
      <c r="B76" s="2" t="s">
        <v>1715</v>
      </c>
      <c r="C76" s="2" t="s">
        <v>1716</v>
      </c>
      <c r="D76" s="12" t="s">
        <v>81</v>
      </c>
      <c r="E76" s="21" t="s">
        <v>423</v>
      </c>
      <c r="F76" s="21" t="s">
        <v>1520</v>
      </c>
      <c r="G76" s="21" t="s">
        <v>1701</v>
      </c>
      <c r="H76" s="20" t="s">
        <v>7164</v>
      </c>
      <c r="I76" s="20" t="s">
        <v>98</v>
      </c>
      <c r="J76" s="2" t="s">
        <v>7610</v>
      </c>
      <c r="K76" s="21" t="s">
        <v>121</v>
      </c>
      <c r="L76" s="2" t="s">
        <v>1720</v>
      </c>
      <c r="M76" s="2" t="s">
        <v>7183</v>
      </c>
    </row>
    <row r="77" spans="1:13" s="18" customFormat="1" ht="50.1" customHeight="1" x14ac:dyDescent="0.25">
      <c r="A77" s="223" t="s">
        <v>1726</v>
      </c>
      <c r="B77" s="2" t="s">
        <v>1727</v>
      </c>
      <c r="C77" s="2" t="s">
        <v>1728</v>
      </c>
      <c r="D77" s="12" t="s">
        <v>81</v>
      </c>
      <c r="E77" s="21" t="s">
        <v>423</v>
      </c>
      <c r="F77" s="21" t="s">
        <v>1520</v>
      </c>
      <c r="G77" s="21" t="s">
        <v>1701</v>
      </c>
      <c r="H77" s="20" t="s">
        <v>7164</v>
      </c>
      <c r="I77" s="20" t="s">
        <v>98</v>
      </c>
      <c r="J77" s="2" t="s">
        <v>7610</v>
      </c>
      <c r="K77" s="2" t="s">
        <v>121</v>
      </c>
      <c r="L77" s="2" t="s">
        <v>1731</v>
      </c>
      <c r="M77" s="2" t="s">
        <v>1732</v>
      </c>
    </row>
    <row r="78" spans="1:13" s="18" customFormat="1" ht="50.1" customHeight="1" x14ac:dyDescent="0.25">
      <c r="A78" s="223" t="s">
        <v>1738</v>
      </c>
      <c r="B78" s="2" t="s">
        <v>1739</v>
      </c>
      <c r="C78" s="2" t="s">
        <v>1740</v>
      </c>
      <c r="D78" s="12" t="s">
        <v>81</v>
      </c>
      <c r="E78" s="21" t="s">
        <v>436</v>
      </c>
      <c r="F78" s="21" t="s">
        <v>1520</v>
      </c>
      <c r="G78" s="21" t="s">
        <v>1701</v>
      </c>
      <c r="H78" s="20" t="s">
        <v>7164</v>
      </c>
      <c r="I78" s="20" t="s">
        <v>98</v>
      </c>
      <c r="J78" s="2" t="s">
        <v>7610</v>
      </c>
      <c r="K78" s="21" t="s">
        <v>121</v>
      </c>
      <c r="L78" s="2" t="s">
        <v>1743</v>
      </c>
      <c r="M78" s="2" t="s">
        <v>7184</v>
      </c>
    </row>
    <row r="79" spans="1:13" s="18" customFormat="1" ht="99" customHeight="1" x14ac:dyDescent="0.25">
      <c r="A79" s="223" t="s">
        <v>1749</v>
      </c>
      <c r="B79" s="2" t="s">
        <v>1750</v>
      </c>
      <c r="C79" s="2" t="s">
        <v>1751</v>
      </c>
      <c r="D79" s="12" t="s">
        <v>81</v>
      </c>
      <c r="E79" s="21" t="s">
        <v>436</v>
      </c>
      <c r="F79" s="21" t="s">
        <v>1520</v>
      </c>
      <c r="G79" s="21" t="s">
        <v>1701</v>
      </c>
      <c r="H79" s="20" t="s">
        <v>7164</v>
      </c>
      <c r="I79" s="20" t="s">
        <v>98</v>
      </c>
      <c r="J79" s="2" t="s">
        <v>7610</v>
      </c>
      <c r="K79" s="2" t="s">
        <v>121</v>
      </c>
      <c r="L79" s="2" t="s">
        <v>390</v>
      </c>
      <c r="M79" s="2" t="s">
        <v>1753</v>
      </c>
    </row>
    <row r="80" spans="1:13" s="18" customFormat="1" ht="50.1" customHeight="1" x14ac:dyDescent="0.25">
      <c r="A80" s="223" t="s">
        <v>1760</v>
      </c>
      <c r="B80" s="2" t="s">
        <v>1761</v>
      </c>
      <c r="C80" s="2" t="s">
        <v>1762</v>
      </c>
      <c r="D80" s="12" t="s">
        <v>81</v>
      </c>
      <c r="E80" s="21" t="s">
        <v>463</v>
      </c>
      <c r="F80" s="21" t="s">
        <v>1520</v>
      </c>
      <c r="G80" s="21" t="s">
        <v>1701</v>
      </c>
      <c r="H80" s="20" t="s">
        <v>7164</v>
      </c>
      <c r="I80" s="20" t="s">
        <v>98</v>
      </c>
      <c r="J80" s="2" t="s">
        <v>7610</v>
      </c>
      <c r="K80" s="21" t="s">
        <v>121</v>
      </c>
      <c r="L80" s="2" t="s">
        <v>1764</v>
      </c>
      <c r="M80" s="2" t="s">
        <v>7185</v>
      </c>
    </row>
    <row r="81" spans="1:13" s="18" customFormat="1" ht="50.1" customHeight="1" x14ac:dyDescent="0.25">
      <c r="A81" s="223" t="s">
        <v>1770</v>
      </c>
      <c r="B81" s="2" t="s">
        <v>1771</v>
      </c>
      <c r="C81" s="2" t="s">
        <v>1772</v>
      </c>
      <c r="D81" s="12" t="s">
        <v>81</v>
      </c>
      <c r="E81" s="21" t="s">
        <v>463</v>
      </c>
      <c r="F81" s="21" t="s">
        <v>1520</v>
      </c>
      <c r="G81" s="21" t="s">
        <v>1701</v>
      </c>
      <c r="H81" s="20" t="s">
        <v>7164</v>
      </c>
      <c r="I81" s="20" t="s">
        <v>98</v>
      </c>
      <c r="J81" s="2" t="s">
        <v>7610</v>
      </c>
      <c r="K81" s="2" t="s">
        <v>121</v>
      </c>
      <c r="L81" s="2" t="s">
        <v>1731</v>
      </c>
      <c r="M81" s="2" t="s">
        <v>1775</v>
      </c>
    </row>
    <row r="82" spans="1:13" s="18" customFormat="1" ht="50.1" customHeight="1" x14ac:dyDescent="0.25">
      <c r="A82" s="223" t="s">
        <v>1945</v>
      </c>
      <c r="B82" s="21" t="s">
        <v>1946</v>
      </c>
      <c r="C82" s="2" t="s">
        <v>1947</v>
      </c>
      <c r="D82" s="12" t="s">
        <v>81</v>
      </c>
      <c r="E82" s="21" t="s">
        <v>775</v>
      </c>
      <c r="F82" s="21" t="s">
        <v>116</v>
      </c>
      <c r="G82" s="21" t="s">
        <v>1949</v>
      </c>
      <c r="H82" s="20" t="s">
        <v>7164</v>
      </c>
      <c r="I82" s="20" t="s">
        <v>98</v>
      </c>
      <c r="J82" s="21" t="s">
        <v>1952</v>
      </c>
      <c r="K82" s="21" t="s">
        <v>121</v>
      </c>
      <c r="L82" s="2" t="s">
        <v>1953</v>
      </c>
      <c r="M82" s="2" t="s">
        <v>1954</v>
      </c>
    </row>
    <row r="83" spans="1:13" s="18" customFormat="1" ht="50.1" customHeight="1" x14ac:dyDescent="0.25">
      <c r="A83" s="223" t="s">
        <v>1960</v>
      </c>
      <c r="B83" s="21" t="s">
        <v>1961</v>
      </c>
      <c r="C83" s="2" t="s">
        <v>1962</v>
      </c>
      <c r="D83" s="12" t="s">
        <v>81</v>
      </c>
      <c r="E83" s="21" t="s">
        <v>775</v>
      </c>
      <c r="F83" s="21" t="s">
        <v>116</v>
      </c>
      <c r="G83" s="21" t="s">
        <v>1949</v>
      </c>
      <c r="H83" s="20" t="s">
        <v>7164</v>
      </c>
      <c r="I83" s="20" t="s">
        <v>98</v>
      </c>
      <c r="J83" s="21" t="s">
        <v>1952</v>
      </c>
      <c r="K83" s="21" t="s">
        <v>121</v>
      </c>
      <c r="L83" s="2" t="s">
        <v>1966</v>
      </c>
      <c r="M83" s="2" t="s">
        <v>1967</v>
      </c>
    </row>
    <row r="84" spans="1:13" s="18" customFormat="1" ht="50.1" customHeight="1" x14ac:dyDescent="0.25">
      <c r="A84" s="223" t="s">
        <v>1972</v>
      </c>
      <c r="B84" s="21" t="s">
        <v>1973</v>
      </c>
      <c r="C84" s="2" t="s">
        <v>1974</v>
      </c>
      <c r="D84" s="12" t="s">
        <v>81</v>
      </c>
      <c r="E84" s="21" t="s">
        <v>775</v>
      </c>
      <c r="F84" s="21" t="s">
        <v>579</v>
      </c>
      <c r="G84" s="21" t="s">
        <v>1976</v>
      </c>
      <c r="H84" s="20" t="s">
        <v>7164</v>
      </c>
      <c r="I84" s="20" t="s">
        <v>98</v>
      </c>
      <c r="J84" s="21" t="s">
        <v>1979</v>
      </c>
      <c r="K84" s="21" t="s">
        <v>121</v>
      </c>
      <c r="L84" s="2" t="s">
        <v>1981</v>
      </c>
      <c r="M84" s="2" t="s">
        <v>1982</v>
      </c>
    </row>
    <row r="85" spans="1:13" s="18" customFormat="1" ht="50.1" customHeight="1" x14ac:dyDescent="0.25">
      <c r="A85" s="223" t="s">
        <v>1985</v>
      </c>
      <c r="B85" s="21" t="s">
        <v>1986</v>
      </c>
      <c r="C85" s="2" t="s">
        <v>1987</v>
      </c>
      <c r="D85" s="12" t="s">
        <v>81</v>
      </c>
      <c r="E85" s="21" t="s">
        <v>423</v>
      </c>
      <c r="F85" s="21" t="s">
        <v>579</v>
      </c>
      <c r="G85" s="21" t="s">
        <v>1976</v>
      </c>
      <c r="H85" s="20" t="s">
        <v>7164</v>
      </c>
      <c r="I85" s="20" t="s">
        <v>98</v>
      </c>
      <c r="J85" s="21" t="s">
        <v>1979</v>
      </c>
      <c r="K85" s="21" t="s">
        <v>121</v>
      </c>
      <c r="L85" s="2" t="s">
        <v>1990</v>
      </c>
      <c r="M85" s="2" t="s">
        <v>1718</v>
      </c>
    </row>
    <row r="86" spans="1:13" s="18" customFormat="1" ht="50.1" customHeight="1" x14ac:dyDescent="0.25">
      <c r="A86" s="223" t="s">
        <v>1994</v>
      </c>
      <c r="B86" s="21" t="s">
        <v>1995</v>
      </c>
      <c r="C86" s="2" t="s">
        <v>1996</v>
      </c>
      <c r="D86" s="12" t="s">
        <v>81</v>
      </c>
      <c r="E86" s="21" t="s">
        <v>775</v>
      </c>
      <c r="F86" s="21" t="s">
        <v>579</v>
      </c>
      <c r="G86" s="21" t="s">
        <v>1976</v>
      </c>
      <c r="H86" s="20" t="s">
        <v>7164</v>
      </c>
      <c r="I86" s="20" t="s">
        <v>98</v>
      </c>
      <c r="J86" s="21" t="s">
        <v>1979</v>
      </c>
      <c r="K86" s="21" t="s">
        <v>121</v>
      </c>
      <c r="L86" s="2" t="s">
        <v>1999</v>
      </c>
      <c r="M86" s="2" t="s">
        <v>2000</v>
      </c>
    </row>
    <row r="87" spans="1:13" s="18" customFormat="1" ht="50.1" customHeight="1" x14ac:dyDescent="0.25">
      <c r="A87" s="223" t="s">
        <v>2004</v>
      </c>
      <c r="B87" s="2" t="s">
        <v>2005</v>
      </c>
      <c r="C87" s="2" t="s">
        <v>2006</v>
      </c>
      <c r="D87" s="12" t="s">
        <v>81</v>
      </c>
      <c r="E87" s="21" t="s">
        <v>775</v>
      </c>
      <c r="F87" s="21" t="s">
        <v>579</v>
      </c>
      <c r="G87" s="21" t="s">
        <v>1976</v>
      </c>
      <c r="H87" s="20" t="s">
        <v>7164</v>
      </c>
      <c r="I87" s="20" t="s">
        <v>98</v>
      </c>
      <c r="J87" s="2" t="s">
        <v>1979</v>
      </c>
      <c r="K87" s="2" t="s">
        <v>121</v>
      </c>
      <c r="L87" s="2" t="s">
        <v>2009</v>
      </c>
      <c r="M87" s="2" t="s">
        <v>2010</v>
      </c>
    </row>
    <row r="88" spans="1:13" s="18" customFormat="1" ht="50.1" customHeight="1" x14ac:dyDescent="0.25">
      <c r="A88" s="223" t="s">
        <v>2015</v>
      </c>
      <c r="B88" s="21" t="s">
        <v>2016</v>
      </c>
      <c r="C88" s="2" t="s">
        <v>2017</v>
      </c>
      <c r="D88" s="12" t="s">
        <v>81</v>
      </c>
      <c r="E88" s="21" t="s">
        <v>775</v>
      </c>
      <c r="F88" s="21" t="s">
        <v>579</v>
      </c>
      <c r="G88" s="21" t="s">
        <v>2018</v>
      </c>
      <c r="H88" s="20" t="s">
        <v>7164</v>
      </c>
      <c r="I88" s="20" t="s">
        <v>98</v>
      </c>
      <c r="J88" s="21" t="s">
        <v>7186</v>
      </c>
      <c r="K88" s="21" t="s">
        <v>121</v>
      </c>
      <c r="L88" s="2" t="s">
        <v>2022</v>
      </c>
      <c r="M88" s="2" t="s">
        <v>2023</v>
      </c>
    </row>
    <row r="89" spans="1:13" s="18" customFormat="1" ht="50.1" customHeight="1" x14ac:dyDescent="0.25">
      <c r="A89" s="223" t="s">
        <v>2027</v>
      </c>
      <c r="B89" s="2" t="s">
        <v>2028</v>
      </c>
      <c r="C89" s="2" t="s">
        <v>2029</v>
      </c>
      <c r="D89" s="12" t="s">
        <v>81</v>
      </c>
      <c r="E89" s="21" t="s">
        <v>775</v>
      </c>
      <c r="F89" s="21" t="s">
        <v>579</v>
      </c>
      <c r="G89" s="21" t="s">
        <v>2018</v>
      </c>
      <c r="H89" s="20" t="s">
        <v>7164</v>
      </c>
      <c r="I89" s="20" t="s">
        <v>98</v>
      </c>
      <c r="J89" s="2" t="s">
        <v>2032</v>
      </c>
      <c r="K89" s="2" t="s">
        <v>121</v>
      </c>
      <c r="L89" s="2" t="s">
        <v>2033</v>
      </c>
      <c r="M89" s="2" t="s">
        <v>2034</v>
      </c>
    </row>
    <row r="90" spans="1:13" s="18" customFormat="1" ht="50.1" customHeight="1" x14ac:dyDescent="0.25">
      <c r="A90" s="223" t="s">
        <v>2039</v>
      </c>
      <c r="B90" s="21" t="s">
        <v>2040</v>
      </c>
      <c r="C90" s="2" t="s">
        <v>2041</v>
      </c>
      <c r="D90" s="12" t="s">
        <v>81</v>
      </c>
      <c r="E90" s="21" t="s">
        <v>775</v>
      </c>
      <c r="F90" s="21" t="s">
        <v>579</v>
      </c>
      <c r="G90" s="21" t="s">
        <v>2042</v>
      </c>
      <c r="H90" s="20" t="s">
        <v>7164</v>
      </c>
      <c r="I90" s="20" t="s">
        <v>98</v>
      </c>
      <c r="J90" s="21" t="s">
        <v>7187</v>
      </c>
      <c r="K90" s="21" t="s">
        <v>121</v>
      </c>
      <c r="L90" s="2" t="s">
        <v>2046</v>
      </c>
      <c r="M90" s="2" t="s">
        <v>2047</v>
      </c>
    </row>
    <row r="91" spans="1:13" s="18" customFormat="1" ht="50.1" customHeight="1" x14ac:dyDescent="0.25">
      <c r="A91" s="223" t="s">
        <v>2052</v>
      </c>
      <c r="B91" s="2" t="s">
        <v>2053</v>
      </c>
      <c r="C91" s="2" t="s">
        <v>2054</v>
      </c>
      <c r="D91" s="12" t="s">
        <v>81</v>
      </c>
      <c r="E91" s="21" t="s">
        <v>775</v>
      </c>
      <c r="F91" s="21" t="s">
        <v>579</v>
      </c>
      <c r="G91" s="21" t="s">
        <v>2042</v>
      </c>
      <c r="H91" s="20" t="s">
        <v>7164</v>
      </c>
      <c r="I91" s="20" t="s">
        <v>98</v>
      </c>
      <c r="J91" s="2" t="s">
        <v>2057</v>
      </c>
      <c r="K91" s="2" t="s">
        <v>121</v>
      </c>
      <c r="L91" s="2" t="s">
        <v>2058</v>
      </c>
      <c r="M91" s="2" t="s">
        <v>2059</v>
      </c>
    </row>
    <row r="92" spans="1:13" s="18" customFormat="1" ht="50.1" customHeight="1" x14ac:dyDescent="0.25">
      <c r="A92" s="223" t="s">
        <v>2082</v>
      </c>
      <c r="B92" s="21" t="s">
        <v>2083</v>
      </c>
      <c r="C92" s="2" t="s">
        <v>2084</v>
      </c>
      <c r="D92" s="12" t="s">
        <v>81</v>
      </c>
      <c r="E92" s="21" t="s">
        <v>775</v>
      </c>
      <c r="F92" s="21" t="s">
        <v>246</v>
      </c>
      <c r="G92" s="21" t="s">
        <v>2085</v>
      </c>
      <c r="H92" s="20" t="s">
        <v>7164</v>
      </c>
      <c r="I92" s="20" t="s">
        <v>98</v>
      </c>
      <c r="J92" s="21" t="s">
        <v>2088</v>
      </c>
      <c r="K92" s="21" t="s">
        <v>2068</v>
      </c>
      <c r="L92" s="2" t="s">
        <v>2089</v>
      </c>
      <c r="M92" s="2" t="s">
        <v>2090</v>
      </c>
    </row>
    <row r="93" spans="1:13" s="18" customFormat="1" ht="50.1" customHeight="1" x14ac:dyDescent="0.25">
      <c r="A93" s="223" t="s">
        <v>2094</v>
      </c>
      <c r="B93" s="21" t="s">
        <v>2095</v>
      </c>
      <c r="C93" s="2" t="s">
        <v>2096</v>
      </c>
      <c r="D93" s="12" t="s">
        <v>81</v>
      </c>
      <c r="E93" s="21" t="s">
        <v>775</v>
      </c>
      <c r="F93" s="21" t="s">
        <v>246</v>
      </c>
      <c r="G93" s="21" t="s">
        <v>2097</v>
      </c>
      <c r="H93" s="20" t="s">
        <v>7164</v>
      </c>
      <c r="I93" s="20" t="s">
        <v>98</v>
      </c>
      <c r="J93" s="21" t="s">
        <v>2099</v>
      </c>
      <c r="K93" s="21" t="s">
        <v>2068</v>
      </c>
      <c r="L93" s="2" t="s">
        <v>2100</v>
      </c>
      <c r="M93" s="2" t="s">
        <v>2090</v>
      </c>
    </row>
    <row r="94" spans="1:13" s="18" customFormat="1" ht="50.1" customHeight="1" x14ac:dyDescent="0.25">
      <c r="A94" s="223" t="s">
        <v>2105</v>
      </c>
      <c r="B94" s="2" t="s">
        <v>2106</v>
      </c>
      <c r="C94" s="2" t="s">
        <v>2107</v>
      </c>
      <c r="D94" s="12" t="s">
        <v>81</v>
      </c>
      <c r="E94" s="21" t="s">
        <v>775</v>
      </c>
      <c r="F94" s="21" t="s">
        <v>246</v>
      </c>
      <c r="G94" s="21" t="s">
        <v>2108</v>
      </c>
      <c r="H94" s="20" t="s">
        <v>7164</v>
      </c>
      <c r="I94" s="20" t="s">
        <v>98</v>
      </c>
      <c r="J94" s="21" t="s">
        <v>2111</v>
      </c>
      <c r="K94" s="21" t="s">
        <v>2068</v>
      </c>
      <c r="L94" s="2" t="s">
        <v>2112</v>
      </c>
      <c r="M94" s="2" t="s">
        <v>2113</v>
      </c>
    </row>
    <row r="95" spans="1:13" s="18" customFormat="1" ht="50.1" customHeight="1" x14ac:dyDescent="0.25">
      <c r="A95" s="223" t="s">
        <v>2116</v>
      </c>
      <c r="B95" s="2" t="s">
        <v>2117</v>
      </c>
      <c r="C95" s="2" t="s">
        <v>2118</v>
      </c>
      <c r="D95" s="12" t="s">
        <v>81</v>
      </c>
      <c r="E95" s="21" t="s">
        <v>775</v>
      </c>
      <c r="F95" s="21" t="s">
        <v>246</v>
      </c>
      <c r="G95" s="21" t="s">
        <v>2119</v>
      </c>
      <c r="H95" s="20" t="s">
        <v>7164</v>
      </c>
      <c r="I95" s="20" t="s">
        <v>98</v>
      </c>
      <c r="J95" s="2" t="s">
        <v>7611</v>
      </c>
      <c r="K95" s="21" t="s">
        <v>2123</v>
      </c>
      <c r="L95" s="2" t="s">
        <v>2124</v>
      </c>
      <c r="M95" s="2" t="s">
        <v>2125</v>
      </c>
    </row>
    <row r="96" spans="1:13" s="18" customFormat="1" ht="50.1" customHeight="1" x14ac:dyDescent="0.25">
      <c r="A96" s="223" t="s">
        <v>2130</v>
      </c>
      <c r="B96" s="2" t="s">
        <v>2131</v>
      </c>
      <c r="C96" s="2" t="s">
        <v>2132</v>
      </c>
      <c r="D96" s="12" t="s">
        <v>81</v>
      </c>
      <c r="E96" s="21" t="s">
        <v>775</v>
      </c>
      <c r="F96" s="21" t="s">
        <v>579</v>
      </c>
      <c r="G96" s="21" t="s">
        <v>2134</v>
      </c>
      <c r="H96" s="20" t="s">
        <v>7164</v>
      </c>
      <c r="I96" s="20" t="s">
        <v>98</v>
      </c>
      <c r="J96" s="2" t="s">
        <v>7612</v>
      </c>
      <c r="K96" s="21" t="s">
        <v>121</v>
      </c>
      <c r="L96" s="2" t="s">
        <v>2138</v>
      </c>
      <c r="M96" s="2" t="s">
        <v>2139</v>
      </c>
    </row>
    <row r="97" spans="1:13" s="18" customFormat="1" ht="50.1" customHeight="1" x14ac:dyDescent="0.25">
      <c r="A97" s="223" t="s">
        <v>2170</v>
      </c>
      <c r="B97" s="2" t="s">
        <v>2171</v>
      </c>
      <c r="C97" s="2" t="s">
        <v>2172</v>
      </c>
      <c r="D97" s="12" t="s">
        <v>81</v>
      </c>
      <c r="E97" s="21" t="s">
        <v>775</v>
      </c>
      <c r="F97" s="21" t="s">
        <v>116</v>
      </c>
      <c r="G97" s="21" t="s">
        <v>2173</v>
      </c>
      <c r="H97" s="20" t="s">
        <v>7164</v>
      </c>
      <c r="I97" s="20" t="s">
        <v>98</v>
      </c>
      <c r="J97" s="21" t="s">
        <v>2176</v>
      </c>
      <c r="K97" s="21" t="s">
        <v>2177</v>
      </c>
      <c r="L97" s="2" t="s">
        <v>2178</v>
      </c>
      <c r="M97" s="2" t="s">
        <v>2179</v>
      </c>
    </row>
    <row r="98" spans="1:13" s="18" customFormat="1" ht="50.1" customHeight="1" x14ac:dyDescent="0.25">
      <c r="A98" s="223" t="s">
        <v>2184</v>
      </c>
      <c r="B98" s="21" t="s">
        <v>2185</v>
      </c>
      <c r="C98" s="2" t="s">
        <v>2186</v>
      </c>
      <c r="D98" s="12" t="s">
        <v>81</v>
      </c>
      <c r="E98" s="21" t="s">
        <v>775</v>
      </c>
      <c r="F98" s="21" t="s">
        <v>246</v>
      </c>
      <c r="G98" s="21" t="s">
        <v>2187</v>
      </c>
      <c r="H98" s="20" t="s">
        <v>7164</v>
      </c>
      <c r="I98" s="20" t="s">
        <v>98</v>
      </c>
      <c r="J98" s="21" t="s">
        <v>2190</v>
      </c>
      <c r="K98" s="21" t="s">
        <v>2163</v>
      </c>
      <c r="L98" s="2" t="s">
        <v>2191</v>
      </c>
      <c r="M98" s="2" t="s">
        <v>2192</v>
      </c>
    </row>
    <row r="99" spans="1:13" s="18" customFormat="1" ht="50.1" customHeight="1" x14ac:dyDescent="0.25">
      <c r="A99" s="223" t="s">
        <v>2278</v>
      </c>
      <c r="B99" s="21" t="s">
        <v>2279</v>
      </c>
      <c r="C99" s="2" t="s">
        <v>2280</v>
      </c>
      <c r="D99" s="12" t="s">
        <v>81</v>
      </c>
      <c r="E99" s="21" t="s">
        <v>775</v>
      </c>
      <c r="F99" s="21" t="s">
        <v>246</v>
      </c>
      <c r="G99" s="21" t="s">
        <v>2281</v>
      </c>
      <c r="H99" s="20" t="s">
        <v>7164</v>
      </c>
      <c r="I99" s="20" t="s">
        <v>98</v>
      </c>
      <c r="J99" s="21" t="s">
        <v>2284</v>
      </c>
      <c r="K99" s="21" t="s">
        <v>2285</v>
      </c>
      <c r="L99" s="2" t="s">
        <v>2286</v>
      </c>
      <c r="M99" s="2" t="s">
        <v>2283</v>
      </c>
    </row>
    <row r="100" spans="1:13" s="18" customFormat="1" ht="50.1" customHeight="1" x14ac:dyDescent="0.25">
      <c r="A100" s="223" t="s">
        <v>2292</v>
      </c>
      <c r="B100" s="2" t="s">
        <v>7188</v>
      </c>
      <c r="C100" s="2" t="s">
        <v>2294</v>
      </c>
      <c r="D100" s="12" t="s">
        <v>81</v>
      </c>
      <c r="E100" s="21" t="s">
        <v>775</v>
      </c>
      <c r="F100" s="21" t="s">
        <v>1444</v>
      </c>
      <c r="G100" s="21" t="s">
        <v>2296</v>
      </c>
      <c r="H100" s="20" t="s">
        <v>7164</v>
      </c>
      <c r="I100" s="20" t="s">
        <v>973</v>
      </c>
      <c r="J100" s="2" t="s">
        <v>7613</v>
      </c>
      <c r="K100" s="2" t="s">
        <v>2300</v>
      </c>
      <c r="L100" s="2" t="s">
        <v>2302</v>
      </c>
      <c r="M100" s="2" t="s">
        <v>2303</v>
      </c>
    </row>
    <row r="101" spans="1:13" s="18" customFormat="1" ht="50.1" customHeight="1" x14ac:dyDescent="0.25">
      <c r="A101" s="223" t="s">
        <v>2327</v>
      </c>
      <c r="B101" s="21" t="s">
        <v>2328</v>
      </c>
      <c r="C101" s="2" t="s">
        <v>2329</v>
      </c>
      <c r="D101" s="12" t="s">
        <v>81</v>
      </c>
      <c r="E101" s="21" t="s">
        <v>775</v>
      </c>
      <c r="F101" s="21" t="s">
        <v>579</v>
      </c>
      <c r="G101" s="21" t="s">
        <v>2296</v>
      </c>
      <c r="H101" s="20" t="s">
        <v>7164</v>
      </c>
      <c r="I101" s="20" t="s">
        <v>973</v>
      </c>
      <c r="J101" s="2" t="s">
        <v>7614</v>
      </c>
      <c r="K101" s="21" t="s">
        <v>121</v>
      </c>
      <c r="L101" s="2" t="s">
        <v>2333</v>
      </c>
      <c r="M101" s="2" t="s">
        <v>2334</v>
      </c>
    </row>
    <row r="102" spans="1:13" s="18" customFormat="1" ht="50.1" customHeight="1" x14ac:dyDescent="0.25">
      <c r="A102" s="223" t="s">
        <v>2379</v>
      </c>
      <c r="B102" s="2" t="s">
        <v>2380</v>
      </c>
      <c r="C102" s="2" t="s">
        <v>2381</v>
      </c>
      <c r="D102" s="12" t="s">
        <v>81</v>
      </c>
      <c r="E102" s="21" t="s">
        <v>364</v>
      </c>
      <c r="F102" s="21" t="s">
        <v>116</v>
      </c>
      <c r="G102" s="21" t="s">
        <v>2382</v>
      </c>
      <c r="H102" s="20" t="s">
        <v>7164</v>
      </c>
      <c r="I102" s="20" t="s">
        <v>973</v>
      </c>
      <c r="J102" s="2" t="s">
        <v>7615</v>
      </c>
      <c r="K102" s="21" t="s">
        <v>121</v>
      </c>
      <c r="L102" s="2" t="s">
        <v>2386</v>
      </c>
      <c r="M102" s="2" t="s">
        <v>2387</v>
      </c>
    </row>
    <row r="103" spans="1:13" s="18" customFormat="1" ht="50.1" customHeight="1" x14ac:dyDescent="0.25">
      <c r="A103" s="223" t="s">
        <v>2394</v>
      </c>
      <c r="B103" s="2" t="s">
        <v>2395</v>
      </c>
      <c r="C103" s="2" t="s">
        <v>2396</v>
      </c>
      <c r="D103" s="12" t="s">
        <v>81</v>
      </c>
      <c r="E103" s="21" t="s">
        <v>364</v>
      </c>
      <c r="F103" s="21" t="s">
        <v>116</v>
      </c>
      <c r="G103" s="21" t="s">
        <v>2382</v>
      </c>
      <c r="H103" s="20" t="s">
        <v>7164</v>
      </c>
      <c r="I103" s="20" t="s">
        <v>973</v>
      </c>
      <c r="J103" s="2" t="s">
        <v>7615</v>
      </c>
      <c r="K103" s="2" t="s">
        <v>7665</v>
      </c>
      <c r="L103" s="2" t="s">
        <v>2399</v>
      </c>
      <c r="M103" s="2" t="s">
        <v>7189</v>
      </c>
    </row>
    <row r="104" spans="1:13" s="18" customFormat="1" ht="50.1" customHeight="1" x14ac:dyDescent="0.25">
      <c r="A104" s="223" t="s">
        <v>2404</v>
      </c>
      <c r="B104" s="2" t="s">
        <v>7190</v>
      </c>
      <c r="C104" s="2" t="s">
        <v>2405</v>
      </c>
      <c r="D104" s="12" t="s">
        <v>81</v>
      </c>
      <c r="E104" s="21" t="s">
        <v>364</v>
      </c>
      <c r="F104" s="21" t="s">
        <v>1444</v>
      </c>
      <c r="G104" s="21" t="s">
        <v>2296</v>
      </c>
      <c r="H104" s="20" t="s">
        <v>7164</v>
      </c>
      <c r="I104" s="20" t="s">
        <v>973</v>
      </c>
      <c r="J104" s="2" t="s">
        <v>7616</v>
      </c>
      <c r="K104" s="2" t="s">
        <v>2300</v>
      </c>
      <c r="L104" s="2" t="s">
        <v>2410</v>
      </c>
      <c r="M104" s="2" t="s">
        <v>2411</v>
      </c>
    </row>
    <row r="105" spans="1:13" s="18" customFormat="1" ht="50.1" customHeight="1" x14ac:dyDescent="0.25">
      <c r="A105" s="223" t="s">
        <v>2419</v>
      </c>
      <c r="B105" s="2" t="s">
        <v>2420</v>
      </c>
      <c r="C105" s="2" t="s">
        <v>2421</v>
      </c>
      <c r="D105" s="12" t="s">
        <v>81</v>
      </c>
      <c r="E105" s="21" t="s">
        <v>775</v>
      </c>
      <c r="F105" s="21" t="s">
        <v>116</v>
      </c>
      <c r="G105" s="21" t="s">
        <v>2382</v>
      </c>
      <c r="H105" s="20" t="s">
        <v>7164</v>
      </c>
      <c r="I105" s="20" t="s">
        <v>973</v>
      </c>
      <c r="J105" s="2" t="s">
        <v>7617</v>
      </c>
      <c r="K105" s="21" t="s">
        <v>2425</v>
      </c>
      <c r="L105" s="2" t="s">
        <v>2426</v>
      </c>
      <c r="M105" s="2" t="s">
        <v>2427</v>
      </c>
    </row>
    <row r="106" spans="1:13" s="18" customFormat="1" ht="50.1" customHeight="1" x14ac:dyDescent="0.25">
      <c r="A106" s="223" t="s">
        <v>2434</v>
      </c>
      <c r="B106" s="2" t="s">
        <v>2435</v>
      </c>
      <c r="C106" s="2" t="s">
        <v>2436</v>
      </c>
      <c r="D106" s="12" t="s">
        <v>81</v>
      </c>
      <c r="E106" s="21" t="s">
        <v>775</v>
      </c>
      <c r="F106" s="21" t="s">
        <v>116</v>
      </c>
      <c r="G106" s="21" t="s">
        <v>2382</v>
      </c>
      <c r="H106" s="20" t="s">
        <v>7164</v>
      </c>
      <c r="I106" s="20" t="s">
        <v>973</v>
      </c>
      <c r="J106" s="2" t="s">
        <v>7615</v>
      </c>
      <c r="K106" s="2" t="s">
        <v>2425</v>
      </c>
      <c r="L106" s="2" t="s">
        <v>2439</v>
      </c>
      <c r="M106" s="2" t="s">
        <v>2440</v>
      </c>
    </row>
    <row r="107" spans="1:13" s="18" customFormat="1" ht="50.1" customHeight="1" x14ac:dyDescent="0.25">
      <c r="A107" s="223" t="s">
        <v>2446</v>
      </c>
      <c r="B107" s="2" t="s">
        <v>2447</v>
      </c>
      <c r="C107" s="2" t="s">
        <v>2448</v>
      </c>
      <c r="D107" s="12" t="s">
        <v>81</v>
      </c>
      <c r="E107" s="21" t="s">
        <v>775</v>
      </c>
      <c r="F107" s="21" t="s">
        <v>1444</v>
      </c>
      <c r="G107" s="21" t="s">
        <v>2296</v>
      </c>
      <c r="H107" s="20" t="s">
        <v>7164</v>
      </c>
      <c r="I107" s="20" t="s">
        <v>973</v>
      </c>
      <c r="J107" s="2" t="s">
        <v>7618</v>
      </c>
      <c r="K107" s="225" t="s">
        <v>7191</v>
      </c>
      <c r="L107" s="2" t="s">
        <v>7666</v>
      </c>
      <c r="M107" s="2" t="s">
        <v>2454</v>
      </c>
    </row>
    <row r="108" spans="1:13" s="18" customFormat="1" ht="50.1" customHeight="1" x14ac:dyDescent="0.25">
      <c r="A108" s="223" t="s">
        <v>2460</v>
      </c>
      <c r="B108" s="21" t="s">
        <v>2461</v>
      </c>
      <c r="C108" s="2" t="s">
        <v>2462</v>
      </c>
      <c r="D108" s="12" t="s">
        <v>81</v>
      </c>
      <c r="E108" s="21" t="s">
        <v>775</v>
      </c>
      <c r="F108" s="21" t="s">
        <v>1444</v>
      </c>
      <c r="G108" s="21" t="s">
        <v>2296</v>
      </c>
      <c r="H108" s="20" t="s">
        <v>7164</v>
      </c>
      <c r="I108" s="20" t="s">
        <v>973</v>
      </c>
      <c r="J108" s="2" t="s">
        <v>7619</v>
      </c>
      <c r="K108" s="21" t="s">
        <v>121</v>
      </c>
      <c r="L108" s="2" t="s">
        <v>2466</v>
      </c>
      <c r="M108" s="2" t="s">
        <v>2467</v>
      </c>
    </row>
    <row r="109" spans="1:13" s="18" customFormat="1" ht="50.1" customHeight="1" x14ac:dyDescent="0.25">
      <c r="A109" s="223" t="s">
        <v>2473</v>
      </c>
      <c r="B109" s="21" t="s">
        <v>2474</v>
      </c>
      <c r="C109" s="2" t="s">
        <v>2475</v>
      </c>
      <c r="D109" s="12" t="s">
        <v>81</v>
      </c>
      <c r="E109" s="21" t="s">
        <v>775</v>
      </c>
      <c r="F109" s="21" t="s">
        <v>1444</v>
      </c>
      <c r="G109" s="21" t="s">
        <v>2296</v>
      </c>
      <c r="H109" s="20" t="s">
        <v>7164</v>
      </c>
      <c r="I109" s="20" t="s">
        <v>973</v>
      </c>
      <c r="J109" s="2" t="s">
        <v>7613</v>
      </c>
      <c r="K109" s="21" t="s">
        <v>121</v>
      </c>
      <c r="L109" s="2" t="s">
        <v>2478</v>
      </c>
      <c r="M109" s="2" t="s">
        <v>2479</v>
      </c>
    </row>
    <row r="110" spans="1:13" s="18" customFormat="1" ht="50.1" customHeight="1" x14ac:dyDescent="0.25">
      <c r="A110" s="223" t="s">
        <v>2485</v>
      </c>
      <c r="B110" s="21" t="s">
        <v>2486</v>
      </c>
      <c r="C110" s="2" t="s">
        <v>2487</v>
      </c>
      <c r="D110" s="12" t="s">
        <v>81</v>
      </c>
      <c r="E110" s="21" t="s">
        <v>775</v>
      </c>
      <c r="F110" s="21" t="s">
        <v>1444</v>
      </c>
      <c r="G110" s="21" t="s">
        <v>2296</v>
      </c>
      <c r="H110" s="20" t="s">
        <v>7164</v>
      </c>
      <c r="I110" s="20" t="s">
        <v>973</v>
      </c>
      <c r="J110" s="2" t="s">
        <v>7613</v>
      </c>
      <c r="K110" s="21" t="s">
        <v>121</v>
      </c>
      <c r="L110" s="2" t="s">
        <v>2490</v>
      </c>
      <c r="M110" s="2" t="s">
        <v>2491</v>
      </c>
    </row>
    <row r="111" spans="1:13" s="18" customFormat="1" ht="50.1" customHeight="1" x14ac:dyDescent="0.25">
      <c r="A111" s="223" t="s">
        <v>2495</v>
      </c>
      <c r="B111" s="21" t="s">
        <v>2496</v>
      </c>
      <c r="C111" s="2" t="s">
        <v>2497</v>
      </c>
      <c r="D111" s="12" t="s">
        <v>81</v>
      </c>
      <c r="E111" s="21" t="s">
        <v>775</v>
      </c>
      <c r="F111" s="21" t="s">
        <v>1444</v>
      </c>
      <c r="G111" s="21" t="s">
        <v>2296</v>
      </c>
      <c r="H111" s="20" t="s">
        <v>7164</v>
      </c>
      <c r="I111" s="20" t="s">
        <v>973</v>
      </c>
      <c r="J111" s="2" t="s">
        <v>7613</v>
      </c>
      <c r="K111" s="21" t="s">
        <v>121</v>
      </c>
      <c r="L111" s="2" t="s">
        <v>2500</v>
      </c>
      <c r="M111" s="2" t="s">
        <v>2501</v>
      </c>
    </row>
    <row r="112" spans="1:13" s="18" customFormat="1" ht="50.1" customHeight="1" x14ac:dyDescent="0.25">
      <c r="A112" s="223" t="s">
        <v>2506</v>
      </c>
      <c r="B112" s="21" t="s">
        <v>2507</v>
      </c>
      <c r="C112" s="2" t="s">
        <v>2508</v>
      </c>
      <c r="D112" s="12" t="s">
        <v>81</v>
      </c>
      <c r="E112" s="21" t="s">
        <v>775</v>
      </c>
      <c r="F112" s="21" t="s">
        <v>1444</v>
      </c>
      <c r="G112" s="21" t="s">
        <v>2296</v>
      </c>
      <c r="H112" s="20" t="s">
        <v>7164</v>
      </c>
      <c r="I112" s="20" t="s">
        <v>973</v>
      </c>
      <c r="J112" s="2" t="s">
        <v>7613</v>
      </c>
      <c r="K112" s="21" t="s">
        <v>121</v>
      </c>
      <c r="L112" s="2" t="s">
        <v>2511</v>
      </c>
      <c r="M112" s="2" t="s">
        <v>2512</v>
      </c>
    </row>
    <row r="113" spans="1:13" s="18" customFormat="1" ht="50.1" customHeight="1" x14ac:dyDescent="0.25">
      <c r="A113" s="223" t="s">
        <v>2517</v>
      </c>
      <c r="B113" s="21" t="s">
        <v>2518</v>
      </c>
      <c r="C113" s="2" t="s">
        <v>2519</v>
      </c>
      <c r="D113" s="12" t="s">
        <v>81</v>
      </c>
      <c r="E113" s="21" t="s">
        <v>775</v>
      </c>
      <c r="F113" s="21" t="s">
        <v>1444</v>
      </c>
      <c r="G113" s="21" t="s">
        <v>2296</v>
      </c>
      <c r="H113" s="20" t="s">
        <v>7164</v>
      </c>
      <c r="I113" s="20" t="s">
        <v>973</v>
      </c>
      <c r="J113" s="2" t="s">
        <v>7613</v>
      </c>
      <c r="K113" s="21" t="s">
        <v>121</v>
      </c>
      <c r="L113" s="2" t="s">
        <v>2522</v>
      </c>
      <c r="M113" s="2" t="s">
        <v>2523</v>
      </c>
    </row>
    <row r="114" spans="1:13" s="18" customFormat="1" ht="50.1" customHeight="1" x14ac:dyDescent="0.25">
      <c r="A114" s="223" t="s">
        <v>2528</v>
      </c>
      <c r="B114" s="21" t="s">
        <v>2529</v>
      </c>
      <c r="C114" s="2" t="s">
        <v>2530</v>
      </c>
      <c r="D114" s="12" t="s">
        <v>81</v>
      </c>
      <c r="E114" s="21" t="s">
        <v>775</v>
      </c>
      <c r="F114" s="21" t="s">
        <v>1444</v>
      </c>
      <c r="G114" s="21" t="s">
        <v>2296</v>
      </c>
      <c r="H114" s="20" t="s">
        <v>7164</v>
      </c>
      <c r="I114" s="20" t="s">
        <v>973</v>
      </c>
      <c r="J114" s="2" t="s">
        <v>7613</v>
      </c>
      <c r="K114" s="21" t="s">
        <v>121</v>
      </c>
      <c r="L114" s="2" t="s">
        <v>2533</v>
      </c>
      <c r="M114" s="2" t="s">
        <v>2534</v>
      </c>
    </row>
    <row r="115" spans="1:13" s="18" customFormat="1" ht="50.1" customHeight="1" x14ac:dyDescent="0.25">
      <c r="A115" s="223" t="s">
        <v>2539</v>
      </c>
      <c r="B115" s="2" t="s">
        <v>2540</v>
      </c>
      <c r="C115" s="2" t="s">
        <v>2541</v>
      </c>
      <c r="D115" s="12" t="s">
        <v>81</v>
      </c>
      <c r="E115" s="21" t="s">
        <v>775</v>
      </c>
      <c r="F115" s="21" t="s">
        <v>1444</v>
      </c>
      <c r="G115" s="21" t="s">
        <v>2296</v>
      </c>
      <c r="H115" s="20" t="s">
        <v>7164</v>
      </c>
      <c r="I115" s="20" t="s">
        <v>973</v>
      </c>
      <c r="J115" s="2" t="s">
        <v>7613</v>
      </c>
      <c r="K115" s="21" t="s">
        <v>121</v>
      </c>
      <c r="L115" s="2" t="s">
        <v>2544</v>
      </c>
      <c r="M115" s="2" t="s">
        <v>2545</v>
      </c>
    </row>
    <row r="116" spans="1:13" s="18" customFormat="1" ht="50.1" customHeight="1" x14ac:dyDescent="0.25">
      <c r="A116" s="223" t="s">
        <v>2567</v>
      </c>
      <c r="B116" s="2" t="s">
        <v>2568</v>
      </c>
      <c r="C116" s="2" t="s">
        <v>2569</v>
      </c>
      <c r="D116" s="12" t="s">
        <v>81</v>
      </c>
      <c r="E116" s="21" t="s">
        <v>775</v>
      </c>
      <c r="F116" s="21" t="s">
        <v>116</v>
      </c>
      <c r="G116" s="21" t="s">
        <v>2382</v>
      </c>
      <c r="H116" s="20" t="s">
        <v>7164</v>
      </c>
      <c r="I116" s="20" t="s">
        <v>973</v>
      </c>
      <c r="J116" s="2" t="s">
        <v>7620</v>
      </c>
      <c r="K116" s="2" t="s">
        <v>7192</v>
      </c>
      <c r="L116" s="2" t="s">
        <v>2573</v>
      </c>
      <c r="M116" s="2" t="s">
        <v>2574</v>
      </c>
    </row>
    <row r="117" spans="1:13" s="18" customFormat="1" ht="50.1" customHeight="1" x14ac:dyDescent="0.25">
      <c r="A117" s="223" t="s">
        <v>2628</v>
      </c>
      <c r="B117" s="2" t="s">
        <v>2629</v>
      </c>
      <c r="C117" s="2" t="s">
        <v>2630</v>
      </c>
      <c r="D117" s="12" t="s">
        <v>81</v>
      </c>
      <c r="E117" s="21" t="s">
        <v>775</v>
      </c>
      <c r="F117" s="21" t="s">
        <v>116</v>
      </c>
      <c r="G117" s="21" t="s">
        <v>2382</v>
      </c>
      <c r="H117" s="20" t="s">
        <v>7164</v>
      </c>
      <c r="I117" s="20" t="s">
        <v>1011</v>
      </c>
      <c r="J117" s="2" t="s">
        <v>7621</v>
      </c>
      <c r="K117" s="21" t="s">
        <v>121</v>
      </c>
      <c r="L117" s="2" t="s">
        <v>2634</v>
      </c>
      <c r="M117" s="2" t="s">
        <v>2635</v>
      </c>
    </row>
    <row r="118" spans="1:13" s="18" customFormat="1" ht="50.1" customHeight="1" x14ac:dyDescent="0.25">
      <c r="A118" s="223" t="s">
        <v>2641</v>
      </c>
      <c r="B118" s="21" t="s">
        <v>2642</v>
      </c>
      <c r="C118" s="2" t="s">
        <v>2643</v>
      </c>
      <c r="D118" s="12" t="s">
        <v>81</v>
      </c>
      <c r="E118" s="21" t="s">
        <v>775</v>
      </c>
      <c r="F118" s="21" t="s">
        <v>116</v>
      </c>
      <c r="G118" s="21" t="s">
        <v>2382</v>
      </c>
      <c r="H118" s="20" t="s">
        <v>7164</v>
      </c>
      <c r="I118" s="20" t="s">
        <v>1011</v>
      </c>
      <c r="J118" s="2" t="s">
        <v>7621</v>
      </c>
      <c r="K118" s="21" t="s">
        <v>121</v>
      </c>
      <c r="L118" s="2" t="s">
        <v>2645</v>
      </c>
      <c r="M118" s="2" t="s">
        <v>2646</v>
      </c>
    </row>
    <row r="119" spans="1:13" s="18" customFormat="1" ht="50.1" customHeight="1" x14ac:dyDescent="0.25">
      <c r="A119" s="223" t="s">
        <v>2651</v>
      </c>
      <c r="B119" s="21" t="s">
        <v>2652</v>
      </c>
      <c r="C119" s="2" t="s">
        <v>2653</v>
      </c>
      <c r="D119" s="12" t="s">
        <v>81</v>
      </c>
      <c r="E119" s="21" t="s">
        <v>775</v>
      </c>
      <c r="F119" s="21" t="s">
        <v>579</v>
      </c>
      <c r="G119" s="21" t="s">
        <v>2296</v>
      </c>
      <c r="H119" s="20" t="s">
        <v>7164</v>
      </c>
      <c r="I119" s="20" t="s">
        <v>1011</v>
      </c>
      <c r="J119" s="2" t="s">
        <v>7622</v>
      </c>
      <c r="K119" s="21" t="s">
        <v>121</v>
      </c>
      <c r="L119" s="2" t="s">
        <v>2657</v>
      </c>
      <c r="M119" s="2" t="s">
        <v>2658</v>
      </c>
    </row>
    <row r="120" spans="1:13" s="18" customFormat="1" ht="50.1" customHeight="1" x14ac:dyDescent="0.25">
      <c r="A120" s="223" t="s">
        <v>2662</v>
      </c>
      <c r="B120" s="21" t="s">
        <v>2663</v>
      </c>
      <c r="C120" s="2" t="s">
        <v>2664</v>
      </c>
      <c r="D120" s="12" t="s">
        <v>81</v>
      </c>
      <c r="E120" s="21" t="s">
        <v>775</v>
      </c>
      <c r="F120" s="21" t="s">
        <v>579</v>
      </c>
      <c r="G120" s="21" t="s">
        <v>2296</v>
      </c>
      <c r="H120" s="20" t="s">
        <v>7164</v>
      </c>
      <c r="I120" s="20" t="s">
        <v>1011</v>
      </c>
      <c r="J120" s="2" t="s">
        <v>7622</v>
      </c>
      <c r="K120" s="21" t="s">
        <v>121</v>
      </c>
      <c r="L120" s="2" t="s">
        <v>2666</v>
      </c>
      <c r="M120" s="2" t="s">
        <v>2667</v>
      </c>
    </row>
    <row r="121" spans="1:13" s="18" customFormat="1" ht="50.1" customHeight="1" x14ac:dyDescent="0.25">
      <c r="A121" s="223" t="s">
        <v>2706</v>
      </c>
      <c r="B121" s="2" t="s">
        <v>2707</v>
      </c>
      <c r="C121" s="2" t="s">
        <v>2708</v>
      </c>
      <c r="D121" s="12" t="s">
        <v>81</v>
      </c>
      <c r="E121" s="21" t="s">
        <v>775</v>
      </c>
      <c r="F121" s="21" t="s">
        <v>246</v>
      </c>
      <c r="G121" s="21" t="s">
        <v>2700</v>
      </c>
      <c r="H121" s="20" t="s">
        <v>7164</v>
      </c>
      <c r="I121" s="20" t="s">
        <v>98</v>
      </c>
      <c r="J121" s="2" t="s">
        <v>7623</v>
      </c>
      <c r="K121" s="2" t="s">
        <v>2712</v>
      </c>
      <c r="L121" s="2" t="s">
        <v>2713</v>
      </c>
      <c r="M121" s="2" t="s">
        <v>2714</v>
      </c>
    </row>
    <row r="122" spans="1:13" s="18" customFormat="1" ht="50.1" customHeight="1" x14ac:dyDescent="0.25">
      <c r="A122" s="223" t="s">
        <v>2742</v>
      </c>
      <c r="B122" s="2" t="s">
        <v>2743</v>
      </c>
      <c r="C122" s="2" t="s">
        <v>2744</v>
      </c>
      <c r="D122" s="12" t="s">
        <v>81</v>
      </c>
      <c r="E122" s="21" t="s">
        <v>775</v>
      </c>
      <c r="F122" s="21" t="s">
        <v>246</v>
      </c>
      <c r="G122" s="21" t="s">
        <v>2722</v>
      </c>
      <c r="H122" s="20" t="s">
        <v>7164</v>
      </c>
      <c r="I122" s="20" t="s">
        <v>98</v>
      </c>
      <c r="J122" s="2" t="s">
        <v>7624</v>
      </c>
      <c r="K122" s="2" t="s">
        <v>2748</v>
      </c>
      <c r="L122" s="2" t="s">
        <v>2713</v>
      </c>
      <c r="M122" s="2" t="s">
        <v>2714</v>
      </c>
    </row>
    <row r="123" spans="1:13" s="18" customFormat="1" ht="50.1" customHeight="1" x14ac:dyDescent="0.25">
      <c r="A123" s="223" t="s">
        <v>2770</v>
      </c>
      <c r="B123" s="2" t="s">
        <v>2771</v>
      </c>
      <c r="C123" s="2" t="s">
        <v>2772</v>
      </c>
      <c r="D123" s="12" t="s">
        <v>81</v>
      </c>
      <c r="E123" s="21" t="s">
        <v>775</v>
      </c>
      <c r="F123" s="21" t="s">
        <v>246</v>
      </c>
      <c r="G123" s="21" t="s">
        <v>7194</v>
      </c>
      <c r="H123" s="20" t="s">
        <v>7164</v>
      </c>
      <c r="I123" s="20" t="s">
        <v>98</v>
      </c>
      <c r="J123" s="2" t="s">
        <v>7623</v>
      </c>
      <c r="K123" s="21" t="s">
        <v>2775</v>
      </c>
      <c r="L123" s="2" t="s">
        <v>2713</v>
      </c>
      <c r="M123" s="2" t="s">
        <v>2714</v>
      </c>
    </row>
    <row r="124" spans="1:13" s="18" customFormat="1" ht="50.1" customHeight="1" x14ac:dyDescent="0.25">
      <c r="A124" s="223" t="s">
        <v>2880</v>
      </c>
      <c r="B124" s="21" t="s">
        <v>2881</v>
      </c>
      <c r="C124" s="2" t="s">
        <v>2882</v>
      </c>
      <c r="D124" s="12" t="s">
        <v>2782</v>
      </c>
      <c r="E124" s="21" t="s">
        <v>775</v>
      </c>
      <c r="F124" s="21" t="s">
        <v>116</v>
      </c>
      <c r="G124" s="21" t="s">
        <v>1949</v>
      </c>
      <c r="H124" s="20" t="s">
        <v>7164</v>
      </c>
      <c r="I124" s="20" t="s">
        <v>973</v>
      </c>
      <c r="J124" s="21" t="s">
        <v>1952</v>
      </c>
      <c r="K124" s="21" t="s">
        <v>2787</v>
      </c>
      <c r="L124" s="2" t="s">
        <v>2884</v>
      </c>
      <c r="M124" s="2" t="s">
        <v>2789</v>
      </c>
    </row>
    <row r="125" spans="1:13" s="18" customFormat="1" ht="50.1" customHeight="1" x14ac:dyDescent="0.25">
      <c r="A125" s="223" t="s">
        <v>2887</v>
      </c>
      <c r="B125" s="21" t="s">
        <v>2888</v>
      </c>
      <c r="C125" s="2" t="s">
        <v>2889</v>
      </c>
      <c r="D125" s="12" t="s">
        <v>2782</v>
      </c>
      <c r="E125" s="21" t="s">
        <v>775</v>
      </c>
      <c r="F125" s="21" t="s">
        <v>116</v>
      </c>
      <c r="G125" s="21" t="s">
        <v>2382</v>
      </c>
      <c r="H125" s="20" t="s">
        <v>7164</v>
      </c>
      <c r="I125" s="20" t="s">
        <v>973</v>
      </c>
      <c r="J125" s="2" t="s">
        <v>7625</v>
      </c>
      <c r="K125" s="21" t="s">
        <v>2893</v>
      </c>
      <c r="L125" s="2" t="s">
        <v>2894</v>
      </c>
      <c r="M125" s="2" t="s">
        <v>1045</v>
      </c>
    </row>
    <row r="126" spans="1:13" s="18" customFormat="1" ht="50.1" customHeight="1" x14ac:dyDescent="0.25">
      <c r="A126" s="223" t="s">
        <v>2898</v>
      </c>
      <c r="B126" s="21" t="s">
        <v>2899</v>
      </c>
      <c r="C126" s="2" t="s">
        <v>2900</v>
      </c>
      <c r="D126" s="12" t="s">
        <v>81</v>
      </c>
      <c r="E126" s="21" t="s">
        <v>775</v>
      </c>
      <c r="F126" s="21" t="s">
        <v>2688</v>
      </c>
      <c r="G126" s="21" t="s">
        <v>2902</v>
      </c>
      <c r="H126" s="20" t="s">
        <v>7164</v>
      </c>
      <c r="I126" s="20" t="s">
        <v>973</v>
      </c>
      <c r="J126" s="2" t="s">
        <v>2905</v>
      </c>
      <c r="K126" s="21" t="s">
        <v>121</v>
      </c>
      <c r="L126" s="2" t="s">
        <v>2906</v>
      </c>
      <c r="M126" s="2" t="s">
        <v>2907</v>
      </c>
    </row>
    <row r="127" spans="1:13" s="18" customFormat="1" ht="74.25" customHeight="1" x14ac:dyDescent="0.25">
      <c r="A127" s="223" t="s">
        <v>3053</v>
      </c>
      <c r="B127" s="2" t="s">
        <v>7667</v>
      </c>
      <c r="C127" s="2" t="s">
        <v>3055</v>
      </c>
      <c r="D127" s="12" t="s">
        <v>81</v>
      </c>
      <c r="E127" s="21" t="s">
        <v>775</v>
      </c>
      <c r="F127" s="21" t="s">
        <v>3056</v>
      </c>
      <c r="G127" s="21" t="s">
        <v>3057</v>
      </c>
      <c r="H127" s="20" t="s">
        <v>7164</v>
      </c>
      <c r="I127" s="20" t="s">
        <v>973</v>
      </c>
      <c r="J127" s="2" t="s">
        <v>3060</v>
      </c>
      <c r="K127" s="2" t="s">
        <v>3061</v>
      </c>
      <c r="L127" s="2" t="s">
        <v>3064</v>
      </c>
      <c r="M127" s="2" t="s">
        <v>3065</v>
      </c>
    </row>
    <row r="128" spans="1:13" s="18" customFormat="1" ht="50.1" customHeight="1" x14ac:dyDescent="0.25">
      <c r="A128" s="21" t="s">
        <v>3073</v>
      </c>
      <c r="B128" s="2" t="s">
        <v>7195</v>
      </c>
      <c r="C128" s="2" t="s">
        <v>3075</v>
      </c>
      <c r="D128" s="12" t="s">
        <v>81</v>
      </c>
      <c r="E128" s="21" t="s">
        <v>775</v>
      </c>
      <c r="F128" s="21" t="s">
        <v>3056</v>
      </c>
      <c r="G128" s="21" t="s">
        <v>3057</v>
      </c>
      <c r="H128" s="20" t="s">
        <v>7164</v>
      </c>
      <c r="I128" s="20" t="s">
        <v>973</v>
      </c>
      <c r="J128" s="2" t="s">
        <v>7626</v>
      </c>
      <c r="K128" s="21" t="s">
        <v>3079</v>
      </c>
      <c r="L128" s="2" t="s">
        <v>3080</v>
      </c>
      <c r="M128" s="2" t="s">
        <v>3081</v>
      </c>
    </row>
    <row r="129" spans="1:13" s="18" customFormat="1" ht="67.5" customHeight="1" x14ac:dyDescent="0.25">
      <c r="A129" s="223" t="s">
        <v>3118</v>
      </c>
      <c r="B129" s="2" t="s">
        <v>7668</v>
      </c>
      <c r="C129" s="2" t="s">
        <v>3120</v>
      </c>
      <c r="D129" s="12" t="s">
        <v>81</v>
      </c>
      <c r="E129" s="21" t="s">
        <v>775</v>
      </c>
      <c r="F129" s="21" t="s">
        <v>3121</v>
      </c>
      <c r="G129" s="21" t="s">
        <v>3122</v>
      </c>
      <c r="H129" s="20" t="s">
        <v>7164</v>
      </c>
      <c r="I129" s="20" t="s">
        <v>973</v>
      </c>
      <c r="J129" s="2" t="s">
        <v>7627</v>
      </c>
      <c r="K129" s="2" t="s">
        <v>3126</v>
      </c>
      <c r="L129" s="2" t="s">
        <v>3128</v>
      </c>
      <c r="M129" s="2" t="s">
        <v>3129</v>
      </c>
    </row>
    <row r="130" spans="1:13" s="18" customFormat="1" ht="50.1" customHeight="1" x14ac:dyDescent="0.25">
      <c r="A130" s="21" t="s">
        <v>3136</v>
      </c>
      <c r="B130" s="2" t="s">
        <v>3137</v>
      </c>
      <c r="C130" s="2" t="s">
        <v>3138</v>
      </c>
      <c r="D130" s="12" t="s">
        <v>81</v>
      </c>
      <c r="E130" s="21" t="s">
        <v>775</v>
      </c>
      <c r="F130" s="21" t="s">
        <v>3139</v>
      </c>
      <c r="G130" s="21" t="s">
        <v>3140</v>
      </c>
      <c r="H130" s="20" t="s">
        <v>7164</v>
      </c>
      <c r="I130" s="20" t="s">
        <v>973</v>
      </c>
      <c r="J130" s="42" t="s">
        <v>7628</v>
      </c>
      <c r="K130" s="2" t="s">
        <v>3144</v>
      </c>
      <c r="L130" s="2" t="s">
        <v>3147</v>
      </c>
      <c r="M130" s="2" t="s">
        <v>3129</v>
      </c>
    </row>
    <row r="131" spans="1:13" s="18" customFormat="1" ht="51" x14ac:dyDescent="0.25">
      <c r="A131" s="21" t="s">
        <v>3155</v>
      </c>
      <c r="B131" s="2" t="s">
        <v>3156</v>
      </c>
      <c r="C131" s="2" t="s">
        <v>3157</v>
      </c>
      <c r="D131" s="12" t="s">
        <v>81</v>
      </c>
      <c r="E131" s="21" t="s">
        <v>775</v>
      </c>
      <c r="F131" s="21" t="s">
        <v>3121</v>
      </c>
      <c r="G131" s="21" t="s">
        <v>3122</v>
      </c>
      <c r="H131" s="20" t="s">
        <v>7164</v>
      </c>
      <c r="I131" s="20" t="s">
        <v>973</v>
      </c>
      <c r="J131" s="2" t="s">
        <v>7627</v>
      </c>
      <c r="K131" s="21" t="s">
        <v>3126</v>
      </c>
      <c r="L131" s="2" t="s">
        <v>3161</v>
      </c>
      <c r="M131" s="2" t="s">
        <v>3162</v>
      </c>
    </row>
    <row r="132" spans="1:13" s="18" customFormat="1" ht="59.25" customHeight="1" x14ac:dyDescent="0.25">
      <c r="A132" s="223" t="s">
        <v>3378</v>
      </c>
      <c r="B132" s="2" t="s">
        <v>7196</v>
      </c>
      <c r="C132" s="2" t="s">
        <v>7197</v>
      </c>
      <c r="D132" s="12" t="s">
        <v>81</v>
      </c>
      <c r="E132" s="21" t="s">
        <v>775</v>
      </c>
      <c r="F132" s="21" t="s">
        <v>1520</v>
      </c>
      <c r="G132" s="21" t="s">
        <v>3381</v>
      </c>
      <c r="H132" s="20" t="s">
        <v>7164</v>
      </c>
      <c r="I132" s="20" t="s">
        <v>1011</v>
      </c>
      <c r="J132" s="2" t="s">
        <v>3384</v>
      </c>
      <c r="K132" s="21" t="s">
        <v>121</v>
      </c>
      <c r="L132" s="21" t="s">
        <v>3385</v>
      </c>
      <c r="M132" s="2" t="s">
        <v>3386</v>
      </c>
    </row>
    <row r="133" spans="1:13" s="18" customFormat="1" ht="76.5" customHeight="1" x14ac:dyDescent="0.25">
      <c r="A133" s="223" t="s">
        <v>3392</v>
      </c>
      <c r="B133" s="2" t="s">
        <v>7198</v>
      </c>
      <c r="C133" s="2" t="s">
        <v>7199</v>
      </c>
      <c r="D133" s="12" t="s">
        <v>81</v>
      </c>
      <c r="E133" s="21" t="s">
        <v>775</v>
      </c>
      <c r="F133" s="21" t="s">
        <v>1520</v>
      </c>
      <c r="G133" s="21" t="s">
        <v>3381</v>
      </c>
      <c r="H133" s="20" t="s">
        <v>7164</v>
      </c>
      <c r="I133" s="20" t="s">
        <v>1011</v>
      </c>
      <c r="J133" s="2" t="s">
        <v>3384</v>
      </c>
      <c r="K133" s="2" t="s">
        <v>3397</v>
      </c>
      <c r="L133" s="2" t="s">
        <v>3399</v>
      </c>
      <c r="M133" s="2" t="s">
        <v>7200</v>
      </c>
    </row>
    <row r="134" spans="1:13" s="18" customFormat="1" ht="71.25" customHeight="1" x14ac:dyDescent="0.25">
      <c r="A134" s="223" t="s">
        <v>3426</v>
      </c>
      <c r="B134" s="2" t="s">
        <v>7201</v>
      </c>
      <c r="C134" s="2" t="s">
        <v>7202</v>
      </c>
      <c r="D134" s="12" t="s">
        <v>81</v>
      </c>
      <c r="E134" s="21" t="s">
        <v>775</v>
      </c>
      <c r="F134" s="21" t="s">
        <v>579</v>
      </c>
      <c r="G134" s="21" t="s">
        <v>3429</v>
      </c>
      <c r="H134" s="20" t="s">
        <v>7164</v>
      </c>
      <c r="I134" s="20" t="s">
        <v>1011</v>
      </c>
      <c r="J134" s="2" t="s">
        <v>3432</v>
      </c>
      <c r="K134" s="42" t="s">
        <v>3433</v>
      </c>
      <c r="L134" s="2" t="s">
        <v>3436</v>
      </c>
      <c r="M134" s="2" t="s">
        <v>7203</v>
      </c>
    </row>
    <row r="135" spans="1:13" s="18" customFormat="1" ht="50.1" customHeight="1" x14ac:dyDescent="0.25">
      <c r="A135" s="223" t="s">
        <v>3528</v>
      </c>
      <c r="B135" s="2" t="s">
        <v>3529</v>
      </c>
      <c r="C135" s="2" t="s">
        <v>3530</v>
      </c>
      <c r="D135" s="12" t="s">
        <v>81</v>
      </c>
      <c r="E135" s="21" t="s">
        <v>775</v>
      </c>
      <c r="F135" s="21" t="s">
        <v>87</v>
      </c>
      <c r="G135" s="21" t="s">
        <v>3532</v>
      </c>
      <c r="H135" s="20" t="s">
        <v>7164</v>
      </c>
      <c r="I135" s="20" t="s">
        <v>98</v>
      </c>
      <c r="J135" s="21" t="s">
        <v>3535</v>
      </c>
      <c r="K135" s="21" t="s">
        <v>121</v>
      </c>
      <c r="L135" s="21" t="s">
        <v>3536</v>
      </c>
      <c r="M135" s="21" t="s">
        <v>3537</v>
      </c>
    </row>
    <row r="136" spans="1:13" s="18" customFormat="1" ht="144" customHeight="1" x14ac:dyDescent="0.25">
      <c r="A136" s="223" t="s">
        <v>3543</v>
      </c>
      <c r="B136" s="2" t="s">
        <v>3544</v>
      </c>
      <c r="C136" s="2" t="s">
        <v>3545</v>
      </c>
      <c r="D136" s="12" t="s">
        <v>81</v>
      </c>
      <c r="E136" s="21" t="s">
        <v>775</v>
      </c>
      <c r="F136" s="21" t="s">
        <v>116</v>
      </c>
      <c r="G136" s="21" t="s">
        <v>115</v>
      </c>
      <c r="H136" s="20" t="s">
        <v>7164</v>
      </c>
      <c r="I136" s="20" t="s">
        <v>98</v>
      </c>
      <c r="J136" s="2" t="s">
        <v>7629</v>
      </c>
      <c r="K136" s="21" t="s">
        <v>121</v>
      </c>
      <c r="L136" s="2" t="s">
        <v>3549</v>
      </c>
      <c r="M136" s="2" t="s">
        <v>3550</v>
      </c>
    </row>
    <row r="137" spans="1:13" s="18" customFormat="1" ht="25.5" x14ac:dyDescent="0.25">
      <c r="A137" s="223" t="s">
        <v>3573</v>
      </c>
      <c r="B137" s="2" t="s">
        <v>3574</v>
      </c>
      <c r="C137" s="2" t="s">
        <v>3575</v>
      </c>
      <c r="D137" s="12" t="s">
        <v>3560</v>
      </c>
      <c r="E137" s="21" t="s">
        <v>775</v>
      </c>
      <c r="F137" s="21" t="s">
        <v>3578</v>
      </c>
      <c r="G137" s="21" t="s">
        <v>3578</v>
      </c>
      <c r="H137" s="20" t="s">
        <v>7164</v>
      </c>
      <c r="I137" s="20" t="s">
        <v>98</v>
      </c>
      <c r="J137" s="21" t="s">
        <v>3581</v>
      </c>
      <c r="K137" s="21" t="s">
        <v>3582</v>
      </c>
      <c r="L137" s="21" t="s">
        <v>3584</v>
      </c>
      <c r="M137" s="2" t="s">
        <v>3585</v>
      </c>
    </row>
    <row r="138" spans="1:13" s="18" customFormat="1" ht="38.25" x14ac:dyDescent="0.25">
      <c r="A138" s="223" t="s">
        <v>3589</v>
      </c>
      <c r="B138" s="2" t="s">
        <v>3590</v>
      </c>
      <c r="C138" s="2" t="s">
        <v>3591</v>
      </c>
      <c r="D138" s="12" t="s">
        <v>3560</v>
      </c>
      <c r="E138" s="21" t="s">
        <v>114</v>
      </c>
      <c r="F138" s="21" t="s">
        <v>3578</v>
      </c>
      <c r="G138" s="21" t="s">
        <v>3578</v>
      </c>
      <c r="H138" s="20" t="s">
        <v>7164</v>
      </c>
      <c r="I138" s="20" t="s">
        <v>98</v>
      </c>
      <c r="J138" s="21" t="s">
        <v>3581</v>
      </c>
      <c r="K138" s="21" t="s">
        <v>3582</v>
      </c>
      <c r="L138" s="21" t="s">
        <v>3594</v>
      </c>
      <c r="M138" s="2" t="s">
        <v>3595</v>
      </c>
    </row>
    <row r="139" spans="1:13" s="18" customFormat="1" ht="38.25" x14ac:dyDescent="0.25">
      <c r="A139" s="223" t="s">
        <v>3598</v>
      </c>
      <c r="B139" s="2" t="s">
        <v>3599</v>
      </c>
      <c r="C139" s="2" t="s">
        <v>3600</v>
      </c>
      <c r="D139" s="12" t="s">
        <v>3560</v>
      </c>
      <c r="E139" s="21" t="s">
        <v>309</v>
      </c>
      <c r="F139" s="21" t="s">
        <v>3578</v>
      </c>
      <c r="G139" s="21" t="s">
        <v>3578</v>
      </c>
      <c r="H139" s="20" t="s">
        <v>7164</v>
      </c>
      <c r="I139" s="20" t="s">
        <v>98</v>
      </c>
      <c r="J139" s="21" t="s">
        <v>3581</v>
      </c>
      <c r="K139" s="21" t="s">
        <v>3582</v>
      </c>
      <c r="L139" s="21" t="s">
        <v>3603</v>
      </c>
      <c r="M139" s="2" t="s">
        <v>3604</v>
      </c>
    </row>
    <row r="140" spans="1:13" s="18" customFormat="1" ht="38.25" x14ac:dyDescent="0.25">
      <c r="A140" s="223" t="s">
        <v>3608</v>
      </c>
      <c r="B140" s="2" t="s">
        <v>3609</v>
      </c>
      <c r="C140" s="2" t="s">
        <v>3610</v>
      </c>
      <c r="D140" s="12" t="s">
        <v>3560</v>
      </c>
      <c r="E140" s="2" t="s">
        <v>364</v>
      </c>
      <c r="F140" s="21" t="s">
        <v>3578</v>
      </c>
      <c r="G140" s="21" t="s">
        <v>3578</v>
      </c>
      <c r="H140" s="20" t="s">
        <v>7164</v>
      </c>
      <c r="I140" s="20" t="s">
        <v>98</v>
      </c>
      <c r="J140" s="21" t="s">
        <v>3581</v>
      </c>
      <c r="K140" s="21" t="s">
        <v>3582</v>
      </c>
      <c r="L140" s="21" t="s">
        <v>3613</v>
      </c>
      <c r="M140" s="2" t="s">
        <v>3614</v>
      </c>
    </row>
    <row r="141" spans="1:13" s="18" customFormat="1" ht="38.25" x14ac:dyDescent="0.25">
      <c r="A141" s="223" t="s">
        <v>3618</v>
      </c>
      <c r="B141" s="2" t="s">
        <v>3619</v>
      </c>
      <c r="C141" s="2" t="s">
        <v>3620</v>
      </c>
      <c r="D141" s="12" t="s">
        <v>3560</v>
      </c>
      <c r="E141" s="2" t="s">
        <v>423</v>
      </c>
      <c r="F141" s="21" t="s">
        <v>3578</v>
      </c>
      <c r="G141" s="21" t="s">
        <v>3578</v>
      </c>
      <c r="H141" s="20" t="s">
        <v>7164</v>
      </c>
      <c r="I141" s="20" t="s">
        <v>98</v>
      </c>
      <c r="J141" s="21" t="s">
        <v>3581</v>
      </c>
      <c r="K141" s="21" t="s">
        <v>3582</v>
      </c>
      <c r="L141" s="21" t="s">
        <v>3623</v>
      </c>
      <c r="M141" s="2" t="s">
        <v>3624</v>
      </c>
    </row>
    <row r="142" spans="1:13" s="18" customFormat="1" ht="38.25" x14ac:dyDescent="0.25">
      <c r="A142" s="223" t="s">
        <v>3627</v>
      </c>
      <c r="B142" s="2" t="s">
        <v>3628</v>
      </c>
      <c r="C142" s="2" t="s">
        <v>3629</v>
      </c>
      <c r="D142" s="12" t="s">
        <v>3560</v>
      </c>
      <c r="E142" s="2" t="s">
        <v>436</v>
      </c>
      <c r="F142" s="21" t="s">
        <v>3578</v>
      </c>
      <c r="G142" s="21" t="s">
        <v>3578</v>
      </c>
      <c r="H142" s="20" t="s">
        <v>7164</v>
      </c>
      <c r="I142" s="20" t="s">
        <v>98</v>
      </c>
      <c r="J142" s="21" t="s">
        <v>3581</v>
      </c>
      <c r="K142" s="21" t="s">
        <v>3582</v>
      </c>
      <c r="L142" s="21" t="s">
        <v>3632</v>
      </c>
      <c r="M142" s="2" t="s">
        <v>3633</v>
      </c>
    </row>
    <row r="143" spans="1:13" s="18" customFormat="1" ht="38.25" x14ac:dyDescent="0.25">
      <c r="A143" s="223" t="s">
        <v>3637</v>
      </c>
      <c r="B143" s="2" t="s">
        <v>3638</v>
      </c>
      <c r="C143" s="2" t="s">
        <v>3639</v>
      </c>
      <c r="D143" s="12" t="s">
        <v>3560</v>
      </c>
      <c r="E143" s="21" t="s">
        <v>463</v>
      </c>
      <c r="F143" s="21" t="s">
        <v>3578</v>
      </c>
      <c r="G143" s="21" t="s">
        <v>3578</v>
      </c>
      <c r="H143" s="20" t="s">
        <v>7164</v>
      </c>
      <c r="I143" s="20" t="s">
        <v>98</v>
      </c>
      <c r="J143" s="21" t="s">
        <v>3581</v>
      </c>
      <c r="K143" s="21" t="s">
        <v>3582</v>
      </c>
      <c r="L143" s="21" t="s">
        <v>3642</v>
      </c>
      <c r="M143" s="2" t="s">
        <v>3643</v>
      </c>
    </row>
    <row r="144" spans="1:13" s="18" customFormat="1" ht="50.1" customHeight="1" x14ac:dyDescent="0.25">
      <c r="A144" s="223" t="s">
        <v>3660</v>
      </c>
      <c r="B144" s="21" t="s">
        <v>3661</v>
      </c>
      <c r="C144" s="2" t="s">
        <v>3662</v>
      </c>
      <c r="D144" s="12" t="s">
        <v>81</v>
      </c>
      <c r="E144" s="21" t="s">
        <v>108</v>
      </c>
      <c r="F144" s="21" t="s">
        <v>3650</v>
      </c>
      <c r="G144" s="21" t="s">
        <v>3649</v>
      </c>
      <c r="H144" s="20" t="s">
        <v>7164</v>
      </c>
      <c r="I144" s="20" t="s">
        <v>108</v>
      </c>
      <c r="J144" s="21" t="s">
        <v>3665</v>
      </c>
      <c r="K144" s="21" t="s">
        <v>3665</v>
      </c>
      <c r="L144" s="21" t="s">
        <v>85</v>
      </c>
      <c r="M144" s="21" t="s">
        <v>85</v>
      </c>
    </row>
    <row r="145" spans="1:13" s="18" customFormat="1" ht="50.1" customHeight="1" x14ac:dyDescent="0.25">
      <c r="A145" s="223" t="s">
        <v>3669</v>
      </c>
      <c r="B145" s="21" t="s">
        <v>3670</v>
      </c>
      <c r="C145" s="2" t="s">
        <v>3671</v>
      </c>
      <c r="D145" s="12" t="s">
        <v>81</v>
      </c>
      <c r="E145" s="21" t="s">
        <v>108</v>
      </c>
      <c r="F145" s="21" t="s">
        <v>3650</v>
      </c>
      <c r="G145" s="21" t="s">
        <v>3649</v>
      </c>
      <c r="H145" s="20" t="s">
        <v>7164</v>
      </c>
      <c r="I145" s="20" t="s">
        <v>108</v>
      </c>
      <c r="J145" s="2" t="s">
        <v>3674</v>
      </c>
      <c r="K145" s="21" t="s">
        <v>3675</v>
      </c>
      <c r="L145" s="21" t="s">
        <v>85</v>
      </c>
      <c r="M145" s="21" t="s">
        <v>85</v>
      </c>
    </row>
    <row r="146" spans="1:13" s="18" customFormat="1" ht="50.1" customHeight="1" x14ac:dyDescent="0.25">
      <c r="A146" s="223" t="s">
        <v>3679</v>
      </c>
      <c r="B146" s="21" t="s">
        <v>3680</v>
      </c>
      <c r="C146" s="2" t="s">
        <v>3681</v>
      </c>
      <c r="D146" s="12" t="s">
        <v>1628</v>
      </c>
      <c r="E146" s="21" t="s">
        <v>114</v>
      </c>
      <c r="F146" s="21" t="s">
        <v>246</v>
      </c>
      <c r="G146" s="21" t="s">
        <v>3683</v>
      </c>
      <c r="H146" s="20" t="s">
        <v>7164</v>
      </c>
      <c r="I146" s="20" t="s">
        <v>98</v>
      </c>
      <c r="J146" s="2" t="s">
        <v>7669</v>
      </c>
      <c r="K146" s="21" t="s">
        <v>121</v>
      </c>
      <c r="L146" s="21" t="s">
        <v>1633</v>
      </c>
      <c r="M146" s="2" t="s">
        <v>1634</v>
      </c>
    </row>
    <row r="147" spans="1:13" s="18" customFormat="1" ht="50.1" customHeight="1" x14ac:dyDescent="0.25">
      <c r="A147" s="223" t="s">
        <v>3693</v>
      </c>
      <c r="B147" s="21" t="s">
        <v>3694</v>
      </c>
      <c r="C147" s="2" t="s">
        <v>3695</v>
      </c>
      <c r="D147" s="12" t="s">
        <v>1628</v>
      </c>
      <c r="E147" s="21" t="s">
        <v>114</v>
      </c>
      <c r="F147" s="21" t="s">
        <v>246</v>
      </c>
      <c r="G147" s="21" t="s">
        <v>3696</v>
      </c>
      <c r="H147" s="20" t="s">
        <v>7164</v>
      </c>
      <c r="I147" s="20" t="s">
        <v>98</v>
      </c>
      <c r="J147" s="2" t="s">
        <v>7670</v>
      </c>
      <c r="K147" s="21" t="s">
        <v>121</v>
      </c>
      <c r="L147" s="21" t="s">
        <v>1633</v>
      </c>
      <c r="M147" s="2" t="s">
        <v>1634</v>
      </c>
    </row>
    <row r="148" spans="1:13" s="18" customFormat="1" ht="50.1" customHeight="1" x14ac:dyDescent="0.25">
      <c r="A148" s="223" t="s">
        <v>3705</v>
      </c>
      <c r="B148" s="21" t="s">
        <v>3706</v>
      </c>
      <c r="C148" s="2" t="s">
        <v>3707</v>
      </c>
      <c r="D148" s="12" t="s">
        <v>1628</v>
      </c>
      <c r="E148" s="21" t="s">
        <v>114</v>
      </c>
      <c r="F148" s="21" t="s">
        <v>246</v>
      </c>
      <c r="G148" s="21" t="s">
        <v>3708</v>
      </c>
      <c r="H148" s="20" t="s">
        <v>7164</v>
      </c>
      <c r="I148" s="20" t="s">
        <v>98</v>
      </c>
      <c r="J148" s="2" t="s">
        <v>3710</v>
      </c>
      <c r="K148" s="21" t="s">
        <v>121</v>
      </c>
      <c r="L148" s="21" t="s">
        <v>3711</v>
      </c>
      <c r="M148" s="2" t="s">
        <v>1634</v>
      </c>
    </row>
    <row r="149" spans="1:13" s="18" customFormat="1" ht="50.1" customHeight="1" x14ac:dyDescent="0.25">
      <c r="A149" s="223" t="s">
        <v>3718</v>
      </c>
      <c r="B149" s="21" t="s">
        <v>3719</v>
      </c>
      <c r="C149" s="2" t="s">
        <v>3720</v>
      </c>
      <c r="D149" s="12" t="s">
        <v>1628</v>
      </c>
      <c r="E149" s="21" t="s">
        <v>775</v>
      </c>
      <c r="F149" s="21" t="s">
        <v>246</v>
      </c>
      <c r="G149" s="21" t="s">
        <v>3721</v>
      </c>
      <c r="H149" s="20" t="s">
        <v>7164</v>
      </c>
      <c r="I149" s="20" t="s">
        <v>98</v>
      </c>
      <c r="J149" s="11" t="s">
        <v>3724</v>
      </c>
      <c r="K149" s="21" t="s">
        <v>121</v>
      </c>
      <c r="L149" s="2" t="s">
        <v>3725</v>
      </c>
      <c r="M149" s="21" t="s">
        <v>3723</v>
      </c>
    </row>
    <row r="150" spans="1:13" s="18" customFormat="1" ht="50.1" customHeight="1" x14ac:dyDescent="0.25">
      <c r="A150" s="223" t="s">
        <v>3788</v>
      </c>
      <c r="B150" s="21" t="s">
        <v>3789</v>
      </c>
      <c r="C150" s="2" t="s">
        <v>3790</v>
      </c>
      <c r="D150" s="12" t="s">
        <v>1628</v>
      </c>
      <c r="E150" s="21" t="s">
        <v>775</v>
      </c>
      <c r="F150" s="21" t="s">
        <v>246</v>
      </c>
      <c r="G150" s="21" t="s">
        <v>3791</v>
      </c>
      <c r="H150" s="20" t="s">
        <v>7164</v>
      </c>
      <c r="I150" s="20" t="s">
        <v>98</v>
      </c>
      <c r="J150" s="19" t="s">
        <v>7204</v>
      </c>
      <c r="K150" s="21" t="s">
        <v>121</v>
      </c>
      <c r="L150" s="21" t="s">
        <v>3725</v>
      </c>
      <c r="M150" s="21" t="s">
        <v>3723</v>
      </c>
    </row>
    <row r="151" spans="1:13" s="18" customFormat="1" ht="100.5" customHeight="1" x14ac:dyDescent="0.25">
      <c r="A151" s="223" t="s">
        <v>3900</v>
      </c>
      <c r="B151" s="2" t="s">
        <v>3901</v>
      </c>
      <c r="C151" s="31" t="s">
        <v>3902</v>
      </c>
      <c r="D151" s="12" t="s">
        <v>1628</v>
      </c>
      <c r="E151" s="21" t="s">
        <v>114</v>
      </c>
      <c r="F151" s="21" t="s">
        <v>116</v>
      </c>
      <c r="G151" s="21" t="s">
        <v>3903</v>
      </c>
      <c r="H151" s="20" t="s">
        <v>7205</v>
      </c>
      <c r="I151" s="20" t="s">
        <v>98</v>
      </c>
      <c r="J151" s="2" t="s">
        <v>7630</v>
      </c>
      <c r="K151" s="2" t="s">
        <v>3907</v>
      </c>
      <c r="L151" s="42" t="s">
        <v>3908</v>
      </c>
      <c r="M151" s="2" t="s">
        <v>3909</v>
      </c>
    </row>
    <row r="152" spans="1:13" s="18" customFormat="1" ht="50.1" customHeight="1" x14ac:dyDescent="0.25">
      <c r="A152" s="223" t="s">
        <v>3913</v>
      </c>
      <c r="B152" s="21" t="s">
        <v>3914</v>
      </c>
      <c r="C152" s="2" t="s">
        <v>3915</v>
      </c>
      <c r="D152" s="12" t="s">
        <v>1628</v>
      </c>
      <c r="E152" s="21" t="s">
        <v>114</v>
      </c>
      <c r="F152" s="21" t="s">
        <v>116</v>
      </c>
      <c r="G152" s="21" t="s">
        <v>3889</v>
      </c>
      <c r="H152" s="20" t="s">
        <v>7205</v>
      </c>
      <c r="I152" s="20" t="s">
        <v>98</v>
      </c>
      <c r="J152" s="2" t="s">
        <v>7631</v>
      </c>
      <c r="K152" s="21" t="s">
        <v>3868</v>
      </c>
      <c r="L152" s="2" t="s">
        <v>3917</v>
      </c>
      <c r="M152" s="2" t="s">
        <v>3909</v>
      </c>
    </row>
    <row r="153" spans="1:13" s="18" customFormat="1" ht="51" x14ac:dyDescent="0.25">
      <c r="A153" s="223" t="s">
        <v>4088</v>
      </c>
      <c r="B153" s="21" t="s">
        <v>4089</v>
      </c>
      <c r="C153" s="2" t="s">
        <v>4090</v>
      </c>
      <c r="D153" s="12" t="s">
        <v>1628</v>
      </c>
      <c r="E153" s="21" t="s">
        <v>775</v>
      </c>
      <c r="F153" s="21" t="s">
        <v>116</v>
      </c>
      <c r="G153" s="21" t="s">
        <v>353</v>
      </c>
      <c r="H153" s="20" t="s">
        <v>7164</v>
      </c>
      <c r="I153" s="20" t="s">
        <v>98</v>
      </c>
      <c r="J153" s="21" t="s">
        <v>4094</v>
      </c>
      <c r="K153" s="21" t="s">
        <v>4095</v>
      </c>
      <c r="L153" s="21" t="s">
        <v>4096</v>
      </c>
      <c r="M153" s="2" t="s">
        <v>4097</v>
      </c>
    </row>
    <row r="154" spans="1:13" s="18" customFormat="1" ht="25.5" x14ac:dyDescent="0.25">
      <c r="A154" s="223" t="s">
        <v>4104</v>
      </c>
      <c r="B154" s="21" t="s">
        <v>4105</v>
      </c>
      <c r="C154" s="2" t="s">
        <v>4106</v>
      </c>
      <c r="D154" s="12" t="s">
        <v>1628</v>
      </c>
      <c r="E154" s="21" t="s">
        <v>775</v>
      </c>
      <c r="F154" s="21" t="s">
        <v>116</v>
      </c>
      <c r="G154" s="21" t="s">
        <v>4107</v>
      </c>
      <c r="H154" s="20" t="s">
        <v>7164</v>
      </c>
      <c r="I154" s="20" t="s">
        <v>98</v>
      </c>
      <c r="J154" s="21" t="s">
        <v>4110</v>
      </c>
      <c r="K154" s="21" t="s">
        <v>4095</v>
      </c>
      <c r="L154" s="21" t="s">
        <v>4096</v>
      </c>
      <c r="M154" s="21" t="s">
        <v>4097</v>
      </c>
    </row>
    <row r="155" spans="1:13" s="58" customFormat="1" ht="108" customHeight="1" x14ac:dyDescent="0.25">
      <c r="A155" s="223" t="s">
        <v>4296</v>
      </c>
      <c r="B155" s="19" t="s">
        <v>4297</v>
      </c>
      <c r="C155" s="2" t="s">
        <v>4298</v>
      </c>
      <c r="D155" s="12" t="s">
        <v>1628</v>
      </c>
      <c r="E155" s="21" t="s">
        <v>775</v>
      </c>
      <c r="F155" s="21" t="s">
        <v>116</v>
      </c>
      <c r="G155" s="21" t="s">
        <v>4299</v>
      </c>
      <c r="H155" s="20" t="s">
        <v>7164</v>
      </c>
      <c r="I155" s="21" t="s">
        <v>98</v>
      </c>
      <c r="J155" s="11" t="s">
        <v>7632</v>
      </c>
      <c r="K155" s="21" t="s">
        <v>4302</v>
      </c>
      <c r="L155" s="19" t="s">
        <v>4303</v>
      </c>
      <c r="M155" s="11" t="s">
        <v>4304</v>
      </c>
    </row>
    <row r="156" spans="1:13" s="58" customFormat="1" ht="127.5" x14ac:dyDescent="0.25">
      <c r="A156" s="223" t="s">
        <v>4311</v>
      </c>
      <c r="B156" s="19" t="s">
        <v>4312</v>
      </c>
      <c r="C156" s="2" t="s">
        <v>4313</v>
      </c>
      <c r="D156" s="12" t="s">
        <v>1628</v>
      </c>
      <c r="E156" s="21" t="s">
        <v>775</v>
      </c>
      <c r="F156" s="21" t="s">
        <v>116</v>
      </c>
      <c r="G156" s="21" t="s">
        <v>400</v>
      </c>
      <c r="H156" s="20" t="s">
        <v>7164</v>
      </c>
      <c r="I156" s="21" t="s">
        <v>98</v>
      </c>
      <c r="J156" s="11" t="s">
        <v>4315</v>
      </c>
      <c r="K156" s="21" t="s">
        <v>4302</v>
      </c>
      <c r="L156" s="19" t="s">
        <v>4316</v>
      </c>
      <c r="M156" s="11" t="s">
        <v>4317</v>
      </c>
    </row>
    <row r="157" spans="1:13" s="58" customFormat="1" ht="105.75" customHeight="1" x14ac:dyDescent="0.25">
      <c r="A157" s="223" t="s">
        <v>4323</v>
      </c>
      <c r="B157" s="19" t="s">
        <v>4324</v>
      </c>
      <c r="C157" s="2" t="s">
        <v>4325</v>
      </c>
      <c r="D157" s="12" t="s">
        <v>1628</v>
      </c>
      <c r="E157" s="21" t="s">
        <v>775</v>
      </c>
      <c r="F157" s="21" t="s">
        <v>116</v>
      </c>
      <c r="G157" s="21" t="s">
        <v>4326</v>
      </c>
      <c r="H157" s="20" t="s">
        <v>7164</v>
      </c>
      <c r="I157" s="21" t="s">
        <v>98</v>
      </c>
      <c r="J157" s="11" t="s">
        <v>7633</v>
      </c>
      <c r="K157" s="21" t="s">
        <v>4302</v>
      </c>
      <c r="L157" s="19" t="s">
        <v>4096</v>
      </c>
      <c r="M157" s="11" t="s">
        <v>4329</v>
      </c>
    </row>
    <row r="158" spans="1:13" s="58" customFormat="1" ht="134.25" customHeight="1" x14ac:dyDescent="0.25">
      <c r="A158" s="223" t="s">
        <v>4346</v>
      </c>
      <c r="B158" s="19" t="s">
        <v>4347</v>
      </c>
      <c r="C158" s="2" t="s">
        <v>4348</v>
      </c>
      <c r="D158" s="12" t="s">
        <v>1628</v>
      </c>
      <c r="E158" s="21" t="s">
        <v>775</v>
      </c>
      <c r="F158" s="21" t="s">
        <v>116</v>
      </c>
      <c r="G158" s="21" t="s">
        <v>4299</v>
      </c>
      <c r="H158" s="20" t="s">
        <v>7164</v>
      </c>
      <c r="I158" s="21" t="s">
        <v>98</v>
      </c>
      <c r="J158" s="11" t="s">
        <v>7634</v>
      </c>
      <c r="K158" s="21" t="s">
        <v>4302</v>
      </c>
      <c r="L158" s="21" t="s">
        <v>4352</v>
      </c>
      <c r="M158" s="21" t="s">
        <v>4353</v>
      </c>
    </row>
    <row r="159" spans="1:13" s="58" customFormat="1" ht="75.75" customHeight="1" x14ac:dyDescent="0.25">
      <c r="A159" s="223" t="s">
        <v>4367</v>
      </c>
      <c r="B159" s="19" t="s">
        <v>4368</v>
      </c>
      <c r="C159" s="2" t="s">
        <v>4369</v>
      </c>
      <c r="D159" s="12" t="s">
        <v>1628</v>
      </c>
      <c r="E159" s="21" t="s">
        <v>775</v>
      </c>
      <c r="F159" s="21" t="s">
        <v>246</v>
      </c>
      <c r="G159" s="21" t="s">
        <v>4370</v>
      </c>
      <c r="H159" s="20" t="s">
        <v>7164</v>
      </c>
      <c r="I159" s="21" t="s">
        <v>98</v>
      </c>
      <c r="J159" s="2" t="s">
        <v>7635</v>
      </c>
      <c r="K159" s="19" t="s">
        <v>121</v>
      </c>
      <c r="L159" s="19" t="s">
        <v>4373</v>
      </c>
      <c r="M159" s="11" t="s">
        <v>4374</v>
      </c>
    </row>
    <row r="160" spans="1:13" s="58" customFormat="1" ht="114.75" customHeight="1" x14ac:dyDescent="0.25">
      <c r="A160" s="223" t="s">
        <v>4383</v>
      </c>
      <c r="B160" s="19" t="s">
        <v>4384</v>
      </c>
      <c r="C160" s="2" t="s">
        <v>4385</v>
      </c>
      <c r="D160" s="12" t="s">
        <v>1628</v>
      </c>
      <c r="E160" s="21" t="s">
        <v>775</v>
      </c>
      <c r="F160" s="21" t="s">
        <v>246</v>
      </c>
      <c r="G160" s="21" t="s">
        <v>4370</v>
      </c>
      <c r="H160" s="20" t="s">
        <v>7164</v>
      </c>
      <c r="I160" s="21" t="s">
        <v>98</v>
      </c>
      <c r="J160" s="2" t="s">
        <v>7636</v>
      </c>
      <c r="K160" s="19" t="s">
        <v>121</v>
      </c>
      <c r="L160" s="19" t="s">
        <v>4388</v>
      </c>
      <c r="M160" s="11" t="s">
        <v>4389</v>
      </c>
    </row>
    <row r="161" spans="1:13" s="58" customFormat="1" ht="216.75" x14ac:dyDescent="0.25">
      <c r="A161" s="223" t="s">
        <v>4396</v>
      </c>
      <c r="B161" s="11" t="s">
        <v>4397</v>
      </c>
      <c r="C161" s="2" t="s">
        <v>4398</v>
      </c>
      <c r="D161" s="12" t="s">
        <v>1628</v>
      </c>
      <c r="E161" s="21" t="s">
        <v>775</v>
      </c>
      <c r="F161" s="21" t="s">
        <v>116</v>
      </c>
      <c r="G161" s="21" t="s">
        <v>400</v>
      </c>
      <c r="H161" s="20" t="s">
        <v>7164</v>
      </c>
      <c r="I161" s="21" t="s">
        <v>98</v>
      </c>
      <c r="J161" s="19" t="s">
        <v>4400</v>
      </c>
      <c r="K161" s="19" t="s">
        <v>4401</v>
      </c>
      <c r="L161" s="2" t="s">
        <v>7671</v>
      </c>
      <c r="M161" s="2" t="s">
        <v>7207</v>
      </c>
    </row>
    <row r="162" spans="1:13" s="58" customFormat="1" ht="409.5" x14ac:dyDescent="0.25">
      <c r="A162" s="223" t="s">
        <v>4409</v>
      </c>
      <c r="B162" s="11" t="s">
        <v>4410</v>
      </c>
      <c r="C162" s="2" t="s">
        <v>4411</v>
      </c>
      <c r="D162" s="12" t="s">
        <v>1628</v>
      </c>
      <c r="E162" s="21" t="s">
        <v>775</v>
      </c>
      <c r="F162" s="21" t="s">
        <v>116</v>
      </c>
      <c r="G162" s="21" t="s">
        <v>4326</v>
      </c>
      <c r="H162" s="20" t="s">
        <v>7164</v>
      </c>
      <c r="I162" s="21" t="s">
        <v>98</v>
      </c>
      <c r="J162" s="11" t="s">
        <v>7637</v>
      </c>
      <c r="K162" s="19" t="s">
        <v>4401</v>
      </c>
      <c r="L162" s="2" t="s">
        <v>7672</v>
      </c>
      <c r="M162" s="2" t="s">
        <v>7207</v>
      </c>
    </row>
    <row r="163" spans="1:13" s="58" customFormat="1" ht="409.5" x14ac:dyDescent="0.25">
      <c r="A163" s="223" t="s">
        <v>4419</v>
      </c>
      <c r="B163" s="11" t="s">
        <v>4420</v>
      </c>
      <c r="C163" s="2" t="s">
        <v>4421</v>
      </c>
      <c r="D163" s="12" t="s">
        <v>1628</v>
      </c>
      <c r="E163" s="21" t="s">
        <v>775</v>
      </c>
      <c r="F163" s="21" t="s">
        <v>116</v>
      </c>
      <c r="G163" s="21" t="s">
        <v>4326</v>
      </c>
      <c r="H163" s="20" t="s">
        <v>7164</v>
      </c>
      <c r="I163" s="21" t="s">
        <v>98</v>
      </c>
      <c r="J163" s="11" t="s">
        <v>7638</v>
      </c>
      <c r="K163" s="19" t="s">
        <v>4424</v>
      </c>
      <c r="L163" s="2" t="s">
        <v>7673</v>
      </c>
      <c r="M163" s="2" t="s">
        <v>7208</v>
      </c>
    </row>
    <row r="164" spans="1:13" s="58" customFormat="1" ht="409.5" x14ac:dyDescent="0.25">
      <c r="A164" s="223" t="s">
        <v>4433</v>
      </c>
      <c r="B164" s="11" t="s">
        <v>4434</v>
      </c>
      <c r="C164" s="2" t="s">
        <v>4435</v>
      </c>
      <c r="D164" s="12" t="s">
        <v>1628</v>
      </c>
      <c r="E164" s="21" t="s">
        <v>775</v>
      </c>
      <c r="F164" s="21" t="s">
        <v>116</v>
      </c>
      <c r="G164" s="21" t="s">
        <v>4326</v>
      </c>
      <c r="H164" s="20" t="s">
        <v>7164</v>
      </c>
      <c r="I164" s="21" t="s">
        <v>98</v>
      </c>
      <c r="J164" s="11" t="s">
        <v>7638</v>
      </c>
      <c r="K164" s="19" t="s">
        <v>4437</v>
      </c>
      <c r="L164" s="2" t="s">
        <v>7674</v>
      </c>
      <c r="M164" s="2" t="s">
        <v>7209</v>
      </c>
    </row>
    <row r="165" spans="1:13" s="58" customFormat="1" ht="155.25" customHeight="1" x14ac:dyDescent="0.25">
      <c r="A165" s="223" t="s">
        <v>4446</v>
      </c>
      <c r="B165" s="11" t="s">
        <v>4447</v>
      </c>
      <c r="C165" s="2" t="s">
        <v>4448</v>
      </c>
      <c r="D165" s="12" t="s">
        <v>1628</v>
      </c>
      <c r="E165" s="21" t="s">
        <v>775</v>
      </c>
      <c r="F165" s="21" t="s">
        <v>116</v>
      </c>
      <c r="G165" s="21" t="s">
        <v>4326</v>
      </c>
      <c r="H165" s="20" t="s">
        <v>7164</v>
      </c>
      <c r="I165" s="21" t="s">
        <v>98</v>
      </c>
      <c r="J165" s="11" t="s">
        <v>7638</v>
      </c>
      <c r="K165" s="19" t="s">
        <v>4450</v>
      </c>
      <c r="L165" s="2" t="s">
        <v>7675</v>
      </c>
      <c r="M165" s="2" t="s">
        <v>7210</v>
      </c>
    </row>
    <row r="166" spans="1:13" s="58" customFormat="1" ht="105" customHeight="1" x14ac:dyDescent="0.25">
      <c r="A166" s="223" t="s">
        <v>4502</v>
      </c>
      <c r="B166" s="2" t="s">
        <v>4503</v>
      </c>
      <c r="C166" s="2" t="s">
        <v>4504</v>
      </c>
      <c r="D166" s="12" t="s">
        <v>1628</v>
      </c>
      <c r="E166" s="21" t="s">
        <v>114</v>
      </c>
      <c r="F166" s="21" t="s">
        <v>4505</v>
      </c>
      <c r="G166" s="21" t="s">
        <v>4505</v>
      </c>
      <c r="H166" s="20" t="s">
        <v>7205</v>
      </c>
      <c r="I166" s="20" t="s">
        <v>98</v>
      </c>
      <c r="J166" s="2" t="s">
        <v>7660</v>
      </c>
      <c r="K166" s="21" t="s">
        <v>3868</v>
      </c>
      <c r="L166" s="2" t="s">
        <v>4508</v>
      </c>
      <c r="M166" s="21" t="s">
        <v>4509</v>
      </c>
    </row>
    <row r="167" spans="1:13" s="58" customFormat="1" ht="121.5" customHeight="1" x14ac:dyDescent="0.25">
      <c r="A167" s="223" t="s">
        <v>4516</v>
      </c>
      <c r="B167" s="21" t="s">
        <v>7211</v>
      </c>
      <c r="C167" s="2" t="s">
        <v>7212</v>
      </c>
      <c r="D167" s="12" t="s">
        <v>1628</v>
      </c>
      <c r="E167" s="21" t="s">
        <v>114</v>
      </c>
      <c r="F167" s="21" t="s">
        <v>4505</v>
      </c>
      <c r="G167" s="21" t="s">
        <v>4505</v>
      </c>
      <c r="H167" s="20" t="s">
        <v>7205</v>
      </c>
      <c r="I167" s="20" t="s">
        <v>98</v>
      </c>
      <c r="J167" s="2" t="s">
        <v>7661</v>
      </c>
      <c r="K167" s="21" t="s">
        <v>4521</v>
      </c>
      <c r="L167" s="2" t="s">
        <v>4522</v>
      </c>
      <c r="M167" s="21" t="s">
        <v>4509</v>
      </c>
    </row>
    <row r="168" spans="1:13" s="58" customFormat="1" ht="120" customHeight="1" x14ac:dyDescent="0.25">
      <c r="A168" s="223" t="s">
        <v>4543</v>
      </c>
      <c r="B168" s="2" t="s">
        <v>4544</v>
      </c>
      <c r="C168" s="2" t="s">
        <v>4545</v>
      </c>
      <c r="D168" s="12" t="s">
        <v>1628</v>
      </c>
      <c r="E168" s="21" t="s">
        <v>114</v>
      </c>
      <c r="F168" s="21" t="s">
        <v>116</v>
      </c>
      <c r="G168" s="21" t="s">
        <v>3889</v>
      </c>
      <c r="H168" s="20" t="s">
        <v>7205</v>
      </c>
      <c r="I168" s="20" t="s">
        <v>98</v>
      </c>
      <c r="J168" s="2" t="s">
        <v>7587</v>
      </c>
      <c r="K168" s="2" t="s">
        <v>4547</v>
      </c>
      <c r="L168" s="2" t="s">
        <v>4548</v>
      </c>
      <c r="M168" s="2" t="s">
        <v>4549</v>
      </c>
    </row>
    <row r="169" spans="1:13" s="58" customFormat="1" ht="79.5" customHeight="1" x14ac:dyDescent="0.25">
      <c r="A169" s="223" t="s">
        <v>4576</v>
      </c>
      <c r="B169" s="2" t="s">
        <v>4577</v>
      </c>
      <c r="C169" s="2" t="s">
        <v>4578</v>
      </c>
      <c r="D169" s="12" t="s">
        <v>1628</v>
      </c>
      <c r="E169" s="21" t="s">
        <v>114</v>
      </c>
      <c r="F169" s="21" t="s">
        <v>116</v>
      </c>
      <c r="G169" s="21" t="s">
        <v>3903</v>
      </c>
      <c r="H169" s="20" t="s">
        <v>7205</v>
      </c>
      <c r="I169" s="20" t="s">
        <v>98</v>
      </c>
      <c r="J169" s="21" t="s">
        <v>1952</v>
      </c>
      <c r="K169" s="21" t="s">
        <v>3868</v>
      </c>
      <c r="L169" s="21" t="s">
        <v>4580</v>
      </c>
      <c r="M169" s="21" t="s">
        <v>4509</v>
      </c>
    </row>
    <row r="170" spans="1:13" s="58" customFormat="1" ht="50.1" customHeight="1" x14ac:dyDescent="0.25">
      <c r="A170" s="223" t="s">
        <v>5198</v>
      </c>
      <c r="B170" s="19" t="s">
        <v>5199</v>
      </c>
      <c r="C170" s="2" t="s">
        <v>5200</v>
      </c>
      <c r="D170" s="12" t="s">
        <v>4197</v>
      </c>
      <c r="E170" s="21" t="s">
        <v>775</v>
      </c>
      <c r="F170" s="19" t="s">
        <v>246</v>
      </c>
      <c r="G170" s="19" t="s">
        <v>2159</v>
      </c>
      <c r="H170" s="20" t="s">
        <v>4201</v>
      </c>
      <c r="I170" s="20" t="s">
        <v>98</v>
      </c>
      <c r="J170" s="2" t="s">
        <v>7639</v>
      </c>
      <c r="K170" s="178" t="s">
        <v>7213</v>
      </c>
      <c r="L170" s="21" t="s">
        <v>5205</v>
      </c>
      <c r="M170" s="21" t="s">
        <v>7214</v>
      </c>
    </row>
    <row r="171" spans="1:13" s="58" customFormat="1" ht="90" customHeight="1" x14ac:dyDescent="0.25">
      <c r="A171" s="223" t="s">
        <v>5211</v>
      </c>
      <c r="B171" s="11" t="s">
        <v>5212</v>
      </c>
      <c r="C171" s="2" t="s">
        <v>7215</v>
      </c>
      <c r="D171" s="12" t="s">
        <v>4197</v>
      </c>
      <c r="E171" s="21" t="s">
        <v>775</v>
      </c>
      <c r="F171" s="19" t="s">
        <v>246</v>
      </c>
      <c r="G171" s="19" t="s">
        <v>5214</v>
      </c>
      <c r="H171" s="20" t="s">
        <v>7164</v>
      </c>
      <c r="I171" s="20" t="s">
        <v>973</v>
      </c>
      <c r="J171" s="11" t="s">
        <v>7640</v>
      </c>
      <c r="K171" s="19" t="s">
        <v>7216</v>
      </c>
      <c r="L171" s="19" t="s">
        <v>7217</v>
      </c>
      <c r="M171" s="11" t="s">
        <v>7218</v>
      </c>
    </row>
    <row r="172" spans="1:13" s="58" customFormat="1" ht="50.1" customHeight="1" x14ac:dyDescent="0.25">
      <c r="A172" s="223" t="s">
        <v>5229</v>
      </c>
      <c r="B172" s="2" t="s">
        <v>5230</v>
      </c>
      <c r="C172" s="2" t="s">
        <v>7219</v>
      </c>
      <c r="D172" s="12" t="s">
        <v>4197</v>
      </c>
      <c r="E172" s="21" t="s">
        <v>775</v>
      </c>
      <c r="F172" s="19" t="s">
        <v>246</v>
      </c>
      <c r="G172" s="19" t="s">
        <v>5232</v>
      </c>
      <c r="H172" s="20" t="s">
        <v>7164</v>
      </c>
      <c r="I172" s="20" t="s">
        <v>973</v>
      </c>
      <c r="J172" s="2" t="s">
        <v>7641</v>
      </c>
      <c r="K172" s="21" t="s">
        <v>7220</v>
      </c>
      <c r="L172" s="21" t="s">
        <v>5237</v>
      </c>
      <c r="M172" s="2" t="s">
        <v>7221</v>
      </c>
    </row>
    <row r="173" spans="1:13" s="58" customFormat="1" ht="50.1" customHeight="1" x14ac:dyDescent="0.25">
      <c r="A173" s="223" t="s">
        <v>5244</v>
      </c>
      <c r="B173" s="19" t="s">
        <v>5245</v>
      </c>
      <c r="C173" s="2" t="s">
        <v>5246</v>
      </c>
      <c r="D173" s="12" t="s">
        <v>4197</v>
      </c>
      <c r="E173" s="21" t="s">
        <v>775</v>
      </c>
      <c r="F173" s="19" t="s">
        <v>246</v>
      </c>
      <c r="G173" s="19" t="s">
        <v>5247</v>
      </c>
      <c r="H173" s="20" t="s">
        <v>7164</v>
      </c>
      <c r="I173" s="20" t="s">
        <v>98</v>
      </c>
      <c r="J173" s="2" t="s">
        <v>7642</v>
      </c>
      <c r="K173" s="21" t="s">
        <v>7222</v>
      </c>
      <c r="L173" s="21" t="s">
        <v>5251</v>
      </c>
      <c r="M173" s="2" t="s">
        <v>5252</v>
      </c>
    </row>
    <row r="174" spans="1:13" s="58" customFormat="1" ht="50.1" customHeight="1" x14ac:dyDescent="0.25">
      <c r="A174" s="223" t="s">
        <v>5259</v>
      </c>
      <c r="B174" s="19" t="s">
        <v>5260</v>
      </c>
      <c r="C174" s="2" t="s">
        <v>5261</v>
      </c>
      <c r="D174" s="12" t="s">
        <v>4197</v>
      </c>
      <c r="E174" s="21" t="s">
        <v>775</v>
      </c>
      <c r="F174" s="19" t="s">
        <v>246</v>
      </c>
      <c r="G174" s="19" t="s">
        <v>5262</v>
      </c>
      <c r="H174" s="20" t="s">
        <v>7164</v>
      </c>
      <c r="I174" s="20" t="s">
        <v>1011</v>
      </c>
      <c r="J174" s="2" t="s">
        <v>7643</v>
      </c>
      <c r="K174" s="21" t="s">
        <v>7223</v>
      </c>
      <c r="L174" s="21" t="s">
        <v>5266</v>
      </c>
      <c r="M174" s="2" t="s">
        <v>5267</v>
      </c>
    </row>
    <row r="175" spans="1:13" s="58" customFormat="1" ht="50.1" customHeight="1" x14ac:dyDescent="0.25">
      <c r="A175" s="223" t="s">
        <v>5273</v>
      </c>
      <c r="B175" s="11" t="s">
        <v>5274</v>
      </c>
      <c r="C175" s="2" t="s">
        <v>7224</v>
      </c>
      <c r="D175" s="12" t="s">
        <v>4197</v>
      </c>
      <c r="E175" s="21" t="s">
        <v>775</v>
      </c>
      <c r="F175" s="21" t="s">
        <v>116</v>
      </c>
      <c r="G175" s="19" t="s">
        <v>5276</v>
      </c>
      <c r="H175" s="20" t="s">
        <v>7164</v>
      </c>
      <c r="I175" s="20" t="s">
        <v>973</v>
      </c>
      <c r="J175" s="11" t="s">
        <v>7644</v>
      </c>
      <c r="K175" s="21" t="s">
        <v>7225</v>
      </c>
      <c r="L175" s="2" t="s">
        <v>5281</v>
      </c>
      <c r="M175" s="2" t="s">
        <v>7226</v>
      </c>
    </row>
    <row r="176" spans="1:13" s="58" customFormat="1" ht="50.1" customHeight="1" x14ac:dyDescent="0.25">
      <c r="A176" s="223" t="s">
        <v>5296</v>
      </c>
      <c r="B176" s="2" t="s">
        <v>5297</v>
      </c>
      <c r="C176" s="2" t="s">
        <v>5298</v>
      </c>
      <c r="D176" s="12" t="s">
        <v>81</v>
      </c>
      <c r="E176" s="21" t="s">
        <v>775</v>
      </c>
      <c r="F176" s="21" t="s">
        <v>116</v>
      </c>
      <c r="G176" s="21" t="s">
        <v>1949</v>
      </c>
      <c r="H176" s="20" t="s">
        <v>7164</v>
      </c>
      <c r="I176" s="20" t="s">
        <v>98</v>
      </c>
      <c r="J176" s="42" t="s">
        <v>7676</v>
      </c>
      <c r="K176" s="2" t="s">
        <v>121</v>
      </c>
      <c r="L176" s="2" t="s">
        <v>5301</v>
      </c>
      <c r="M176" s="2" t="s">
        <v>5302</v>
      </c>
    </row>
    <row r="177" spans="1:13" s="58" customFormat="1" ht="50.1" customHeight="1" x14ac:dyDescent="0.25">
      <c r="A177" s="223" t="s">
        <v>5307</v>
      </c>
      <c r="B177" s="2" t="s">
        <v>5308</v>
      </c>
      <c r="C177" s="2" t="s">
        <v>5309</v>
      </c>
      <c r="D177" s="12" t="s">
        <v>81</v>
      </c>
      <c r="E177" s="21" t="s">
        <v>775</v>
      </c>
      <c r="F177" s="21" t="s">
        <v>579</v>
      </c>
      <c r="G177" s="21" t="s">
        <v>5310</v>
      </c>
      <c r="H177" s="20" t="s">
        <v>7164</v>
      </c>
      <c r="I177" s="20" t="s">
        <v>98</v>
      </c>
      <c r="J177" s="2" t="s">
        <v>5312</v>
      </c>
      <c r="K177" s="21" t="s">
        <v>121</v>
      </c>
      <c r="L177" s="2" t="s">
        <v>5313</v>
      </c>
      <c r="M177" s="2" t="s">
        <v>5314</v>
      </c>
    </row>
    <row r="178" spans="1:13" s="58" customFormat="1" ht="83.25" customHeight="1" x14ac:dyDescent="0.25">
      <c r="A178" s="223" t="s">
        <v>5319</v>
      </c>
      <c r="B178" s="2" t="s">
        <v>5320</v>
      </c>
      <c r="C178" s="2" t="s">
        <v>5321</v>
      </c>
      <c r="D178" s="12" t="s">
        <v>81</v>
      </c>
      <c r="E178" s="21" t="s">
        <v>775</v>
      </c>
      <c r="F178" s="21" t="s">
        <v>116</v>
      </c>
      <c r="G178" s="21" t="s">
        <v>2382</v>
      </c>
      <c r="H178" s="20" t="s">
        <v>7164</v>
      </c>
      <c r="I178" s="20" t="s">
        <v>973</v>
      </c>
      <c r="J178" s="2" t="s">
        <v>7645</v>
      </c>
      <c r="K178" s="2" t="s">
        <v>5324</v>
      </c>
      <c r="L178" s="2" t="s">
        <v>5325</v>
      </c>
      <c r="M178" s="2" t="s">
        <v>5326</v>
      </c>
    </row>
    <row r="179" spans="1:13" s="58" customFormat="1" ht="50.1" customHeight="1" x14ac:dyDescent="0.25">
      <c r="A179" s="223" t="s">
        <v>5334</v>
      </c>
      <c r="B179" s="2" t="s">
        <v>5335</v>
      </c>
      <c r="C179" s="2" t="s">
        <v>5336</v>
      </c>
      <c r="D179" s="12" t="s">
        <v>81</v>
      </c>
      <c r="E179" s="21" t="s">
        <v>775</v>
      </c>
      <c r="F179" s="21" t="s">
        <v>116</v>
      </c>
      <c r="G179" s="21" t="s">
        <v>2382</v>
      </c>
      <c r="H179" s="20" t="s">
        <v>7164</v>
      </c>
      <c r="I179" s="20" t="s">
        <v>973</v>
      </c>
      <c r="J179" s="2" t="s">
        <v>7615</v>
      </c>
      <c r="K179" s="2" t="s">
        <v>5324</v>
      </c>
      <c r="L179" s="2" t="s">
        <v>5338</v>
      </c>
      <c r="M179" s="2" t="s">
        <v>5339</v>
      </c>
    </row>
    <row r="180" spans="1:13" s="58" customFormat="1" ht="76.5" customHeight="1" x14ac:dyDescent="0.25">
      <c r="A180" s="223" t="s">
        <v>5387</v>
      </c>
      <c r="B180" s="2" t="s">
        <v>5388</v>
      </c>
      <c r="C180" s="2" t="s">
        <v>5389</v>
      </c>
      <c r="D180" s="12" t="s">
        <v>81</v>
      </c>
      <c r="E180" s="21" t="s">
        <v>775</v>
      </c>
      <c r="F180" s="21" t="s">
        <v>246</v>
      </c>
      <c r="G180" s="21" t="s">
        <v>7193</v>
      </c>
      <c r="H180" s="20" t="s">
        <v>7164</v>
      </c>
      <c r="I180" s="20" t="s">
        <v>98</v>
      </c>
      <c r="J180" s="2" t="s">
        <v>7646</v>
      </c>
      <c r="K180" s="2" t="s">
        <v>5394</v>
      </c>
      <c r="L180" s="2" t="s">
        <v>2713</v>
      </c>
      <c r="M180" s="2" t="s">
        <v>2714</v>
      </c>
    </row>
    <row r="181" spans="1:13" s="58" customFormat="1" ht="87" customHeight="1" x14ac:dyDescent="0.25">
      <c r="A181" s="223" t="s">
        <v>5445</v>
      </c>
      <c r="B181" s="21" t="s">
        <v>5446</v>
      </c>
      <c r="C181" s="2" t="s">
        <v>5447</v>
      </c>
      <c r="D181" s="12" t="s">
        <v>81</v>
      </c>
      <c r="E181" s="21" t="s">
        <v>775</v>
      </c>
      <c r="F181" s="21" t="s">
        <v>213</v>
      </c>
      <c r="G181" s="21" t="s">
        <v>5448</v>
      </c>
      <c r="H181" s="20" t="s">
        <v>7164</v>
      </c>
      <c r="I181" s="20" t="s">
        <v>973</v>
      </c>
      <c r="J181" s="2" t="s">
        <v>7647</v>
      </c>
      <c r="K181" s="21" t="s">
        <v>121</v>
      </c>
      <c r="L181" s="21" t="s">
        <v>5452</v>
      </c>
      <c r="M181" s="21" t="s">
        <v>5453</v>
      </c>
    </row>
    <row r="182" spans="1:13" s="58" customFormat="1" ht="94.5" customHeight="1" x14ac:dyDescent="0.25">
      <c r="A182" s="223" t="s">
        <v>5463</v>
      </c>
      <c r="B182" s="2" t="s">
        <v>5464</v>
      </c>
      <c r="C182" s="2" t="s">
        <v>5465</v>
      </c>
      <c r="D182" s="12" t="s">
        <v>81</v>
      </c>
      <c r="E182" s="21" t="s">
        <v>775</v>
      </c>
      <c r="F182" s="21" t="s">
        <v>213</v>
      </c>
      <c r="G182" s="21" t="s">
        <v>5448</v>
      </c>
      <c r="H182" s="20" t="s">
        <v>7164</v>
      </c>
      <c r="I182" s="20" t="s">
        <v>973</v>
      </c>
      <c r="J182" s="2" t="s">
        <v>7647</v>
      </c>
      <c r="K182" s="2" t="s">
        <v>7665</v>
      </c>
      <c r="L182" s="2" t="s">
        <v>5469</v>
      </c>
      <c r="M182" s="2" t="s">
        <v>7227</v>
      </c>
    </row>
    <row r="183" spans="1:13" s="58" customFormat="1" ht="127.5" x14ac:dyDescent="0.25">
      <c r="A183" s="223" t="s">
        <v>5478</v>
      </c>
      <c r="B183" s="21" t="s">
        <v>5479</v>
      </c>
      <c r="C183" s="2" t="s">
        <v>5480</v>
      </c>
      <c r="D183" s="12" t="s">
        <v>2782</v>
      </c>
      <c r="E183" s="21" t="s">
        <v>775</v>
      </c>
      <c r="F183" s="21" t="s">
        <v>116</v>
      </c>
      <c r="G183" s="21" t="s">
        <v>5448</v>
      </c>
      <c r="H183" s="20" t="s">
        <v>7164</v>
      </c>
      <c r="I183" s="20" t="s">
        <v>973</v>
      </c>
      <c r="J183" s="2" t="s">
        <v>7647</v>
      </c>
      <c r="K183" s="21" t="s">
        <v>2787</v>
      </c>
      <c r="L183" s="21" t="s">
        <v>5483</v>
      </c>
      <c r="M183" s="21" t="s">
        <v>2789</v>
      </c>
    </row>
    <row r="184" spans="1:13" s="58" customFormat="1" ht="25.5" x14ac:dyDescent="0.25">
      <c r="A184" s="223" t="s">
        <v>5495</v>
      </c>
      <c r="B184" s="21" t="s">
        <v>5496</v>
      </c>
      <c r="C184" s="2" t="s">
        <v>5497</v>
      </c>
      <c r="D184" s="12" t="s">
        <v>2782</v>
      </c>
      <c r="E184" s="21" t="s">
        <v>775</v>
      </c>
      <c r="F184" s="21" t="s">
        <v>116</v>
      </c>
      <c r="G184" s="21" t="s">
        <v>1654</v>
      </c>
      <c r="H184" s="20" t="s">
        <v>7164</v>
      </c>
      <c r="I184" s="20" t="s">
        <v>973</v>
      </c>
      <c r="J184" s="21" t="s">
        <v>5499</v>
      </c>
      <c r="K184" s="21" t="s">
        <v>2787</v>
      </c>
      <c r="L184" s="21" t="s">
        <v>5500</v>
      </c>
      <c r="M184" s="21" t="s">
        <v>2789</v>
      </c>
    </row>
    <row r="185" spans="1:13" s="58" customFormat="1" ht="66" customHeight="1" x14ac:dyDescent="0.25">
      <c r="A185" s="223" t="s">
        <v>5504</v>
      </c>
      <c r="B185" s="2" t="s">
        <v>5505</v>
      </c>
      <c r="C185" s="2" t="s">
        <v>5506</v>
      </c>
      <c r="D185" s="12" t="s">
        <v>81</v>
      </c>
      <c r="E185" s="21" t="s">
        <v>423</v>
      </c>
      <c r="F185" s="21" t="s">
        <v>116</v>
      </c>
      <c r="G185" s="21" t="s">
        <v>115</v>
      </c>
      <c r="H185" s="20" t="s">
        <v>7164</v>
      </c>
      <c r="I185" s="20" t="s">
        <v>98</v>
      </c>
      <c r="J185" s="2" t="s">
        <v>7648</v>
      </c>
      <c r="K185" s="2" t="s">
        <v>121</v>
      </c>
      <c r="L185" s="2" t="s">
        <v>5509</v>
      </c>
      <c r="M185" s="2" t="s">
        <v>7228</v>
      </c>
    </row>
    <row r="186" spans="1:13" s="58" customFormat="1" ht="76.5" x14ac:dyDescent="0.25">
      <c r="A186" s="223" t="s">
        <v>5518</v>
      </c>
      <c r="B186" s="21" t="s">
        <v>5519</v>
      </c>
      <c r="C186" s="2" t="s">
        <v>5520</v>
      </c>
      <c r="D186" s="21" t="s">
        <v>81</v>
      </c>
      <c r="E186" s="21" t="s">
        <v>114</v>
      </c>
      <c r="F186" s="21" t="s">
        <v>579</v>
      </c>
      <c r="G186" s="21" t="s">
        <v>580</v>
      </c>
      <c r="H186" s="20" t="s">
        <v>7164</v>
      </c>
      <c r="I186" s="20" t="s">
        <v>98</v>
      </c>
      <c r="J186" s="2" t="s">
        <v>666</v>
      </c>
      <c r="K186" s="21" t="s">
        <v>121</v>
      </c>
      <c r="L186" s="2" t="s">
        <v>5522</v>
      </c>
      <c r="M186" s="21" t="s">
        <v>640</v>
      </c>
    </row>
    <row r="187" spans="1:13" s="58" customFormat="1" ht="60.75" customHeight="1" x14ac:dyDescent="0.25">
      <c r="A187" s="223" t="s">
        <v>5726</v>
      </c>
      <c r="B187" s="2" t="s">
        <v>5727</v>
      </c>
      <c r="C187" s="2" t="s">
        <v>5728</v>
      </c>
      <c r="D187" s="21" t="s">
        <v>81</v>
      </c>
      <c r="E187" s="21" t="s">
        <v>775</v>
      </c>
      <c r="F187" s="21" t="s">
        <v>579</v>
      </c>
      <c r="G187" s="21" t="s">
        <v>580</v>
      </c>
      <c r="H187" s="20" t="s">
        <v>7164</v>
      </c>
      <c r="I187" s="20" t="s">
        <v>1011</v>
      </c>
      <c r="J187" s="2" t="s">
        <v>1014</v>
      </c>
      <c r="K187" s="2" t="s">
        <v>121</v>
      </c>
      <c r="L187" s="2" t="s">
        <v>5731</v>
      </c>
      <c r="M187" s="2" t="s">
        <v>5732</v>
      </c>
    </row>
    <row r="188" spans="1:13" s="58" customFormat="1" ht="50.1" customHeight="1" x14ac:dyDescent="0.25">
      <c r="A188" s="223" t="s">
        <v>5882</v>
      </c>
      <c r="B188" s="21" t="s">
        <v>5247</v>
      </c>
      <c r="C188" s="2" t="s">
        <v>5884</v>
      </c>
      <c r="D188" s="12" t="s">
        <v>81</v>
      </c>
      <c r="E188" s="21" t="s">
        <v>775</v>
      </c>
      <c r="F188" s="21" t="s">
        <v>579</v>
      </c>
      <c r="G188" s="21" t="s">
        <v>5885</v>
      </c>
      <c r="H188" s="20" t="s">
        <v>7164</v>
      </c>
      <c r="I188" s="20" t="s">
        <v>98</v>
      </c>
      <c r="J188" s="21" t="s">
        <v>5888</v>
      </c>
      <c r="K188" s="21" t="s">
        <v>121</v>
      </c>
      <c r="L188" s="21" t="s">
        <v>5889</v>
      </c>
      <c r="M188" s="21" t="s">
        <v>5890</v>
      </c>
    </row>
    <row r="189" spans="1:13" s="58" customFormat="1" ht="62.25" customHeight="1" x14ac:dyDescent="0.25">
      <c r="A189" s="223" t="s">
        <v>5898</v>
      </c>
      <c r="B189" s="2" t="s">
        <v>7677</v>
      </c>
      <c r="C189" s="2" t="s">
        <v>7229</v>
      </c>
      <c r="D189" s="12" t="s">
        <v>81</v>
      </c>
      <c r="E189" s="21" t="s">
        <v>775</v>
      </c>
      <c r="F189" s="21" t="s">
        <v>579</v>
      </c>
      <c r="G189" s="21" t="s">
        <v>5885</v>
      </c>
      <c r="H189" s="20" t="s">
        <v>7164</v>
      </c>
      <c r="I189" s="20" t="s">
        <v>98</v>
      </c>
      <c r="J189" s="2" t="s">
        <v>7678</v>
      </c>
      <c r="K189" s="2" t="s">
        <v>5904</v>
      </c>
      <c r="L189" s="2" t="s">
        <v>5906</v>
      </c>
      <c r="M189" s="2" t="s">
        <v>5907</v>
      </c>
    </row>
    <row r="190" spans="1:13" s="58" customFormat="1" ht="71.25" customHeight="1" x14ac:dyDescent="0.25">
      <c r="A190" s="223" t="s">
        <v>5979</v>
      </c>
      <c r="B190" s="2" t="s">
        <v>7230</v>
      </c>
      <c r="C190" s="2" t="s">
        <v>7231</v>
      </c>
      <c r="D190" s="12" t="s">
        <v>81</v>
      </c>
      <c r="E190" s="21" t="s">
        <v>775</v>
      </c>
      <c r="F190" s="21" t="s">
        <v>579</v>
      </c>
      <c r="G190" s="21" t="s">
        <v>5981</v>
      </c>
      <c r="H190" s="20" t="s">
        <v>7164</v>
      </c>
      <c r="I190" s="20" t="s">
        <v>1011</v>
      </c>
      <c r="J190" s="21" t="s">
        <v>5984</v>
      </c>
      <c r="K190" s="21" t="s">
        <v>5985</v>
      </c>
      <c r="L190" s="21" t="s">
        <v>5986</v>
      </c>
      <c r="M190" s="21" t="s">
        <v>5987</v>
      </c>
    </row>
    <row r="191" spans="1:13" s="58" customFormat="1" ht="81.75" customHeight="1" x14ac:dyDescent="0.25">
      <c r="A191" s="223" t="s">
        <v>5995</v>
      </c>
      <c r="B191" s="2" t="s">
        <v>7232</v>
      </c>
      <c r="C191" s="2" t="s">
        <v>7233</v>
      </c>
      <c r="D191" s="12" t="s">
        <v>81</v>
      </c>
      <c r="E191" s="21" t="s">
        <v>775</v>
      </c>
      <c r="F191" s="21" t="s">
        <v>579</v>
      </c>
      <c r="G191" s="21" t="s">
        <v>3122</v>
      </c>
      <c r="H191" s="20" t="s">
        <v>7164</v>
      </c>
      <c r="I191" s="20" t="s">
        <v>1011</v>
      </c>
      <c r="J191" s="21" t="s">
        <v>6000</v>
      </c>
      <c r="K191" s="21" t="s">
        <v>5985</v>
      </c>
      <c r="L191" s="21" t="s">
        <v>6002</v>
      </c>
      <c r="M191" s="21" t="s">
        <v>7234</v>
      </c>
    </row>
    <row r="192" spans="1:13" s="58" customFormat="1" ht="84.75" customHeight="1" x14ac:dyDescent="0.25">
      <c r="A192" s="223" t="s">
        <v>6008</v>
      </c>
      <c r="B192" s="2" t="s">
        <v>6009</v>
      </c>
      <c r="C192" s="2" t="s">
        <v>7235</v>
      </c>
      <c r="D192" s="12" t="s">
        <v>81</v>
      </c>
      <c r="E192" s="21" t="s">
        <v>775</v>
      </c>
      <c r="F192" s="21" t="s">
        <v>579</v>
      </c>
      <c r="G192" s="21" t="s">
        <v>3122</v>
      </c>
      <c r="H192" s="20" t="s">
        <v>7164</v>
      </c>
      <c r="I192" s="20" t="s">
        <v>1011</v>
      </c>
      <c r="J192" s="2" t="s">
        <v>7649</v>
      </c>
      <c r="K192" s="21" t="s">
        <v>7236</v>
      </c>
      <c r="L192" s="21" t="s">
        <v>6013</v>
      </c>
      <c r="M192" s="21" t="s">
        <v>6014</v>
      </c>
    </row>
    <row r="193" spans="1:13" s="58" customFormat="1" ht="121.5" customHeight="1" x14ac:dyDescent="0.25">
      <c r="A193" s="223" t="s">
        <v>6019</v>
      </c>
      <c r="B193" s="21" t="s">
        <v>5214</v>
      </c>
      <c r="C193" s="2" t="s">
        <v>6021</v>
      </c>
      <c r="D193" s="12" t="s">
        <v>81</v>
      </c>
      <c r="E193" s="21" t="s">
        <v>775</v>
      </c>
      <c r="F193" s="21" t="s">
        <v>2688</v>
      </c>
      <c r="G193" s="21" t="s">
        <v>3234</v>
      </c>
      <c r="H193" s="20" t="s">
        <v>7164</v>
      </c>
      <c r="I193" s="20" t="s">
        <v>973</v>
      </c>
      <c r="J193" s="102" t="s">
        <v>7679</v>
      </c>
      <c r="K193" s="21" t="s">
        <v>121</v>
      </c>
      <c r="L193" s="21" t="s">
        <v>6026</v>
      </c>
      <c r="M193" s="21" t="s">
        <v>6027</v>
      </c>
    </row>
    <row r="194" spans="1:13" s="58" customFormat="1" ht="50.1" customHeight="1" x14ac:dyDescent="0.25">
      <c r="A194" s="223" t="s">
        <v>6076</v>
      </c>
      <c r="B194" s="2" t="s">
        <v>6077</v>
      </c>
      <c r="C194" s="2" t="s">
        <v>6078</v>
      </c>
      <c r="D194" s="12" t="s">
        <v>81</v>
      </c>
      <c r="E194" s="21" t="s">
        <v>775</v>
      </c>
      <c r="F194" s="21" t="s">
        <v>3056</v>
      </c>
      <c r="G194" s="21" t="s">
        <v>3057</v>
      </c>
      <c r="H194" s="20" t="s">
        <v>7164</v>
      </c>
      <c r="I194" s="20" t="s">
        <v>973</v>
      </c>
      <c r="J194" s="2" t="s">
        <v>7626</v>
      </c>
      <c r="K194" s="2" t="s">
        <v>6081</v>
      </c>
      <c r="L194" s="2" t="s">
        <v>3080</v>
      </c>
      <c r="M194" s="2" t="s">
        <v>6083</v>
      </c>
    </row>
    <row r="195" spans="1:13" s="58" customFormat="1" ht="117" customHeight="1" x14ac:dyDescent="0.25">
      <c r="A195" s="223" t="s">
        <v>6105</v>
      </c>
      <c r="B195" s="21" t="s">
        <v>6106</v>
      </c>
      <c r="C195" s="2" t="s">
        <v>6107</v>
      </c>
      <c r="D195" s="12" t="s">
        <v>81</v>
      </c>
      <c r="E195" s="21" t="s">
        <v>114</v>
      </c>
      <c r="F195" s="21" t="s">
        <v>116</v>
      </c>
      <c r="G195" s="21" t="s">
        <v>1949</v>
      </c>
      <c r="H195" s="20" t="s">
        <v>7164</v>
      </c>
      <c r="I195" s="20" t="s">
        <v>98</v>
      </c>
      <c r="J195" s="102" t="s">
        <v>7680</v>
      </c>
      <c r="K195" s="21" t="s">
        <v>121</v>
      </c>
      <c r="L195" s="2" t="s">
        <v>1953</v>
      </c>
      <c r="M195" s="2" t="s">
        <v>6109</v>
      </c>
    </row>
    <row r="196" spans="1:13" s="58" customFormat="1" ht="50.1" customHeight="1" x14ac:dyDescent="0.25">
      <c r="A196" s="223" t="s">
        <v>6114</v>
      </c>
      <c r="B196" s="21" t="s">
        <v>6115</v>
      </c>
      <c r="C196" s="2" t="s">
        <v>6116</v>
      </c>
      <c r="D196" s="12" t="s">
        <v>81</v>
      </c>
      <c r="E196" s="21" t="s">
        <v>309</v>
      </c>
      <c r="F196" s="21" t="s">
        <v>116</v>
      </c>
      <c r="G196" s="21" t="s">
        <v>1949</v>
      </c>
      <c r="H196" s="20" t="s">
        <v>7164</v>
      </c>
      <c r="I196" s="20" t="s">
        <v>98</v>
      </c>
      <c r="J196" s="21" t="s">
        <v>7237</v>
      </c>
      <c r="K196" s="21" t="s">
        <v>121</v>
      </c>
      <c r="L196" s="2" t="s">
        <v>1953</v>
      </c>
      <c r="M196" s="2" t="s">
        <v>6118</v>
      </c>
    </row>
    <row r="197" spans="1:13" s="58" customFormat="1" ht="50.1" customHeight="1" x14ac:dyDescent="0.25">
      <c r="A197" s="223" t="s">
        <v>6123</v>
      </c>
      <c r="B197" s="21" t="s">
        <v>6124</v>
      </c>
      <c r="C197" s="2" t="s">
        <v>6125</v>
      </c>
      <c r="D197" s="12" t="s">
        <v>81</v>
      </c>
      <c r="E197" s="21" t="s">
        <v>364</v>
      </c>
      <c r="F197" s="21" t="s">
        <v>116</v>
      </c>
      <c r="G197" s="21" t="s">
        <v>1949</v>
      </c>
      <c r="H197" s="20" t="s">
        <v>7164</v>
      </c>
      <c r="I197" s="20" t="s">
        <v>98</v>
      </c>
      <c r="J197" s="21" t="s">
        <v>7237</v>
      </c>
      <c r="K197" s="21" t="s">
        <v>5117</v>
      </c>
      <c r="L197" s="2" t="s">
        <v>6128</v>
      </c>
      <c r="M197" s="2" t="s">
        <v>6127</v>
      </c>
    </row>
    <row r="198" spans="1:13" s="58" customFormat="1" ht="50.1" customHeight="1" x14ac:dyDescent="0.25">
      <c r="A198" s="223" t="s">
        <v>6132</v>
      </c>
      <c r="B198" s="21" t="s">
        <v>6133</v>
      </c>
      <c r="C198" s="2" t="s">
        <v>6134</v>
      </c>
      <c r="D198" s="12" t="s">
        <v>81</v>
      </c>
      <c r="E198" s="21" t="s">
        <v>423</v>
      </c>
      <c r="F198" s="21" t="s">
        <v>116</v>
      </c>
      <c r="G198" s="21" t="s">
        <v>1949</v>
      </c>
      <c r="H198" s="20" t="s">
        <v>7164</v>
      </c>
      <c r="I198" s="20" t="s">
        <v>98</v>
      </c>
      <c r="J198" s="21" t="s">
        <v>7237</v>
      </c>
      <c r="K198" s="21" t="s">
        <v>121</v>
      </c>
      <c r="L198" s="2" t="s">
        <v>6137</v>
      </c>
      <c r="M198" s="2" t="s">
        <v>6136</v>
      </c>
    </row>
    <row r="199" spans="1:13" s="58" customFormat="1" ht="50.1" customHeight="1" x14ac:dyDescent="0.25">
      <c r="A199" s="223" t="s">
        <v>6141</v>
      </c>
      <c r="B199" s="21" t="s">
        <v>6142</v>
      </c>
      <c r="C199" s="2" t="s">
        <v>6143</v>
      </c>
      <c r="D199" s="12" t="s">
        <v>81</v>
      </c>
      <c r="E199" s="21" t="s">
        <v>436</v>
      </c>
      <c r="F199" s="21" t="s">
        <v>116</v>
      </c>
      <c r="G199" s="21" t="s">
        <v>1949</v>
      </c>
      <c r="H199" s="20" t="s">
        <v>7164</v>
      </c>
      <c r="I199" s="20" t="s">
        <v>98</v>
      </c>
      <c r="J199" s="21" t="s">
        <v>7237</v>
      </c>
      <c r="K199" s="21" t="s">
        <v>121</v>
      </c>
      <c r="L199" s="2" t="s">
        <v>6137</v>
      </c>
      <c r="M199" s="2" t="s">
        <v>6146</v>
      </c>
    </row>
    <row r="200" spans="1:13" s="58" customFormat="1" ht="50.1" customHeight="1" x14ac:dyDescent="0.25">
      <c r="A200" s="223" t="s">
        <v>6150</v>
      </c>
      <c r="B200" s="21" t="s">
        <v>6151</v>
      </c>
      <c r="C200" s="2" t="s">
        <v>6152</v>
      </c>
      <c r="D200" s="12" t="s">
        <v>81</v>
      </c>
      <c r="E200" s="21" t="s">
        <v>463</v>
      </c>
      <c r="F200" s="21" t="s">
        <v>116</v>
      </c>
      <c r="G200" s="21" t="s">
        <v>1949</v>
      </c>
      <c r="H200" s="20" t="s">
        <v>7164</v>
      </c>
      <c r="I200" s="20" t="s">
        <v>98</v>
      </c>
      <c r="J200" s="21" t="s">
        <v>7237</v>
      </c>
      <c r="K200" s="21" t="s">
        <v>121</v>
      </c>
      <c r="L200" s="2" t="s">
        <v>6137</v>
      </c>
      <c r="M200" s="2" t="s">
        <v>6154</v>
      </c>
    </row>
    <row r="201" spans="1:13" s="58" customFormat="1" ht="51" x14ac:dyDescent="0.25">
      <c r="A201" s="223" t="s">
        <v>6184</v>
      </c>
      <c r="B201" s="2" t="s">
        <v>6185</v>
      </c>
      <c r="C201" s="2" t="s">
        <v>6186</v>
      </c>
      <c r="D201" s="12" t="s">
        <v>81</v>
      </c>
      <c r="E201" s="21" t="s">
        <v>775</v>
      </c>
      <c r="F201" s="21" t="s">
        <v>579</v>
      </c>
      <c r="G201" s="21" t="s">
        <v>5310</v>
      </c>
      <c r="H201" s="20" t="s">
        <v>7164</v>
      </c>
      <c r="I201" s="20" t="s">
        <v>98</v>
      </c>
      <c r="J201" s="21" t="s">
        <v>7238</v>
      </c>
      <c r="K201" s="21" t="s">
        <v>121</v>
      </c>
      <c r="L201" s="2" t="s">
        <v>6190</v>
      </c>
      <c r="M201" s="2" t="s">
        <v>5314</v>
      </c>
    </row>
    <row r="202" spans="1:13" s="58" customFormat="1" ht="50.1" customHeight="1" x14ac:dyDescent="0.25">
      <c r="A202" s="223" t="s">
        <v>6194</v>
      </c>
      <c r="B202" s="19" t="s">
        <v>6195</v>
      </c>
      <c r="C202" s="11" t="s">
        <v>6196</v>
      </c>
      <c r="D202" s="12" t="s">
        <v>81</v>
      </c>
      <c r="E202" s="21" t="s">
        <v>775</v>
      </c>
      <c r="F202" s="19" t="s">
        <v>1444</v>
      </c>
      <c r="G202" s="19" t="s">
        <v>2296</v>
      </c>
      <c r="H202" s="20" t="s">
        <v>7164</v>
      </c>
      <c r="I202" s="20" t="s">
        <v>973</v>
      </c>
      <c r="J202" s="7" t="s">
        <v>7613</v>
      </c>
      <c r="K202" s="21" t="s">
        <v>6199</v>
      </c>
      <c r="L202" s="19" t="s">
        <v>6200</v>
      </c>
      <c r="M202" s="19" t="s">
        <v>6201</v>
      </c>
    </row>
    <row r="203" spans="1:13" s="58" customFormat="1" ht="50.1" customHeight="1" x14ac:dyDescent="0.25">
      <c r="A203" s="223" t="s">
        <v>6207</v>
      </c>
      <c r="B203" s="19" t="s">
        <v>6208</v>
      </c>
      <c r="C203" s="11" t="s">
        <v>6209</v>
      </c>
      <c r="D203" s="12" t="s">
        <v>81</v>
      </c>
      <c r="E203" s="21" t="s">
        <v>775</v>
      </c>
      <c r="F203" s="19" t="s">
        <v>1444</v>
      </c>
      <c r="G203" s="19" t="s">
        <v>2296</v>
      </c>
      <c r="H203" s="20" t="s">
        <v>7164</v>
      </c>
      <c r="I203" s="20" t="s">
        <v>973</v>
      </c>
      <c r="J203" s="7" t="s">
        <v>7613</v>
      </c>
      <c r="K203" s="21" t="s">
        <v>3582</v>
      </c>
      <c r="L203" s="19" t="s">
        <v>6212</v>
      </c>
      <c r="M203" s="19" t="s">
        <v>6213</v>
      </c>
    </row>
    <row r="204" spans="1:13" s="58" customFormat="1" ht="50.1" customHeight="1" x14ac:dyDescent="0.25">
      <c r="A204" s="223" t="s">
        <v>6217</v>
      </c>
      <c r="B204" s="19" t="s">
        <v>6218</v>
      </c>
      <c r="C204" s="11" t="s">
        <v>6219</v>
      </c>
      <c r="D204" s="12" t="s">
        <v>81</v>
      </c>
      <c r="E204" s="21" t="s">
        <v>775</v>
      </c>
      <c r="F204" s="19" t="s">
        <v>1444</v>
      </c>
      <c r="G204" s="19" t="s">
        <v>2296</v>
      </c>
      <c r="H204" s="20" t="s">
        <v>7164</v>
      </c>
      <c r="I204" s="20" t="s">
        <v>973</v>
      </c>
      <c r="J204" s="7" t="s">
        <v>7613</v>
      </c>
      <c r="K204" s="21" t="s">
        <v>3582</v>
      </c>
      <c r="L204" s="19" t="s">
        <v>6222</v>
      </c>
      <c r="M204" s="19" t="s">
        <v>6223</v>
      </c>
    </row>
    <row r="205" spans="1:13" s="58" customFormat="1" ht="50.1" customHeight="1" x14ac:dyDescent="0.25">
      <c r="A205" s="223" t="s">
        <v>6227</v>
      </c>
      <c r="B205" s="19" t="s">
        <v>6228</v>
      </c>
      <c r="C205" s="11" t="s">
        <v>6229</v>
      </c>
      <c r="D205" s="12" t="s">
        <v>81</v>
      </c>
      <c r="E205" s="21" t="s">
        <v>775</v>
      </c>
      <c r="F205" s="19" t="s">
        <v>1444</v>
      </c>
      <c r="G205" s="19" t="s">
        <v>2296</v>
      </c>
      <c r="H205" s="20" t="s">
        <v>7164</v>
      </c>
      <c r="I205" s="20" t="s">
        <v>973</v>
      </c>
      <c r="J205" s="7" t="s">
        <v>7613</v>
      </c>
      <c r="K205" s="21" t="s">
        <v>3582</v>
      </c>
      <c r="L205" s="19" t="s">
        <v>6232</v>
      </c>
      <c r="M205" s="19" t="s">
        <v>6233</v>
      </c>
    </row>
    <row r="206" spans="1:13" s="58" customFormat="1" ht="50.1" customHeight="1" x14ac:dyDescent="0.25">
      <c r="A206" s="223" t="s">
        <v>6236</v>
      </c>
      <c r="B206" s="21" t="s">
        <v>6237</v>
      </c>
      <c r="C206" s="2" t="s">
        <v>6238</v>
      </c>
      <c r="D206" s="12" t="s">
        <v>81</v>
      </c>
      <c r="E206" s="19" t="s">
        <v>1577</v>
      </c>
      <c r="F206" s="19" t="s">
        <v>579</v>
      </c>
      <c r="G206" s="19" t="s">
        <v>1976</v>
      </c>
      <c r="H206" s="20" t="s">
        <v>7164</v>
      </c>
      <c r="I206" s="20" t="s">
        <v>98</v>
      </c>
      <c r="J206" s="20" t="s">
        <v>1979</v>
      </c>
      <c r="K206" s="21" t="s">
        <v>121</v>
      </c>
      <c r="L206" s="19" t="s">
        <v>6241</v>
      </c>
      <c r="M206" s="11" t="s">
        <v>1487</v>
      </c>
    </row>
    <row r="207" spans="1:13" s="58" customFormat="1" ht="50.1" customHeight="1" x14ac:dyDescent="0.25">
      <c r="A207" s="223" t="s">
        <v>6244</v>
      </c>
      <c r="B207" s="21" t="s">
        <v>6245</v>
      </c>
      <c r="C207" s="2" t="s">
        <v>6246</v>
      </c>
      <c r="D207" s="12" t="s">
        <v>81</v>
      </c>
      <c r="E207" s="19" t="s">
        <v>309</v>
      </c>
      <c r="F207" s="19" t="s">
        <v>579</v>
      </c>
      <c r="G207" s="19" t="s">
        <v>1976</v>
      </c>
      <c r="H207" s="20" t="s">
        <v>7164</v>
      </c>
      <c r="I207" s="20" t="s">
        <v>98</v>
      </c>
      <c r="J207" s="20" t="s">
        <v>1979</v>
      </c>
      <c r="K207" s="21" t="s">
        <v>121</v>
      </c>
      <c r="L207" s="23" t="s">
        <v>6249</v>
      </c>
      <c r="M207" s="31" t="s">
        <v>6250</v>
      </c>
    </row>
    <row r="208" spans="1:13" s="58" customFormat="1" ht="50.1" customHeight="1" x14ac:dyDescent="0.25">
      <c r="A208" s="223" t="s">
        <v>6253</v>
      </c>
      <c r="B208" s="21" t="s">
        <v>6254</v>
      </c>
      <c r="C208" s="2" t="s">
        <v>6255</v>
      </c>
      <c r="D208" s="12" t="s">
        <v>81</v>
      </c>
      <c r="E208" s="19" t="s">
        <v>364</v>
      </c>
      <c r="F208" s="19" t="s">
        <v>579</v>
      </c>
      <c r="G208" s="19" t="s">
        <v>1976</v>
      </c>
      <c r="H208" s="20" t="s">
        <v>7164</v>
      </c>
      <c r="I208" s="20" t="s">
        <v>98</v>
      </c>
      <c r="J208" s="20" t="s">
        <v>1979</v>
      </c>
      <c r="K208" s="21" t="s">
        <v>121</v>
      </c>
      <c r="L208" s="23" t="s">
        <v>6257</v>
      </c>
      <c r="M208" s="31" t="s">
        <v>6258</v>
      </c>
    </row>
    <row r="209" spans="1:13" s="58" customFormat="1" ht="50.1" customHeight="1" x14ac:dyDescent="0.25">
      <c r="A209" s="223" t="s">
        <v>6259</v>
      </c>
      <c r="B209" s="21" t="s">
        <v>6260</v>
      </c>
      <c r="C209" s="2" t="s">
        <v>6261</v>
      </c>
      <c r="D209" s="12" t="s">
        <v>81</v>
      </c>
      <c r="E209" s="19" t="s">
        <v>423</v>
      </c>
      <c r="F209" s="19" t="s">
        <v>579</v>
      </c>
      <c r="G209" s="19" t="s">
        <v>1976</v>
      </c>
      <c r="H209" s="20" t="s">
        <v>7164</v>
      </c>
      <c r="I209" s="20" t="s">
        <v>98</v>
      </c>
      <c r="J209" s="20" t="s">
        <v>1979</v>
      </c>
      <c r="K209" s="21" t="s">
        <v>121</v>
      </c>
      <c r="L209" s="23" t="s">
        <v>6262</v>
      </c>
      <c r="M209" s="31" t="s">
        <v>6263</v>
      </c>
    </row>
    <row r="210" spans="1:13" s="58" customFormat="1" ht="50.1" customHeight="1" x14ac:dyDescent="0.25">
      <c r="A210" s="223" t="s">
        <v>6266</v>
      </c>
      <c r="B210" s="21" t="s">
        <v>6267</v>
      </c>
      <c r="C210" s="2" t="s">
        <v>6268</v>
      </c>
      <c r="D210" s="12" t="s">
        <v>81</v>
      </c>
      <c r="E210" s="19" t="s">
        <v>436</v>
      </c>
      <c r="F210" s="19" t="s">
        <v>579</v>
      </c>
      <c r="G210" s="19" t="s">
        <v>1976</v>
      </c>
      <c r="H210" s="20" t="s">
        <v>7164</v>
      </c>
      <c r="I210" s="20" t="s">
        <v>98</v>
      </c>
      <c r="J210" s="20" t="s">
        <v>1979</v>
      </c>
      <c r="K210" s="21" t="s">
        <v>121</v>
      </c>
      <c r="L210" s="23" t="s">
        <v>6271</v>
      </c>
      <c r="M210" s="31" t="s">
        <v>6272</v>
      </c>
    </row>
    <row r="211" spans="1:13" s="58" customFormat="1" ht="50.1" customHeight="1" x14ac:dyDescent="0.25">
      <c r="A211" s="223" t="s">
        <v>6275</v>
      </c>
      <c r="B211" s="21" t="s">
        <v>6276</v>
      </c>
      <c r="C211" s="2" t="s">
        <v>6277</v>
      </c>
      <c r="D211" s="12" t="s">
        <v>81</v>
      </c>
      <c r="E211" s="19" t="s">
        <v>463</v>
      </c>
      <c r="F211" s="19" t="s">
        <v>579</v>
      </c>
      <c r="G211" s="19" t="s">
        <v>1976</v>
      </c>
      <c r="H211" s="20" t="s">
        <v>7164</v>
      </c>
      <c r="I211" s="20" t="s">
        <v>98</v>
      </c>
      <c r="J211" s="20" t="s">
        <v>1979</v>
      </c>
      <c r="K211" s="21" t="s">
        <v>121</v>
      </c>
      <c r="L211" s="23" t="s">
        <v>6279</v>
      </c>
      <c r="M211" s="31" t="s">
        <v>6280</v>
      </c>
    </row>
    <row r="212" spans="1:13" s="58" customFormat="1" ht="54" customHeight="1" x14ac:dyDescent="0.25">
      <c r="A212" s="223" t="s">
        <v>6282</v>
      </c>
      <c r="B212" s="19" t="s">
        <v>7239</v>
      </c>
      <c r="C212" s="11" t="s">
        <v>7240</v>
      </c>
      <c r="D212" s="12" t="s">
        <v>81</v>
      </c>
      <c r="E212" s="21" t="s">
        <v>775</v>
      </c>
      <c r="F212" s="21" t="s">
        <v>579</v>
      </c>
      <c r="G212" s="21" t="s">
        <v>580</v>
      </c>
      <c r="H212" s="20" t="s">
        <v>7164</v>
      </c>
      <c r="I212" s="20" t="s">
        <v>98</v>
      </c>
      <c r="J212" s="20" t="s">
        <v>6287</v>
      </c>
      <c r="K212" s="21" t="s">
        <v>121</v>
      </c>
      <c r="L212" s="11" t="s">
        <v>841</v>
      </c>
      <c r="M212" s="19" t="s">
        <v>7241</v>
      </c>
    </row>
    <row r="213" spans="1:13" s="58" customFormat="1" ht="50.1" customHeight="1" x14ac:dyDescent="0.25">
      <c r="A213" s="223" t="s">
        <v>6320</v>
      </c>
      <c r="B213" s="19" t="s">
        <v>6321</v>
      </c>
      <c r="C213" s="11" t="s">
        <v>6322</v>
      </c>
      <c r="D213" s="12" t="s">
        <v>81</v>
      </c>
      <c r="E213" s="21" t="s">
        <v>114</v>
      </c>
      <c r="F213" s="19" t="s">
        <v>579</v>
      </c>
      <c r="G213" s="19" t="s">
        <v>2134</v>
      </c>
      <c r="H213" s="20" t="s">
        <v>7164</v>
      </c>
      <c r="I213" s="20" t="s">
        <v>98</v>
      </c>
      <c r="J213" s="2" t="s">
        <v>7650</v>
      </c>
      <c r="K213" s="21" t="s">
        <v>121</v>
      </c>
      <c r="L213" s="19" t="s">
        <v>6326</v>
      </c>
      <c r="M213" s="226" t="s">
        <v>7681</v>
      </c>
    </row>
    <row r="214" spans="1:13" s="58" customFormat="1" ht="50.1" customHeight="1" x14ac:dyDescent="0.25">
      <c r="A214" s="223" t="s">
        <v>6333</v>
      </c>
      <c r="B214" s="19" t="s">
        <v>6334</v>
      </c>
      <c r="C214" s="11" t="s">
        <v>6335</v>
      </c>
      <c r="D214" s="12" t="s">
        <v>81</v>
      </c>
      <c r="E214" s="21" t="s">
        <v>309</v>
      </c>
      <c r="F214" s="19" t="s">
        <v>579</v>
      </c>
      <c r="G214" s="19" t="s">
        <v>2134</v>
      </c>
      <c r="H214" s="20" t="s">
        <v>7164</v>
      </c>
      <c r="I214" s="20" t="s">
        <v>98</v>
      </c>
      <c r="J214" s="2" t="s">
        <v>7650</v>
      </c>
      <c r="K214" s="21" t="s">
        <v>121</v>
      </c>
      <c r="L214" s="19" t="s">
        <v>6326</v>
      </c>
      <c r="M214" s="19" t="s">
        <v>7682</v>
      </c>
    </row>
    <row r="215" spans="1:13" s="58" customFormat="1" ht="50.1" customHeight="1" x14ac:dyDescent="0.25">
      <c r="A215" s="223" t="s">
        <v>6344</v>
      </c>
      <c r="B215" s="19" t="s">
        <v>6345</v>
      </c>
      <c r="C215" s="11" t="s">
        <v>6346</v>
      </c>
      <c r="D215" s="12" t="s">
        <v>81</v>
      </c>
      <c r="E215" s="21" t="s">
        <v>364</v>
      </c>
      <c r="F215" s="19" t="s">
        <v>579</v>
      </c>
      <c r="G215" s="19" t="s">
        <v>2134</v>
      </c>
      <c r="H215" s="20" t="s">
        <v>7164</v>
      </c>
      <c r="I215" s="20" t="s">
        <v>98</v>
      </c>
      <c r="J215" s="2" t="s">
        <v>7650</v>
      </c>
      <c r="K215" s="21" t="s">
        <v>121</v>
      </c>
      <c r="L215" s="19" t="s">
        <v>6326</v>
      </c>
      <c r="M215" s="19" t="s">
        <v>7683</v>
      </c>
    </row>
    <row r="216" spans="1:13" s="58" customFormat="1" ht="50.1" customHeight="1" x14ac:dyDescent="0.25">
      <c r="A216" s="223" t="s">
        <v>6352</v>
      </c>
      <c r="B216" s="19" t="s">
        <v>6353</v>
      </c>
      <c r="C216" s="11" t="s">
        <v>6354</v>
      </c>
      <c r="D216" s="12" t="s">
        <v>81</v>
      </c>
      <c r="E216" s="21" t="s">
        <v>423</v>
      </c>
      <c r="F216" s="19" t="s">
        <v>579</v>
      </c>
      <c r="G216" s="19" t="s">
        <v>2134</v>
      </c>
      <c r="H216" s="20" t="s">
        <v>7164</v>
      </c>
      <c r="I216" s="20" t="s">
        <v>98</v>
      </c>
      <c r="J216" s="2" t="s">
        <v>7650</v>
      </c>
      <c r="K216" s="21" t="s">
        <v>121</v>
      </c>
      <c r="L216" s="19" t="s">
        <v>6326</v>
      </c>
      <c r="M216" s="226" t="s">
        <v>7684</v>
      </c>
    </row>
    <row r="217" spans="1:13" s="58" customFormat="1" ht="50.1" customHeight="1" x14ac:dyDescent="0.25">
      <c r="A217" s="223" t="s">
        <v>6360</v>
      </c>
      <c r="B217" s="19" t="s">
        <v>6361</v>
      </c>
      <c r="C217" s="11" t="s">
        <v>6362</v>
      </c>
      <c r="D217" s="12" t="s">
        <v>81</v>
      </c>
      <c r="E217" s="21" t="s">
        <v>436</v>
      </c>
      <c r="F217" s="19" t="s">
        <v>579</v>
      </c>
      <c r="G217" s="19" t="s">
        <v>2134</v>
      </c>
      <c r="H217" s="20" t="s">
        <v>7164</v>
      </c>
      <c r="I217" s="20" t="s">
        <v>98</v>
      </c>
      <c r="J217" s="2" t="s">
        <v>7650</v>
      </c>
      <c r="K217" s="21" t="s">
        <v>121</v>
      </c>
      <c r="L217" s="19" t="s">
        <v>6326</v>
      </c>
      <c r="M217" s="19" t="s">
        <v>7685</v>
      </c>
    </row>
    <row r="218" spans="1:13" s="58" customFormat="1" ht="50.1" customHeight="1" x14ac:dyDescent="0.25">
      <c r="A218" s="223" t="s">
        <v>6367</v>
      </c>
      <c r="B218" s="19" t="s">
        <v>6368</v>
      </c>
      <c r="C218" s="11" t="s">
        <v>6369</v>
      </c>
      <c r="D218" s="12" t="s">
        <v>81</v>
      </c>
      <c r="E218" s="21" t="s">
        <v>463</v>
      </c>
      <c r="F218" s="19" t="s">
        <v>579</v>
      </c>
      <c r="G218" s="19" t="s">
        <v>2134</v>
      </c>
      <c r="H218" s="20" t="s">
        <v>7164</v>
      </c>
      <c r="I218" s="20" t="s">
        <v>98</v>
      </c>
      <c r="J218" s="2" t="s">
        <v>7650</v>
      </c>
      <c r="K218" s="21" t="s">
        <v>121</v>
      </c>
      <c r="L218" s="19" t="s">
        <v>6326</v>
      </c>
      <c r="M218" s="226" t="s">
        <v>6371</v>
      </c>
    </row>
    <row r="219" spans="1:13" s="58" customFormat="1" ht="50.1" customHeight="1" x14ac:dyDescent="0.25">
      <c r="A219" s="223" t="s">
        <v>6375</v>
      </c>
      <c r="B219" s="11" t="s">
        <v>7686</v>
      </c>
      <c r="C219" s="11" t="s">
        <v>6377</v>
      </c>
      <c r="D219" s="12" t="s">
        <v>81</v>
      </c>
      <c r="E219" s="21" t="s">
        <v>114</v>
      </c>
      <c r="F219" s="21" t="s">
        <v>116</v>
      </c>
      <c r="G219" s="21" t="s">
        <v>115</v>
      </c>
      <c r="H219" s="20" t="s">
        <v>7164</v>
      </c>
      <c r="I219" s="20" t="s">
        <v>98</v>
      </c>
      <c r="J219" s="42" t="s">
        <v>7651</v>
      </c>
      <c r="K219" s="20" t="s">
        <v>5117</v>
      </c>
      <c r="L219" s="20" t="s">
        <v>3147</v>
      </c>
      <c r="M219" s="7" t="s">
        <v>6382</v>
      </c>
    </row>
    <row r="220" spans="1:13" s="58" customFormat="1" ht="50.1" customHeight="1" x14ac:dyDescent="0.25">
      <c r="A220" s="223" t="s">
        <v>6385</v>
      </c>
      <c r="B220" s="11" t="s">
        <v>7242</v>
      </c>
      <c r="C220" s="11" t="s">
        <v>6387</v>
      </c>
      <c r="D220" s="12" t="s">
        <v>81</v>
      </c>
      <c r="E220" s="21" t="s">
        <v>309</v>
      </c>
      <c r="F220" s="21" t="s">
        <v>116</v>
      </c>
      <c r="G220" s="21" t="s">
        <v>115</v>
      </c>
      <c r="H220" s="20" t="s">
        <v>7164</v>
      </c>
      <c r="I220" s="20" t="s">
        <v>98</v>
      </c>
      <c r="J220" s="42" t="s">
        <v>7652</v>
      </c>
      <c r="K220" s="20" t="s">
        <v>5117</v>
      </c>
      <c r="L220" s="7" t="s">
        <v>6391</v>
      </c>
      <c r="M220" s="7" t="s">
        <v>6382</v>
      </c>
    </row>
    <row r="221" spans="1:13" s="58" customFormat="1" ht="50.1" customHeight="1" x14ac:dyDescent="0.25">
      <c r="A221" s="223" t="s">
        <v>6395</v>
      </c>
      <c r="B221" s="11" t="s">
        <v>6396</v>
      </c>
      <c r="C221" s="11" t="s">
        <v>6397</v>
      </c>
      <c r="D221" s="12" t="s">
        <v>81</v>
      </c>
      <c r="E221" s="21" t="s">
        <v>364</v>
      </c>
      <c r="F221" s="21" t="s">
        <v>116</v>
      </c>
      <c r="G221" s="21" t="s">
        <v>115</v>
      </c>
      <c r="H221" s="20" t="s">
        <v>7164</v>
      </c>
      <c r="I221" s="20" t="s">
        <v>98</v>
      </c>
      <c r="J221" s="42" t="s">
        <v>7653</v>
      </c>
      <c r="K221" s="20" t="s">
        <v>5117</v>
      </c>
      <c r="L221" s="7" t="s">
        <v>368</v>
      </c>
      <c r="M221" s="7" t="s">
        <v>6400</v>
      </c>
    </row>
    <row r="222" spans="1:13" s="58" customFormat="1" ht="50.1" customHeight="1" x14ac:dyDescent="0.25">
      <c r="A222" s="223" t="s">
        <v>6406</v>
      </c>
      <c r="B222" s="11" t="s">
        <v>6407</v>
      </c>
      <c r="C222" s="11" t="s">
        <v>6408</v>
      </c>
      <c r="D222" s="12" t="s">
        <v>81</v>
      </c>
      <c r="E222" s="21" t="s">
        <v>423</v>
      </c>
      <c r="F222" s="21" t="s">
        <v>116</v>
      </c>
      <c r="G222" s="21" t="s">
        <v>115</v>
      </c>
      <c r="H222" s="20" t="s">
        <v>7164</v>
      </c>
      <c r="I222" s="20" t="s">
        <v>98</v>
      </c>
      <c r="J222" s="42" t="s">
        <v>7654</v>
      </c>
      <c r="K222" s="20" t="s">
        <v>121</v>
      </c>
      <c r="L222" s="7" t="s">
        <v>7243</v>
      </c>
      <c r="M222" s="7" t="s">
        <v>7244</v>
      </c>
    </row>
    <row r="223" spans="1:13" s="58" customFormat="1" ht="102" customHeight="1" x14ac:dyDescent="0.25">
      <c r="A223" s="223" t="s">
        <v>6419</v>
      </c>
      <c r="B223" s="11" t="s">
        <v>6420</v>
      </c>
      <c r="C223" s="11" t="s">
        <v>6421</v>
      </c>
      <c r="D223" s="12" t="s">
        <v>81</v>
      </c>
      <c r="E223" s="21" t="s">
        <v>436</v>
      </c>
      <c r="F223" s="21" t="s">
        <v>116</v>
      </c>
      <c r="G223" s="21" t="s">
        <v>115</v>
      </c>
      <c r="H223" s="20" t="s">
        <v>7164</v>
      </c>
      <c r="I223" s="20" t="s">
        <v>98</v>
      </c>
      <c r="J223" s="42" t="s">
        <v>7655</v>
      </c>
      <c r="K223" s="20" t="s">
        <v>121</v>
      </c>
      <c r="L223" s="7" t="s">
        <v>7687</v>
      </c>
      <c r="M223" s="7" t="s">
        <v>6382</v>
      </c>
    </row>
    <row r="224" spans="1:13" s="58" customFormat="1" ht="50.1" customHeight="1" x14ac:dyDescent="0.25">
      <c r="A224" s="223" t="s">
        <v>6430</v>
      </c>
      <c r="B224" s="11" t="s">
        <v>6431</v>
      </c>
      <c r="C224" s="11" t="s">
        <v>6432</v>
      </c>
      <c r="D224" s="12" t="s">
        <v>81</v>
      </c>
      <c r="E224" s="21" t="s">
        <v>463</v>
      </c>
      <c r="F224" s="21" t="s">
        <v>116</v>
      </c>
      <c r="G224" s="21" t="s">
        <v>115</v>
      </c>
      <c r="H224" s="20" t="s">
        <v>7164</v>
      </c>
      <c r="I224" s="20" t="s">
        <v>98</v>
      </c>
      <c r="J224" s="42" t="s">
        <v>7656</v>
      </c>
      <c r="K224" s="20" t="s">
        <v>121</v>
      </c>
      <c r="L224" s="7" t="s">
        <v>7687</v>
      </c>
      <c r="M224" s="7" t="s">
        <v>6382</v>
      </c>
    </row>
    <row r="225" spans="1:14" s="58" customFormat="1" ht="61.5" customHeight="1" x14ac:dyDescent="0.25">
      <c r="A225" s="223" t="s">
        <v>6442</v>
      </c>
      <c r="B225" s="19" t="s">
        <v>6443</v>
      </c>
      <c r="C225" s="11" t="s">
        <v>6444</v>
      </c>
      <c r="D225" s="12" t="s">
        <v>81</v>
      </c>
      <c r="E225" s="21" t="s">
        <v>775</v>
      </c>
      <c r="F225" s="21" t="s">
        <v>579</v>
      </c>
      <c r="G225" s="21" t="s">
        <v>7245</v>
      </c>
      <c r="H225" s="20" t="s">
        <v>7164</v>
      </c>
      <c r="I225" s="20" t="s">
        <v>98</v>
      </c>
      <c r="J225" s="7" t="s">
        <v>6448</v>
      </c>
      <c r="K225" s="20" t="s">
        <v>6449</v>
      </c>
      <c r="L225" s="20" t="s">
        <v>6450</v>
      </c>
      <c r="M225" s="20" t="s">
        <v>6451</v>
      </c>
    </row>
    <row r="226" spans="1:14" s="58" customFormat="1" ht="60.75" customHeight="1" x14ac:dyDescent="0.25">
      <c r="A226" s="223" t="s">
        <v>6456</v>
      </c>
      <c r="B226" s="11" t="s">
        <v>7246</v>
      </c>
      <c r="C226" s="11" t="s">
        <v>7247</v>
      </c>
      <c r="D226" s="12" t="s">
        <v>81</v>
      </c>
      <c r="E226" s="21" t="s">
        <v>775</v>
      </c>
      <c r="F226" s="21" t="s">
        <v>3903</v>
      </c>
      <c r="G226" s="21" t="s">
        <v>7248</v>
      </c>
      <c r="H226" s="20" t="s">
        <v>7164</v>
      </c>
      <c r="I226" s="20" t="s">
        <v>973</v>
      </c>
      <c r="J226" s="2" t="s">
        <v>7249</v>
      </c>
      <c r="K226" s="7" t="s">
        <v>7250</v>
      </c>
      <c r="L226" s="7" t="s">
        <v>6459</v>
      </c>
      <c r="M226" s="2" t="s">
        <v>7251</v>
      </c>
    </row>
    <row r="227" spans="1:14" s="58" customFormat="1" ht="72" customHeight="1" x14ac:dyDescent="0.25">
      <c r="A227" s="20" t="s">
        <v>6723</v>
      </c>
      <c r="B227" s="11" t="s">
        <v>6724</v>
      </c>
      <c r="C227" s="2" t="s">
        <v>7252</v>
      </c>
      <c r="D227" s="12" t="s">
        <v>4197</v>
      </c>
      <c r="E227" s="21" t="s">
        <v>775</v>
      </c>
      <c r="F227" s="19" t="s">
        <v>246</v>
      </c>
      <c r="G227" s="19" t="s">
        <v>6726</v>
      </c>
      <c r="H227" s="20" t="s">
        <v>7164</v>
      </c>
      <c r="I227" s="20" t="s">
        <v>98</v>
      </c>
      <c r="J227" s="11" t="s">
        <v>7657</v>
      </c>
      <c r="K227" s="74" t="s">
        <v>7253</v>
      </c>
      <c r="L227" s="2" t="s">
        <v>6729</v>
      </c>
      <c r="M227" s="21" t="s">
        <v>7254</v>
      </c>
    </row>
    <row r="228" spans="1:14" s="18" customFormat="1" ht="75" customHeight="1" x14ac:dyDescent="0.25">
      <c r="A228" s="20" t="s">
        <v>6737</v>
      </c>
      <c r="B228" s="11" t="s">
        <v>6738</v>
      </c>
      <c r="C228" s="2" t="s">
        <v>7255</v>
      </c>
      <c r="D228" s="12" t="s">
        <v>4197</v>
      </c>
      <c r="E228" s="21" t="s">
        <v>775</v>
      </c>
      <c r="F228" s="19" t="s">
        <v>246</v>
      </c>
      <c r="G228" s="19" t="s">
        <v>6740</v>
      </c>
      <c r="H228" s="20" t="s">
        <v>7164</v>
      </c>
      <c r="I228" s="20" t="s">
        <v>98</v>
      </c>
      <c r="J228" s="11" t="s">
        <v>7657</v>
      </c>
      <c r="K228" s="74" t="s">
        <v>6742</v>
      </c>
      <c r="L228" s="2" t="s">
        <v>6729</v>
      </c>
      <c r="M228" s="2" t="s">
        <v>7256</v>
      </c>
    </row>
    <row r="229" spans="1:14" s="18" customFormat="1" ht="65.25" customHeight="1" x14ac:dyDescent="0.25">
      <c r="A229" s="20" t="s">
        <v>6765</v>
      </c>
      <c r="B229" s="11" t="s">
        <v>6766</v>
      </c>
      <c r="C229" s="2" t="s">
        <v>6767</v>
      </c>
      <c r="D229" s="12" t="s">
        <v>4197</v>
      </c>
      <c r="E229" s="21" t="s">
        <v>775</v>
      </c>
      <c r="F229" s="19" t="s">
        <v>246</v>
      </c>
      <c r="G229" s="19" t="s">
        <v>6768</v>
      </c>
      <c r="H229" s="20" t="s">
        <v>7164</v>
      </c>
      <c r="I229" s="20" t="s">
        <v>98</v>
      </c>
      <c r="J229" s="20" t="s">
        <v>6771</v>
      </c>
      <c r="K229" s="178" t="s">
        <v>6772</v>
      </c>
      <c r="L229" s="21" t="s">
        <v>6729</v>
      </c>
      <c r="M229" s="21" t="s">
        <v>6773</v>
      </c>
    </row>
    <row r="230" spans="1:14" s="76" customFormat="1" ht="76.5" x14ac:dyDescent="0.25">
      <c r="A230" s="20" t="s">
        <v>6778</v>
      </c>
      <c r="B230" s="2" t="s">
        <v>6779</v>
      </c>
      <c r="C230" s="2" t="s">
        <v>6780</v>
      </c>
      <c r="D230" s="13" t="s">
        <v>81</v>
      </c>
      <c r="E230" s="2" t="s">
        <v>114</v>
      </c>
      <c r="F230" s="2" t="s">
        <v>579</v>
      </c>
      <c r="G230" s="2" t="s">
        <v>580</v>
      </c>
      <c r="H230" s="20" t="s">
        <v>7164</v>
      </c>
      <c r="I230" s="7" t="s">
        <v>98</v>
      </c>
      <c r="J230" s="2" t="s">
        <v>778</v>
      </c>
      <c r="K230" s="2" t="s">
        <v>121</v>
      </c>
      <c r="L230" s="2" t="s">
        <v>5710</v>
      </c>
      <c r="M230" s="2" t="s">
        <v>750</v>
      </c>
      <c r="N230" s="232"/>
    </row>
    <row r="231" spans="1:14" s="77" customFormat="1" ht="129.75" customHeight="1" x14ac:dyDescent="0.25">
      <c r="A231" s="21" t="s">
        <v>6784</v>
      </c>
      <c r="B231" s="233" t="s">
        <v>6785</v>
      </c>
      <c r="C231" s="233" t="s">
        <v>6786</v>
      </c>
      <c r="D231" s="234" t="s">
        <v>1628</v>
      </c>
      <c r="E231" s="233" t="s">
        <v>775</v>
      </c>
      <c r="F231" s="233" t="s">
        <v>116</v>
      </c>
      <c r="G231" s="233" t="s">
        <v>4326</v>
      </c>
      <c r="H231" s="233" t="s">
        <v>7205</v>
      </c>
      <c r="I231" s="234" t="s">
        <v>98</v>
      </c>
      <c r="J231" s="235" t="s">
        <v>7658</v>
      </c>
      <c r="K231" s="235" t="s">
        <v>6790</v>
      </c>
      <c r="L231" s="233" t="s">
        <v>6793</v>
      </c>
      <c r="M231" s="233" t="s">
        <v>6794</v>
      </c>
      <c r="N231" s="236"/>
    </row>
    <row r="232" spans="1:14" s="81" customFormat="1" ht="134.25" customHeight="1" x14ac:dyDescent="0.25">
      <c r="A232" s="21" t="s">
        <v>6806</v>
      </c>
      <c r="B232" s="233" t="s">
        <v>6807</v>
      </c>
      <c r="C232" s="2" t="s">
        <v>6808</v>
      </c>
      <c r="D232" s="12" t="s">
        <v>81</v>
      </c>
      <c r="E232" s="21" t="s">
        <v>775</v>
      </c>
      <c r="F232" s="21" t="s">
        <v>213</v>
      </c>
      <c r="G232" s="21" t="s">
        <v>5448</v>
      </c>
      <c r="H232" s="20" t="s">
        <v>7164</v>
      </c>
      <c r="I232" s="20" t="s">
        <v>973</v>
      </c>
      <c r="J232" s="2" t="s">
        <v>7647</v>
      </c>
      <c r="K232" s="2" t="s">
        <v>7688</v>
      </c>
      <c r="L232" s="2" t="s">
        <v>5469</v>
      </c>
      <c r="M232" s="2" t="s">
        <v>7689</v>
      </c>
      <c r="N232" s="58"/>
    </row>
  </sheetData>
  <autoFilter ref="A2:M232" xr:uid="{FEF84D4F-DC45-45F1-B198-B9CF8BB749F8}">
    <sortState xmlns:xlrd2="http://schemas.microsoft.com/office/spreadsheetml/2017/richdata2" ref="A3:M232">
      <sortCondition sortBy="cellColor" ref="J2:J232" dxfId="229"/>
    </sortState>
  </autoFilter>
  <conditionalFormatting sqref="A31:A34">
    <cfRule type="duplicateValues" dxfId="47" priority="5034"/>
    <cfRule type="duplicateValues" dxfId="46" priority="5033"/>
  </conditionalFormatting>
  <conditionalFormatting sqref="A41:A42">
    <cfRule type="duplicateValues" dxfId="45" priority="34"/>
    <cfRule type="duplicateValues" dxfId="44" priority="35"/>
  </conditionalFormatting>
  <conditionalFormatting sqref="A44">
    <cfRule type="duplicateValues" dxfId="43" priority="31"/>
    <cfRule type="duplicateValues" dxfId="42" priority="32"/>
  </conditionalFormatting>
  <conditionalFormatting sqref="A46">
    <cfRule type="duplicateValues" dxfId="41" priority="28"/>
    <cfRule type="duplicateValues" dxfId="40" priority="29"/>
  </conditionalFormatting>
  <conditionalFormatting sqref="A49">
    <cfRule type="duplicateValues" dxfId="39" priority="25"/>
    <cfRule type="duplicateValues" dxfId="38" priority="26"/>
  </conditionalFormatting>
  <conditionalFormatting sqref="A50:A61">
    <cfRule type="duplicateValues" dxfId="37" priority="5017"/>
    <cfRule type="duplicateValues" dxfId="36" priority="5016"/>
  </conditionalFormatting>
  <conditionalFormatting sqref="A62:A63">
    <cfRule type="duplicateValues" dxfId="35" priority="19"/>
    <cfRule type="duplicateValues" dxfId="34" priority="20"/>
  </conditionalFormatting>
  <conditionalFormatting sqref="A68">
    <cfRule type="duplicateValues" dxfId="33" priority="91"/>
    <cfRule type="duplicateValues" dxfId="32" priority="89"/>
  </conditionalFormatting>
  <conditionalFormatting sqref="A73">
    <cfRule type="duplicateValues" dxfId="31" priority="88"/>
    <cfRule type="duplicateValues" dxfId="30" priority="86"/>
  </conditionalFormatting>
  <conditionalFormatting sqref="A129">
    <cfRule type="duplicateValues" dxfId="29" priority="46"/>
    <cfRule type="duplicateValues" dxfId="28" priority="44"/>
  </conditionalFormatting>
  <conditionalFormatting sqref="A131">
    <cfRule type="duplicateValues" dxfId="27" priority="42"/>
  </conditionalFormatting>
  <conditionalFormatting sqref="A186">
    <cfRule type="duplicateValues" dxfId="26" priority="3769"/>
    <cfRule type="duplicateValues" dxfId="25" priority="3770"/>
  </conditionalFormatting>
  <conditionalFormatting sqref="A187">
    <cfRule type="duplicateValues" dxfId="24" priority="3936"/>
    <cfRule type="duplicateValues" dxfId="23" priority="3937"/>
  </conditionalFormatting>
  <conditionalFormatting sqref="A212">
    <cfRule type="duplicateValues" dxfId="22" priority="4"/>
    <cfRule type="duplicateValues" dxfId="21" priority="5"/>
  </conditionalFormatting>
  <conditionalFormatting sqref="A213:A226 A132:A185 A3:A30 A69:A72 A74:A127 A35:A40 A43 A45 A47:A48 A64:A67 A188:A211">
    <cfRule type="duplicateValues" dxfId="20" priority="4945"/>
  </conditionalFormatting>
  <conditionalFormatting sqref="A213:A229 A1:A30 A69:A72 A74:A128 A130 A132:A185 A35:A40 A43 A45 A47:A48 A64:A67 A188:A211 A231:A1048576">
    <cfRule type="duplicateValues" dxfId="19" priority="102"/>
  </conditionalFormatting>
  <conditionalFormatting sqref="A230">
    <cfRule type="duplicateValues" dxfId="18" priority="2"/>
  </conditionalFormatting>
  <conditionalFormatting sqref="B1:B2">
    <cfRule type="duplicateValues" dxfId="17" priority="100"/>
  </conditionalFormatting>
  <conditionalFormatting sqref="B31:B34">
    <cfRule type="duplicateValues" dxfId="16" priority="5045"/>
  </conditionalFormatting>
  <conditionalFormatting sqref="B41:B42">
    <cfRule type="duplicateValues" dxfId="15" priority="33"/>
  </conditionalFormatting>
  <conditionalFormatting sqref="B44">
    <cfRule type="duplicateValues" dxfId="14" priority="30"/>
  </conditionalFormatting>
  <conditionalFormatting sqref="B46">
    <cfRule type="duplicateValues" dxfId="13" priority="27"/>
  </conditionalFormatting>
  <conditionalFormatting sqref="B49">
    <cfRule type="duplicateValues" dxfId="12" priority="24"/>
  </conditionalFormatting>
  <conditionalFormatting sqref="B50:B61">
    <cfRule type="duplicateValues" dxfId="11" priority="5020"/>
  </conditionalFormatting>
  <conditionalFormatting sqref="B62:B63">
    <cfRule type="duplicateValues" dxfId="10" priority="18"/>
  </conditionalFormatting>
  <conditionalFormatting sqref="B68">
    <cfRule type="duplicateValues" dxfId="9" priority="90"/>
  </conditionalFormatting>
  <conditionalFormatting sqref="B73">
    <cfRule type="duplicateValues" dxfId="8" priority="87"/>
  </conditionalFormatting>
  <conditionalFormatting sqref="B129">
    <cfRule type="duplicateValues" dxfId="7" priority="45"/>
  </conditionalFormatting>
  <conditionalFormatting sqref="B131">
    <cfRule type="duplicateValues" dxfId="6" priority="43"/>
  </conditionalFormatting>
  <conditionalFormatting sqref="B134">
    <cfRule type="duplicateValues" dxfId="5" priority="99"/>
  </conditionalFormatting>
  <conditionalFormatting sqref="B186">
    <cfRule type="duplicateValues" dxfId="4" priority="3771"/>
  </conditionalFormatting>
  <conditionalFormatting sqref="B187">
    <cfRule type="duplicateValues" dxfId="3" priority="3938"/>
  </conditionalFormatting>
  <conditionalFormatting sqref="B212">
    <cfRule type="duplicateValues" dxfId="2" priority="3"/>
  </conditionalFormatting>
  <conditionalFormatting sqref="B230">
    <cfRule type="duplicateValues" dxfId="1" priority="1"/>
  </conditionalFormatting>
  <conditionalFormatting sqref="B231:B1048576 B3:B30 B69:B72 B74:B128 B135:B185 B130 B132:B133 B35:B40 B43 B45 B47:B48 B64:B67 B188:B211 B213:B229">
    <cfRule type="duplicateValues" dxfId="0" priority="10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indicadores_2026</vt:lpstr>
      <vt:lpstr>Cups_extramurales</vt:lpstr>
      <vt:lpstr>Fichas_2025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DELL</dc:creator>
  <cp:keywords/>
  <dc:description/>
  <cp:lastModifiedBy>FACTURACION NIVEL CENTRAL</cp:lastModifiedBy>
  <cp:revision/>
  <dcterms:created xsi:type="dcterms:W3CDTF">2022-03-01T13:26:44Z</dcterms:created>
  <dcterms:modified xsi:type="dcterms:W3CDTF">2026-04-06T10:12:10Z</dcterms:modified>
  <cp:category/>
  <cp:contentStatus/>
</cp:coreProperties>
</file>